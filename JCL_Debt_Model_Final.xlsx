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D3ABFB64-EA90-480E-BAFB-2056A46E875B}" xr6:coauthVersionLast="47" xr6:coauthVersionMax="47" xr10:uidLastSave="{00000000-0000-0000-0000-000000000000}"/>
  <bookViews>
    <workbookView xWindow="-108" yWindow="-108" windowWidth="23256" windowHeight="12456" tabRatio="500" firstSheet="3" activeTab="3" xr2:uid="{00000000-000D-0000-FFFF-FFFF00000000}"/>
  </bookViews>
  <sheets>
    <sheet name="Cover Page" sheetId="2" r:id="rId1"/>
    <sheet name="Data Validation &amp; Checks" sheetId="18" r:id="rId2"/>
    <sheet name="Notes" sheetId="19" r:id="rId3"/>
    <sheet name="Dashboard" sheetId="17" r:id="rId4"/>
    <sheet name="Instructions &amp; Assumptions" sheetId="3" r:id="rId5"/>
    <sheet name="Facility Master" sheetId="5" r:id="rId6"/>
    <sheet name="Lender Summary" sheetId="6" r:id="rId7"/>
    <sheet name="Working Capital Facilities" sheetId="7" r:id="rId8"/>
    <sheet name="Term Loans" sheetId="8" r:id="rId9"/>
    <sheet name="Non-Fund Based Facilities" sheetId="9" r:id="rId10"/>
    <sheet name="Repayment Schedule" sheetId="10" r:id="rId11"/>
    <sheet name="Interest Schedule" sheetId="11" r:id="rId12"/>
    <sheet name="Covenant Tracker" sheetId="12" r:id="rId13"/>
    <sheet name="Security &amp; Charge Matrix" sheetId="13" r:id="rId14"/>
    <sheet name="Utilization Tracker" sheetId="14" r:id="rId15"/>
    <sheet name="Renewal &amp; Review Calendar" sheetId="15" r:id="rId16"/>
    <sheet name="Scenario Analysis" sheetId="16" r:id="rId17"/>
    <sheet name="Debt Pricing Table" sheetId="4" r:id="rId18"/>
    <sheet name="Validation Engine" sheetId="22" r:id="rId19"/>
  </sheets>
  <definedNames>
    <definedName name="_xlnm._FilterDatabase" localSheetId="5" hidden="1">'Facility Master'!$A$4:$AH$41</definedName>
    <definedName name="AsOfDate">'Instructions &amp; Assumptions'!$B$4</definedName>
    <definedName name="ATNW_Active">'Instructions &amp; Assumptions'!$B$28</definedName>
    <definedName name="Bajaj_TL_Maturity">'Instructions &amp; Assumptions'!$B$52</definedName>
    <definedName name="Bajaj_TL_PrincOS">'Repayment Schedule'!$D$63</definedName>
    <definedName name="Bajaj_TL_PrincRepaid">'Repayment Schedule'!$C$63</definedName>
    <definedName name="Bajaj_TL_SNo">'Instructions &amp; Assumptions'!$B$57</definedName>
    <definedName name="BFRR_Bajaj">'Instructions &amp; Assumptions'!$B$16</definedName>
    <definedName name="BMK_12M_MCLR_SIB">'Instructions &amp; Assumptions'!$C$18</definedName>
    <definedName name="BMK_1Y_MCLR_RBL">'Instructions &amp; Assumptions'!$C$15</definedName>
    <definedName name="BMK_3M_MCLR_YBL">'Instructions &amp; Assumptions'!$C$16</definedName>
    <definedName name="BMK_3M_TBILL">'Instructions &amp; Assumptions'!$C$13</definedName>
    <definedName name="BMK_6M_IMCLR_ICICI">'Instructions &amp; Assumptions'!$C$17</definedName>
    <definedName name="BMK_BFRR">'Instructions &amp; Assumptions'!$C$19</definedName>
    <definedName name="BMK_FD_RATE">'Instructions &amp; Assumptions'!$C$21</definedName>
    <definedName name="BMK_REPO">'Instructions &amp; Assumptions'!$C$14</definedName>
    <definedName name="BMK_TERM_SOFR">'Instructions &amp; Assumptions'!$C$20</definedName>
    <definedName name="Bucket1_DebtTotal">'Lender Summary'!$D$10</definedName>
    <definedName name="Bucket1_Interest">'Interest Schedule'!$I$40</definedName>
    <definedName name="Bucket1_TL_Total">'Lender Summary'!$B$10</definedName>
    <definedName name="Bucket1_WCFB_Total">'Lender Summary'!$C$10</definedName>
    <definedName name="Bucket2_Commission">'Interest Schedule'!$I$41</definedName>
    <definedName name="Bucket2_NFBTotal">'Lender Summary'!$F$20</definedName>
    <definedName name="Bucket3_Cost">'Interest Schedule'!$I$42</definedName>
    <definedName name="Bucket3_SeparateTotal">'Lender Summary'!$D$30</definedName>
    <definedName name="CA_Active">'Instructions &amp; Assumptions'!$B$29</definedName>
    <definedName name="CL_Active">'Instructions &amp; Assumptions'!$B$30</definedName>
    <definedName name="CONS_DATES">'Repayment Schedule'!$C$193:$C$245</definedName>
    <definedName name="CONS_DS">'Repayment Schedule'!$G$193:$G$245</definedName>
    <definedName name="CONS_INTEREST">'Repayment Schedule'!$F$193:$F$245</definedName>
    <definedName name="CONS_PRINCIPAL">'Repayment Schedule'!$E$193:$E$245</definedName>
    <definedName name="CONS_SCHEDULE_START_ROW">'Repayment Schedule'!$B$193</definedName>
    <definedName name="CovenantBreached">'Covenant Tracker'!$B$33</definedName>
    <definedName name="CovenantCompliant">'Covenant Tracker'!$B$31</definedName>
    <definedName name="CovenantCount">'Covenant Tracker'!$B$30</definedName>
    <definedName name="CovenantNearBreach">'Covenant Tracker'!$B$32</definedName>
    <definedName name="CovenantPending">'Covenant Tracker'!$B$34</definedName>
    <definedName name="DaysInYear">'Instructions &amp; Assumptions'!$B$7</definedName>
    <definedName name="EBITDA_Active">'Instructions &amp; Assumptions'!$B$24</definedName>
    <definedName name="FA_Active">'Instructions &amp; Assumptions'!$B$33</definedName>
    <definedName name="FD_Rate_RBL">'Instructions &amp; Assumptions'!$B$20</definedName>
    <definedName name="FIN_ATNW">'Instructions &amp; Assumptions'!$C$29</definedName>
    <definedName name="FIN_CA">'Instructions &amp; Assumptions'!$C$30</definedName>
    <definedName name="FIN_CL">'Instructions &amp; Assumptions'!$C$31</definedName>
    <definedName name="FIN_EBITDA">'Instructions &amp; Assumptions'!$C$25</definedName>
    <definedName name="FIN_FA_NET">'Instructions &amp; Assumptions'!$C$34</definedName>
    <definedName name="FIN_INT_EXP">'Instructions &amp; Assumptions'!$C$33</definedName>
    <definedName name="FIN_PRINC_REP">'Instructions &amp; Assumptions'!$C$38</definedName>
    <definedName name="FIN_PROM_SHARE">'Instructions &amp; Assumptions'!$C$37</definedName>
    <definedName name="FIN_RATING">'Instructions &amp; Assumptions'!$C$36</definedName>
    <definedName name="FIN_SCHED_REPAY">'Instructions &amp; Assumptions'!$C$40</definedName>
    <definedName name="FIN_SEC_DEBT">'Instructions &amp; Assumptions'!$C$35</definedName>
    <definedName name="FIN_TAX_PAID">'Instructions &amp; Assumptions'!$C$39</definedName>
    <definedName name="FIN_TERM_DEBT">'Instructions &amp; Assumptions'!$C$27</definedName>
    <definedName name="FIN_TNW">'Instructions &amp; Assumptions'!$C$28</definedName>
    <definedName name="FIN_TOL">'Instructions &amp; Assumptions'!$C$32</definedName>
    <definedName name="FIN_TOTAL_DEBT">'Instructions &amp; Assumptions'!$C$26</definedName>
    <definedName name="FinancialBasis">'Instructions &amp; Assumptions'!$C$10</definedName>
    <definedName name="FinBasis">'Instructions &amp; Assumptions'!$B$8</definedName>
    <definedName name="FX_USD_INR">'Instructions &amp; Assumptions'!$B$5</definedName>
    <definedName name="ICICI_FB_Cap">'Instructions &amp; Assumptions'!$B$45</definedName>
    <definedName name="IMCLR_ICICI_6M">'Instructions &amp; Assumptions'!$B$14</definedName>
    <definedName name="IntExp_Active">'Instructions &amp; Assumptions'!$B$32</definedName>
    <definedName name="LenderFilter">Dashboard!$H$5</definedName>
    <definedName name="MCLR_RBL_1Y">'Instructions &amp; Assumptions'!$B$12</definedName>
    <definedName name="MCLR_SIB_12M">'Instructions &amp; Assumptions'!$B$15</definedName>
    <definedName name="MCLR_YBL_3M">'Instructions &amp; Assumptions'!$B$13</definedName>
    <definedName name="PortfolioCompliancePct">'Covenant Tracker'!$B$35</definedName>
    <definedName name="PrinRepaid_Active">'Instructions &amp; Assumptions'!$B$37</definedName>
    <definedName name="PromStake_Active">'Instructions &amp; Assumptions'!$B$36</definedName>
    <definedName name="Rating_Active">'Instructions &amp; Assumptions'!$B$35</definedName>
    <definedName name="RBL_BC_CAPEX_Cap">'Instructions &amp; Assumptions'!$B$44</definedName>
    <definedName name="RBL_BC_WC_Cap">'Instructions &amp; Assumptions'!$B$43</definedName>
    <definedName name="RBL_INR_WC_Cap">'Instructions &amp; Assumptions'!$B$42</definedName>
    <definedName name="RBL_TL_Maturity">'Instructions &amp; Assumptions'!$B$49</definedName>
    <definedName name="RBL_TL_PrincOS">'Repayment Schedule'!$D$61</definedName>
    <definedName name="RBL_TL_PrincRepaid">'Repayment Schedule'!$C$61</definedName>
    <definedName name="RBL_TL_SNo">'Instructions &amp; Assumptions'!$B$55</definedName>
    <definedName name="RepoRate">'Instructions &amp; Assumptions'!$B$19</definedName>
    <definedName name="SchedTLRep_Active">'Instructions &amp; Assumptions'!$B$39</definedName>
    <definedName name="SecuredDebt_Active">'Instructions &amp; Assumptions'!$B$34</definedName>
    <definedName name="SIB_CCOL_Cap">'Instructions &amp; Assumptions'!$B$46</definedName>
    <definedName name="SOFR_3M">'Instructions &amp; Assumptions'!$B$17</definedName>
    <definedName name="TaxPaid_Active">'Instructions &amp; Assumptions'!$B$38</definedName>
    <definedName name="TBill_3M">'Instructions &amp; Assumptions'!$B$18</definedName>
    <definedName name="TermDebt_Active">'Instructions &amp; Assumptions'!$B$26</definedName>
    <definedName name="TL_21_PRINC_OUTSTD">'Repayment Schedule'!$H$126</definedName>
    <definedName name="TL_21_PRINC_REPAID_TO_DATE">'Repayment Schedule'!$F$126</definedName>
    <definedName name="TL_22_PRINC_OUTSTD">'Repayment Schedule'!$H$188</definedName>
    <definedName name="TL_22_PRINC_REPAID_TO_DATE">'Repayment Schedule'!$F$188</definedName>
    <definedName name="TL_9_PRINC_OUTSTD">'Repayment Schedule'!$H$64</definedName>
    <definedName name="TL_9_PRINC_REPAID_TO_DATE">'Repayment Schedule'!$F$64</definedName>
    <definedName name="TNW_Active">'Instructions &amp; Assumptions'!$B$27</definedName>
    <definedName name="TOL_Active">'Instructions &amp; Assumptions'!$B$31</definedName>
    <definedName name="Total_TL_PrincOS">'Repayment Schedule'!$D$64</definedName>
    <definedName name="TotalBankingExposure">'Lender Summary'!$D$37</definedName>
    <definedName name="TotalDebt_Active">'Instructions &amp; Assumptions'!$B$25</definedName>
    <definedName name="TotalIntComm">'Interest Schedule'!$I$43</definedName>
    <definedName name="UseFullUtil">'Instructions &amp; Assumptions'!$B$6</definedName>
    <definedName name="UseFullUtilisation">'Instructions &amp; Assumptions'!$C$8</definedName>
    <definedName name="VVE_Overall_Status">'Validation Engine'!$B$69</definedName>
    <definedName name="WtAvgDebtCost">'Interest Schedule'!$I$44</definedName>
    <definedName name="YBL_TL_Maturity">'Instructions &amp; Assumptions'!$B$51</definedName>
    <definedName name="YBL_TL_PrincOS">'Repayment Schedule'!$D$62</definedName>
    <definedName name="YBL_TL_PrincRepaid">'Repayment Schedule'!$C$62</definedName>
    <definedName name="YBL_TL_RepStart">'Instructions &amp; Assumptions'!$B$50</definedName>
    <definedName name="YBL_TL_SNo">'Instructions &amp; Assumptions'!$B$56</definedName>
    <definedName name="YBL_WC_Cap">200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 i="12" l="1"/>
  <c r="D7" i="2"/>
  <c r="O6" i="10"/>
  <c r="O7" i="10"/>
  <c r="O8" i="10"/>
  <c r="O9" i="10"/>
  <c r="O10"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 i="10"/>
  <c r="N5" i="10"/>
  <c r="J6" i="10"/>
  <c r="J7"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 i="10"/>
  <c r="I5" i="10"/>
  <c r="O34" i="5"/>
  <c r="O28" i="5"/>
  <c r="O11" i="5"/>
  <c r="B4" i="18" l="1"/>
  <c r="C4" i="18"/>
  <c r="F4" i="18"/>
  <c r="B5" i="18"/>
  <c r="C5" i="18"/>
  <c r="F5" i="18"/>
  <c r="B6" i="18"/>
  <c r="C6" i="18"/>
  <c r="F6" i="18"/>
  <c r="B7" i="18"/>
  <c r="C7" i="18"/>
  <c r="F7" i="18"/>
  <c r="B8" i="18"/>
  <c r="C8" i="18"/>
  <c r="F8" i="18"/>
  <c r="B9" i="18"/>
  <c r="C9" i="18"/>
  <c r="F9" i="18"/>
  <c r="B10" i="18"/>
  <c r="C10" i="18"/>
  <c r="F10" i="18"/>
  <c r="B11" i="18"/>
  <c r="C11" i="18"/>
  <c r="F11" i="18"/>
  <c r="B12" i="18"/>
  <c r="C12" i="18"/>
  <c r="F12" i="18"/>
  <c r="B13" i="18"/>
  <c r="C13" i="18"/>
  <c r="F13" i="18"/>
  <c r="B14" i="18"/>
  <c r="C14" i="18"/>
  <c r="F14" i="18"/>
  <c r="B15" i="18"/>
  <c r="C15" i="18"/>
  <c r="F15" i="18"/>
  <c r="B16" i="18"/>
  <c r="C16" i="18"/>
  <c r="F16" i="18"/>
  <c r="B17" i="18"/>
  <c r="C17" i="18"/>
  <c r="F17" i="18"/>
  <c r="B18" i="18"/>
  <c r="C18" i="18"/>
  <c r="F18" i="18"/>
  <c r="B19" i="18"/>
  <c r="C19" i="18"/>
  <c r="F19" i="18"/>
  <c r="B20" i="18"/>
  <c r="C20" i="18"/>
  <c r="F20" i="18"/>
  <c r="B21" i="18"/>
  <c r="C21" i="18"/>
  <c r="F21" i="18"/>
  <c r="B22" i="18"/>
  <c r="C22" i="18"/>
  <c r="F22" i="18"/>
  <c r="B23" i="18"/>
  <c r="C23" i="18"/>
  <c r="F23" i="18"/>
  <c r="B24" i="18"/>
  <c r="C24" i="18"/>
  <c r="F24" i="18"/>
  <c r="B25" i="18"/>
  <c r="C25" i="18"/>
  <c r="F25" i="18"/>
  <c r="B26" i="18"/>
  <c r="C26" i="18"/>
  <c r="F26" i="18"/>
  <c r="B27" i="18"/>
  <c r="C27" i="18"/>
  <c r="D27" i="18"/>
  <c r="F27" i="18"/>
  <c r="B28" i="18"/>
  <c r="C28" i="18"/>
  <c r="F28" i="18"/>
  <c r="B29" i="18"/>
  <c r="C29" i="18"/>
  <c r="F29" i="18"/>
  <c r="B30" i="18"/>
  <c r="C30" i="18"/>
  <c r="F30" i="18"/>
  <c r="B31" i="18"/>
  <c r="C31" i="18"/>
  <c r="F31" i="18"/>
  <c r="B32" i="18"/>
  <c r="C32" i="18"/>
  <c r="F32" i="18"/>
  <c r="B33" i="18"/>
  <c r="C33" i="18"/>
  <c r="F33" i="18"/>
  <c r="D13" i="22"/>
  <c r="E13" i="22" s="1"/>
  <c r="E4" i="18" s="1"/>
  <c r="D14" i="22"/>
  <c r="E14" i="22" s="1"/>
  <c r="E5" i="18" s="1"/>
  <c r="D15" i="22"/>
  <c r="E15" i="22" s="1"/>
  <c r="E6" i="18" s="1"/>
  <c r="D16" i="22"/>
  <c r="E16" i="22" s="1"/>
  <c r="E7" i="18" s="1"/>
  <c r="D17" i="22"/>
  <c r="E17" i="22" s="1"/>
  <c r="E8" i="18" s="1"/>
  <c r="D18" i="22" a="1"/>
  <c r="D18" i="22" s="1"/>
  <c r="E18" i="22" s="1"/>
  <c r="E9" i="18" s="1"/>
  <c r="D36" i="22"/>
  <c r="E36" i="22" s="1"/>
  <c r="E27" i="18" s="1"/>
  <c r="D37" i="22"/>
  <c r="E37" i="22" s="1"/>
  <c r="E28" i="18" s="1"/>
  <c r="D38" i="22"/>
  <c r="E38" i="22" s="1"/>
  <c r="E29" i="18" s="1"/>
  <c r="D39" i="22"/>
  <c r="E39" i="22" s="1"/>
  <c r="E30" i="18" s="1"/>
  <c r="D40" i="22" a="1"/>
  <c r="D40" i="22" s="1"/>
  <c r="E40" i="22" s="1"/>
  <c r="E31" i="18" s="1"/>
  <c r="D44" i="22"/>
  <c r="E44" i="22" s="1"/>
  <c r="D45" i="22"/>
  <c r="E45" i="22" s="1"/>
  <c r="D46" i="22"/>
  <c r="E46" i="22" s="1"/>
  <c r="D47" i="22"/>
  <c r="E47" i="22" s="1"/>
  <c r="D48" i="22"/>
  <c r="E48" i="22" s="1"/>
  <c r="D53" i="22"/>
  <c r="E53" i="22" s="1"/>
  <c r="D54" i="22"/>
  <c r="E54" i="22" s="1"/>
  <c r="D55" i="22"/>
  <c r="E55" i="22" s="1"/>
  <c r="D56" i="22"/>
  <c r="E56" i="22" s="1"/>
  <c r="D57" i="22"/>
  <c r="E57" i="22" s="1"/>
  <c r="D59" i="22"/>
  <c r="E59" i="22" s="1"/>
  <c r="D60" i="22"/>
  <c r="E60" i="22" s="1"/>
  <c r="D29" i="18" l="1"/>
  <c r="D9" i="18"/>
  <c r="D8" i="18"/>
  <c r="D5" i="18"/>
  <c r="D31" i="18"/>
  <c r="D28" i="18"/>
  <c r="D4" i="18"/>
  <c r="D7" i="18"/>
  <c r="D30" i="18"/>
  <c r="D6" i="18"/>
  <c r="B65" i="22"/>
  <c r="B9" i="22"/>
  <c r="J67" i="17" s="1"/>
  <c r="D6" i="2" a="1"/>
  <c r="D6" i="2" s="1"/>
  <c r="E241" i="10"/>
  <c r="F241" i="10"/>
  <c r="G241" i="10"/>
  <c r="J241" i="10"/>
  <c r="E242" i="10"/>
  <c r="F242" i="10"/>
  <c r="G242" i="10"/>
  <c r="J242" i="10"/>
  <c r="E243" i="10"/>
  <c r="F243" i="10"/>
  <c r="G243" i="10"/>
  <c r="J243" i="10"/>
  <c r="E244" i="10"/>
  <c r="F244" i="10"/>
  <c r="G244" i="10"/>
  <c r="J244" i="10"/>
  <c r="E245" i="10"/>
  <c r="F245" i="10"/>
  <c r="G245" i="10"/>
  <c r="J245" i="10"/>
  <c r="D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B5" i="8"/>
  <c r="C5" i="8"/>
  <c r="D5" i="8"/>
  <c r="B6" i="8"/>
  <c r="C6" i="8"/>
  <c r="D6" i="8"/>
  <c r="B9" i="8"/>
  <c r="C9" i="8"/>
  <c r="D9" i="8"/>
  <c r="B12" i="8"/>
  <c r="C12" i="8"/>
  <c r="D12" i="8"/>
  <c r="B13" i="8"/>
  <c r="C13" i="8"/>
  <c r="D13" i="8"/>
  <c r="B14" i="8"/>
  <c r="C14" i="8"/>
  <c r="D14" i="8"/>
  <c r="B62" i="17"/>
  <c r="B61" i="17"/>
  <c r="C47" i="17"/>
  <c r="B47" i="17"/>
  <c r="C46" i="17"/>
  <c r="B46" i="17"/>
  <c r="C45" i="17"/>
  <c r="B45" i="17"/>
  <c r="C44" i="17"/>
  <c r="B44" i="17"/>
  <c r="C43" i="17"/>
  <c r="B43" i="17"/>
  <c r="C42" i="17"/>
  <c r="B42" i="17"/>
  <c r="C41" i="17"/>
  <c r="B41" i="17"/>
  <c r="C40" i="17"/>
  <c r="B40" i="17"/>
  <c r="C39" i="17"/>
  <c r="B39" i="17"/>
  <c r="C38" i="17"/>
  <c r="B38" i="17"/>
  <c r="C37" i="17"/>
  <c r="B37" i="17"/>
  <c r="C36" i="17"/>
  <c r="B36" i="17"/>
  <c r="C35" i="17"/>
  <c r="B35" i="17"/>
  <c r="C34" i="17"/>
  <c r="B34" i="17"/>
  <c r="A13" i="17"/>
  <c r="H37" i="4"/>
  <c r="F37" i="4"/>
  <c r="E37" i="4"/>
  <c r="D37" i="4"/>
  <c r="C37" i="4"/>
  <c r="B37" i="4"/>
  <c r="H36" i="4"/>
  <c r="F36" i="4"/>
  <c r="E36" i="4"/>
  <c r="D36" i="4"/>
  <c r="C36" i="4"/>
  <c r="B36" i="4"/>
  <c r="H35" i="4"/>
  <c r="F35" i="4"/>
  <c r="E35" i="4"/>
  <c r="D35" i="4"/>
  <c r="C35" i="4"/>
  <c r="B35" i="4"/>
  <c r="H34" i="4"/>
  <c r="F34" i="4"/>
  <c r="E34" i="4"/>
  <c r="D34" i="4"/>
  <c r="C34" i="4"/>
  <c r="B34" i="4"/>
  <c r="H33" i="4"/>
  <c r="F33" i="4"/>
  <c r="E33" i="4"/>
  <c r="D33" i="4"/>
  <c r="C33" i="4"/>
  <c r="B33" i="4"/>
  <c r="H32" i="4"/>
  <c r="F32" i="4"/>
  <c r="E32" i="4"/>
  <c r="D32" i="4"/>
  <c r="C32" i="4"/>
  <c r="B32" i="4"/>
  <c r="H31" i="4"/>
  <c r="F31" i="4"/>
  <c r="E31" i="4"/>
  <c r="D31" i="4"/>
  <c r="C31" i="4"/>
  <c r="B31" i="4"/>
  <c r="H30" i="4"/>
  <c r="F30" i="4"/>
  <c r="E30" i="4"/>
  <c r="D30" i="4"/>
  <c r="C30" i="4"/>
  <c r="B30" i="4"/>
  <c r="H29" i="4"/>
  <c r="F29" i="4"/>
  <c r="E29" i="4"/>
  <c r="D29" i="4"/>
  <c r="C29" i="4"/>
  <c r="B29" i="4"/>
  <c r="H28" i="4"/>
  <c r="F28" i="4"/>
  <c r="E28" i="4"/>
  <c r="D28" i="4"/>
  <c r="C28" i="4"/>
  <c r="B28" i="4"/>
  <c r="H27" i="4"/>
  <c r="F27" i="4"/>
  <c r="E27" i="4"/>
  <c r="D27" i="4"/>
  <c r="C27" i="4"/>
  <c r="B27" i="4"/>
  <c r="H26" i="4"/>
  <c r="F26" i="4"/>
  <c r="E26" i="4"/>
  <c r="D26" i="4"/>
  <c r="C26" i="4"/>
  <c r="B26" i="4"/>
  <c r="H25" i="4"/>
  <c r="F25" i="4"/>
  <c r="E25" i="4"/>
  <c r="D25" i="4"/>
  <c r="C25" i="4"/>
  <c r="B25" i="4"/>
  <c r="H24" i="4"/>
  <c r="F24" i="4"/>
  <c r="E24" i="4"/>
  <c r="D24" i="4"/>
  <c r="C24" i="4"/>
  <c r="B24" i="4"/>
  <c r="H23" i="4"/>
  <c r="F23" i="4"/>
  <c r="E23" i="4"/>
  <c r="D23" i="4"/>
  <c r="C23" i="4"/>
  <c r="B23" i="4"/>
  <c r="H22" i="4"/>
  <c r="F22" i="4"/>
  <c r="E22" i="4"/>
  <c r="D22" i="4"/>
  <c r="C22" i="4"/>
  <c r="B22" i="4"/>
  <c r="H21" i="4"/>
  <c r="F21" i="4"/>
  <c r="E21" i="4"/>
  <c r="D21" i="4"/>
  <c r="C21" i="4"/>
  <c r="B21" i="4"/>
  <c r="H20" i="4"/>
  <c r="F20" i="4"/>
  <c r="E20" i="4"/>
  <c r="D20" i="4"/>
  <c r="C20" i="4"/>
  <c r="B20" i="4"/>
  <c r="H19" i="4"/>
  <c r="F19" i="4"/>
  <c r="E19" i="4"/>
  <c r="D19" i="4"/>
  <c r="C19" i="4"/>
  <c r="B19" i="4"/>
  <c r="H18" i="4"/>
  <c r="F18" i="4"/>
  <c r="E18" i="4"/>
  <c r="D18" i="4"/>
  <c r="C18" i="4"/>
  <c r="B18" i="4"/>
  <c r="H17" i="4"/>
  <c r="F17" i="4"/>
  <c r="E17" i="4"/>
  <c r="D17" i="4"/>
  <c r="C17" i="4"/>
  <c r="B17" i="4"/>
  <c r="H16" i="4"/>
  <c r="F16" i="4"/>
  <c r="E16" i="4"/>
  <c r="D16" i="4"/>
  <c r="C16" i="4"/>
  <c r="B16" i="4"/>
  <c r="H15" i="4"/>
  <c r="F15" i="4"/>
  <c r="E15" i="4"/>
  <c r="D15" i="4"/>
  <c r="C15" i="4"/>
  <c r="B15" i="4"/>
  <c r="H14" i="4"/>
  <c r="F14" i="4"/>
  <c r="E14" i="4"/>
  <c r="D14" i="4"/>
  <c r="C14" i="4"/>
  <c r="B14" i="4"/>
  <c r="H13" i="4"/>
  <c r="F13" i="4"/>
  <c r="E13" i="4"/>
  <c r="D13" i="4"/>
  <c r="C13" i="4"/>
  <c r="B13" i="4"/>
  <c r="H12" i="4"/>
  <c r="F12" i="4"/>
  <c r="E12" i="4"/>
  <c r="D12" i="4"/>
  <c r="C12" i="4"/>
  <c r="B12" i="4"/>
  <c r="H11" i="4"/>
  <c r="F11" i="4"/>
  <c r="E11" i="4"/>
  <c r="D11" i="4"/>
  <c r="C11" i="4"/>
  <c r="B11" i="4"/>
  <c r="H10" i="4"/>
  <c r="F10" i="4"/>
  <c r="E10" i="4"/>
  <c r="D10" i="4"/>
  <c r="C10" i="4"/>
  <c r="B10" i="4"/>
  <c r="H9" i="4"/>
  <c r="F9" i="4"/>
  <c r="E9" i="4"/>
  <c r="D9" i="4"/>
  <c r="C9" i="4"/>
  <c r="B9" i="4"/>
  <c r="H8" i="4"/>
  <c r="F8" i="4"/>
  <c r="E8" i="4"/>
  <c r="D8" i="4"/>
  <c r="C8" i="4"/>
  <c r="B8" i="4"/>
  <c r="H7" i="4"/>
  <c r="F7" i="4"/>
  <c r="E7" i="4"/>
  <c r="D7" i="4"/>
  <c r="C7" i="4"/>
  <c r="B7" i="4"/>
  <c r="H6" i="4"/>
  <c r="F6" i="4"/>
  <c r="E6" i="4"/>
  <c r="D6" i="4"/>
  <c r="C6" i="4"/>
  <c r="B6" i="4"/>
  <c r="H5" i="4"/>
  <c r="F5" i="4"/>
  <c r="E5" i="4"/>
  <c r="D5" i="4"/>
  <c r="C5" i="4"/>
  <c r="B5" i="4"/>
  <c r="H4" i="4"/>
  <c r="F4" i="4"/>
  <c r="E4" i="4"/>
  <c r="D4" i="4"/>
  <c r="C4" i="4"/>
  <c r="B4" i="4"/>
  <c r="E37" i="15"/>
  <c r="D37" i="15"/>
  <c r="C37" i="15"/>
  <c r="B37" i="15"/>
  <c r="E36" i="15"/>
  <c r="D36" i="15"/>
  <c r="C36" i="15"/>
  <c r="B36" i="15"/>
  <c r="E35" i="15"/>
  <c r="D35" i="15"/>
  <c r="C35" i="15"/>
  <c r="B35" i="15"/>
  <c r="E34" i="15"/>
  <c r="D34" i="15"/>
  <c r="C34" i="15"/>
  <c r="B34" i="15"/>
  <c r="E33" i="15"/>
  <c r="D33" i="15"/>
  <c r="C33" i="15"/>
  <c r="B33" i="15"/>
  <c r="E32" i="15"/>
  <c r="D32" i="15"/>
  <c r="C32" i="15"/>
  <c r="B32" i="15"/>
  <c r="E31" i="15"/>
  <c r="D31" i="15"/>
  <c r="C31" i="15"/>
  <c r="B31" i="15"/>
  <c r="E30" i="15"/>
  <c r="D30" i="15"/>
  <c r="C30" i="15"/>
  <c r="B30" i="15"/>
  <c r="E29" i="15"/>
  <c r="D29" i="15"/>
  <c r="C29" i="15"/>
  <c r="B29" i="15"/>
  <c r="E28" i="15"/>
  <c r="D28" i="15"/>
  <c r="C28" i="15"/>
  <c r="B28" i="15"/>
  <c r="E27" i="15"/>
  <c r="D27" i="15"/>
  <c r="C27" i="15"/>
  <c r="B27" i="15"/>
  <c r="E26" i="15"/>
  <c r="D26" i="15"/>
  <c r="C26" i="15"/>
  <c r="B26" i="15"/>
  <c r="E25" i="15"/>
  <c r="D25" i="15"/>
  <c r="C25" i="15"/>
  <c r="B25" i="15"/>
  <c r="E24" i="15"/>
  <c r="D24" i="15"/>
  <c r="C24" i="15"/>
  <c r="B24" i="15"/>
  <c r="E23" i="15"/>
  <c r="D23" i="15"/>
  <c r="C23" i="15"/>
  <c r="B23" i="15"/>
  <c r="E22" i="15"/>
  <c r="D22" i="15"/>
  <c r="C22" i="15"/>
  <c r="B22" i="15"/>
  <c r="E21" i="15"/>
  <c r="D21" i="15"/>
  <c r="C21" i="15"/>
  <c r="B21" i="15"/>
  <c r="E20" i="15"/>
  <c r="D20" i="15"/>
  <c r="C20" i="15"/>
  <c r="B20" i="15"/>
  <c r="E19" i="15"/>
  <c r="D19" i="15"/>
  <c r="C19" i="15"/>
  <c r="B19" i="15"/>
  <c r="E18" i="15"/>
  <c r="D18" i="15"/>
  <c r="C18" i="15"/>
  <c r="B18" i="15"/>
  <c r="E17" i="15"/>
  <c r="D17" i="15"/>
  <c r="C17" i="15"/>
  <c r="B17" i="15"/>
  <c r="E16" i="15"/>
  <c r="D16" i="15"/>
  <c r="C16" i="15"/>
  <c r="B16" i="15"/>
  <c r="E15" i="15"/>
  <c r="D15" i="15"/>
  <c r="C15" i="15"/>
  <c r="B15" i="15"/>
  <c r="E14" i="15"/>
  <c r="D14" i="15"/>
  <c r="C14" i="15"/>
  <c r="B14" i="15"/>
  <c r="E13" i="15"/>
  <c r="D13" i="15"/>
  <c r="C13" i="15"/>
  <c r="B13" i="15"/>
  <c r="E12" i="15"/>
  <c r="D12" i="15"/>
  <c r="C12" i="15"/>
  <c r="B12" i="15"/>
  <c r="E11" i="15"/>
  <c r="D11" i="15"/>
  <c r="C11" i="15"/>
  <c r="B11" i="15"/>
  <c r="E10" i="15"/>
  <c r="D10" i="15"/>
  <c r="C10" i="15"/>
  <c r="B10" i="15"/>
  <c r="E9" i="15"/>
  <c r="D9" i="15"/>
  <c r="C9" i="15"/>
  <c r="B9" i="15"/>
  <c r="E8" i="15"/>
  <c r="D8" i="15"/>
  <c r="C8" i="15"/>
  <c r="B8" i="15"/>
  <c r="E7" i="15"/>
  <c r="D7" i="15"/>
  <c r="C7" i="15"/>
  <c r="B7" i="15"/>
  <c r="E6" i="15"/>
  <c r="D6" i="15"/>
  <c r="C6" i="15"/>
  <c r="B6" i="15"/>
  <c r="E5" i="15"/>
  <c r="D5" i="15"/>
  <c r="C5" i="15"/>
  <c r="B5" i="15"/>
  <c r="E4" i="15"/>
  <c r="D4" i="15"/>
  <c r="C4" i="15"/>
  <c r="B4" i="15"/>
  <c r="C37" i="14"/>
  <c r="B37" i="14"/>
  <c r="C36" i="14"/>
  <c r="B36" i="14"/>
  <c r="C35" i="14"/>
  <c r="B35" i="14"/>
  <c r="C34" i="14"/>
  <c r="B34" i="14"/>
  <c r="C33" i="14"/>
  <c r="B33" i="14"/>
  <c r="C32" i="14"/>
  <c r="B32" i="14"/>
  <c r="C31" i="14"/>
  <c r="B31" i="14"/>
  <c r="C30" i="14"/>
  <c r="B30" i="14"/>
  <c r="C29" i="14"/>
  <c r="B29" i="14"/>
  <c r="C28" i="14"/>
  <c r="B28" i="14"/>
  <c r="C27" i="14"/>
  <c r="B27" i="14"/>
  <c r="C26" i="14"/>
  <c r="B26" i="14"/>
  <c r="C25" i="14"/>
  <c r="B25" i="14"/>
  <c r="C24" i="14"/>
  <c r="B24" i="14"/>
  <c r="C23" i="14"/>
  <c r="B23" i="14"/>
  <c r="C22" i="14"/>
  <c r="B22" i="14"/>
  <c r="C21" i="14"/>
  <c r="B21" i="14"/>
  <c r="C20" i="14"/>
  <c r="B20" i="14"/>
  <c r="C19" i="14"/>
  <c r="B19" i="14"/>
  <c r="C18" i="14"/>
  <c r="B18" i="14"/>
  <c r="C17" i="14"/>
  <c r="B17" i="14"/>
  <c r="C16" i="14"/>
  <c r="B16" i="14"/>
  <c r="C15" i="14"/>
  <c r="B15" i="14"/>
  <c r="C14" i="14"/>
  <c r="B14" i="14"/>
  <c r="C13" i="14"/>
  <c r="B13" i="14"/>
  <c r="C12" i="14"/>
  <c r="B12" i="14"/>
  <c r="C11" i="14"/>
  <c r="B11" i="14"/>
  <c r="C10" i="14"/>
  <c r="B10" i="14"/>
  <c r="C9" i="14"/>
  <c r="B9" i="14"/>
  <c r="C8" i="14"/>
  <c r="B8" i="14"/>
  <c r="C7" i="14"/>
  <c r="B7" i="14"/>
  <c r="C6" i="14"/>
  <c r="B6" i="14"/>
  <c r="C5" i="14"/>
  <c r="B5" i="14"/>
  <c r="C4" i="14"/>
  <c r="B4" i="14"/>
  <c r="D8" i="13"/>
  <c r="B8" i="13"/>
  <c r="D7" i="13"/>
  <c r="B7" i="13"/>
  <c r="D6" i="13"/>
  <c r="B6" i="13"/>
  <c r="D5" i="13"/>
  <c r="B5" i="13"/>
  <c r="D4" i="13"/>
  <c r="B4" i="13"/>
  <c r="B30" i="12"/>
  <c r="K37" i="11"/>
  <c r="J37" i="11"/>
  <c r="E37" i="11"/>
  <c r="D37" i="11"/>
  <c r="C37" i="11"/>
  <c r="B37" i="11"/>
  <c r="K36" i="11"/>
  <c r="J36" i="11"/>
  <c r="E36" i="11"/>
  <c r="D36" i="11"/>
  <c r="C36" i="11"/>
  <c r="B36" i="11"/>
  <c r="K35" i="11"/>
  <c r="J35" i="11"/>
  <c r="E35" i="11"/>
  <c r="D35" i="11"/>
  <c r="C35" i="11"/>
  <c r="B35" i="11"/>
  <c r="K34" i="11"/>
  <c r="J34" i="11"/>
  <c r="E34" i="11"/>
  <c r="D34" i="11"/>
  <c r="C34" i="11"/>
  <c r="B34" i="11"/>
  <c r="K33" i="11"/>
  <c r="J33" i="11"/>
  <c r="E33" i="11"/>
  <c r="D33" i="11"/>
  <c r="C33" i="11"/>
  <c r="B33" i="11"/>
  <c r="K32" i="11"/>
  <c r="J32" i="11"/>
  <c r="E32" i="11"/>
  <c r="D32" i="11"/>
  <c r="C32" i="11"/>
  <c r="B32" i="11"/>
  <c r="K31" i="11"/>
  <c r="J31" i="11"/>
  <c r="E31" i="11"/>
  <c r="D31" i="11"/>
  <c r="C31" i="11"/>
  <c r="B31" i="11"/>
  <c r="K30" i="11"/>
  <c r="J30" i="11"/>
  <c r="E30" i="11"/>
  <c r="D30" i="11"/>
  <c r="C30" i="11"/>
  <c r="B30" i="11"/>
  <c r="K29" i="11"/>
  <c r="J29" i="11"/>
  <c r="E29" i="11"/>
  <c r="D29" i="11"/>
  <c r="C29" i="11"/>
  <c r="B29" i="11"/>
  <c r="K28" i="11"/>
  <c r="J28" i="11"/>
  <c r="E28" i="11"/>
  <c r="D28" i="11"/>
  <c r="C28" i="11"/>
  <c r="B28" i="11"/>
  <c r="K27" i="11"/>
  <c r="J27" i="11"/>
  <c r="E27" i="11"/>
  <c r="D27" i="11"/>
  <c r="C27" i="11"/>
  <c r="B27" i="11"/>
  <c r="K26" i="11"/>
  <c r="J26" i="11"/>
  <c r="E26" i="11"/>
  <c r="D26" i="11"/>
  <c r="C26" i="11"/>
  <c r="B26" i="11"/>
  <c r="K25" i="11"/>
  <c r="J25" i="11"/>
  <c r="E25" i="11"/>
  <c r="D25" i="11"/>
  <c r="C25" i="11"/>
  <c r="B25" i="11"/>
  <c r="K24" i="11"/>
  <c r="J24" i="11"/>
  <c r="E24" i="11"/>
  <c r="D24" i="11"/>
  <c r="C24" i="11"/>
  <c r="B24" i="11"/>
  <c r="K23" i="11"/>
  <c r="J23" i="11"/>
  <c r="E23" i="11"/>
  <c r="D23" i="11"/>
  <c r="C23" i="11"/>
  <c r="B23" i="11"/>
  <c r="K22" i="11"/>
  <c r="J22" i="11"/>
  <c r="E22" i="11"/>
  <c r="D22" i="11"/>
  <c r="C22" i="11"/>
  <c r="B22" i="11"/>
  <c r="K21" i="11"/>
  <c r="J21" i="11"/>
  <c r="E21" i="11"/>
  <c r="D21" i="11"/>
  <c r="C21" i="11"/>
  <c r="B21" i="11"/>
  <c r="K20" i="11"/>
  <c r="J20" i="11"/>
  <c r="E20" i="11"/>
  <c r="D20" i="11"/>
  <c r="C20" i="11"/>
  <c r="B20" i="11"/>
  <c r="K19" i="11"/>
  <c r="J19" i="11"/>
  <c r="E19" i="11"/>
  <c r="D19" i="11"/>
  <c r="C19" i="11"/>
  <c r="B19" i="11"/>
  <c r="K18" i="11"/>
  <c r="J18" i="11"/>
  <c r="E18" i="11"/>
  <c r="D18" i="11"/>
  <c r="C18" i="11"/>
  <c r="B18" i="11"/>
  <c r="K17" i="11"/>
  <c r="J17" i="11"/>
  <c r="E17" i="11"/>
  <c r="D17" i="11"/>
  <c r="C17" i="11"/>
  <c r="B17" i="11"/>
  <c r="K16" i="11"/>
  <c r="J16" i="11"/>
  <c r="E16" i="11"/>
  <c r="D16" i="11"/>
  <c r="C16" i="11"/>
  <c r="B16" i="11"/>
  <c r="K15" i="11"/>
  <c r="J15" i="11"/>
  <c r="E15" i="11"/>
  <c r="D15" i="11"/>
  <c r="C15" i="11"/>
  <c r="B15" i="11"/>
  <c r="K14" i="11"/>
  <c r="J14" i="11"/>
  <c r="E14" i="11"/>
  <c r="D14" i="11"/>
  <c r="C14" i="11"/>
  <c r="B14" i="11"/>
  <c r="K13" i="11"/>
  <c r="J13" i="11"/>
  <c r="E13" i="11"/>
  <c r="D13" i="11"/>
  <c r="C13" i="11"/>
  <c r="B13" i="11"/>
  <c r="K12" i="11"/>
  <c r="J12" i="11"/>
  <c r="E12" i="11"/>
  <c r="D12" i="11"/>
  <c r="C12" i="11"/>
  <c r="B12" i="11"/>
  <c r="K11" i="11"/>
  <c r="J11" i="11"/>
  <c r="E11" i="11"/>
  <c r="D11" i="11"/>
  <c r="C11" i="11"/>
  <c r="B11" i="11"/>
  <c r="K10" i="11"/>
  <c r="J10" i="11"/>
  <c r="E10" i="11"/>
  <c r="D10" i="11"/>
  <c r="C10" i="11"/>
  <c r="B10" i="11"/>
  <c r="K9" i="11"/>
  <c r="J9" i="11"/>
  <c r="E9" i="11"/>
  <c r="D9" i="11"/>
  <c r="C9" i="11"/>
  <c r="B9" i="11"/>
  <c r="K8" i="11"/>
  <c r="J8" i="11"/>
  <c r="E8" i="11"/>
  <c r="D8" i="11"/>
  <c r="C8" i="11"/>
  <c r="B8" i="11"/>
  <c r="K7" i="11"/>
  <c r="J7" i="11"/>
  <c r="E7" i="11"/>
  <c r="D7" i="11"/>
  <c r="C7" i="11"/>
  <c r="B7" i="11"/>
  <c r="K6" i="11"/>
  <c r="J6" i="11"/>
  <c r="E6" i="11"/>
  <c r="D6" i="11"/>
  <c r="C6" i="11"/>
  <c r="B6" i="11"/>
  <c r="K5" i="11"/>
  <c r="J5" i="11"/>
  <c r="E5" i="11"/>
  <c r="D5" i="11"/>
  <c r="C5" i="11"/>
  <c r="B5" i="11"/>
  <c r="K4" i="11"/>
  <c r="J4" i="11"/>
  <c r="E4" i="11"/>
  <c r="D4" i="11"/>
  <c r="C4" i="11"/>
  <c r="B4" i="11"/>
  <c r="B4" i="3"/>
  <c r="L20" i="9"/>
  <c r="K20" i="9"/>
  <c r="E20" i="9"/>
  <c r="D20" i="9"/>
  <c r="C20" i="9"/>
  <c r="B20" i="9"/>
  <c r="L19" i="9"/>
  <c r="K19" i="9"/>
  <c r="E19" i="9"/>
  <c r="D19" i="9"/>
  <c r="C19" i="9"/>
  <c r="B19" i="9"/>
  <c r="L18" i="9"/>
  <c r="K18" i="9"/>
  <c r="E18" i="9"/>
  <c r="D18" i="9"/>
  <c r="C18" i="9"/>
  <c r="B18" i="9"/>
  <c r="L17" i="9"/>
  <c r="K17" i="9"/>
  <c r="E17" i="9"/>
  <c r="D17" i="9"/>
  <c r="C17" i="9"/>
  <c r="B17" i="9"/>
  <c r="L16" i="9"/>
  <c r="K16" i="9"/>
  <c r="E16" i="9"/>
  <c r="D16" i="9"/>
  <c r="C16" i="9"/>
  <c r="B16" i="9"/>
  <c r="L15" i="9"/>
  <c r="K15" i="9"/>
  <c r="E15" i="9"/>
  <c r="D15" i="9"/>
  <c r="C15" i="9"/>
  <c r="B15" i="9"/>
  <c r="L14" i="9"/>
  <c r="K14" i="9"/>
  <c r="E14" i="9"/>
  <c r="D14" i="9"/>
  <c r="C14" i="9"/>
  <c r="B14" i="9"/>
  <c r="L13" i="9"/>
  <c r="K13" i="9"/>
  <c r="E13" i="9"/>
  <c r="D13" i="9"/>
  <c r="C13" i="9"/>
  <c r="B13" i="9"/>
  <c r="L12" i="9"/>
  <c r="K12" i="9"/>
  <c r="E12" i="9"/>
  <c r="D12" i="9"/>
  <c r="C12" i="9"/>
  <c r="B12" i="9"/>
  <c r="L11" i="9"/>
  <c r="K11" i="9"/>
  <c r="E11" i="9"/>
  <c r="D11" i="9"/>
  <c r="C11" i="9"/>
  <c r="B11" i="9"/>
  <c r="L10" i="9"/>
  <c r="K10" i="9"/>
  <c r="E10" i="9"/>
  <c r="D10" i="9"/>
  <c r="C10" i="9"/>
  <c r="B10" i="9"/>
  <c r="L9" i="9"/>
  <c r="K9" i="9"/>
  <c r="E9" i="9"/>
  <c r="D9" i="9"/>
  <c r="C9" i="9"/>
  <c r="B9" i="9"/>
  <c r="L8" i="9"/>
  <c r="K8" i="9"/>
  <c r="E8" i="9"/>
  <c r="D8" i="9"/>
  <c r="C8" i="9"/>
  <c r="B8" i="9"/>
  <c r="L7" i="9"/>
  <c r="K7" i="9"/>
  <c r="E7" i="9"/>
  <c r="D7" i="9"/>
  <c r="C7" i="9"/>
  <c r="B7" i="9"/>
  <c r="L6" i="9"/>
  <c r="K6" i="9"/>
  <c r="E6" i="9"/>
  <c r="D6" i="9"/>
  <c r="C6" i="9"/>
  <c r="B6" i="9"/>
  <c r="L5" i="9"/>
  <c r="K5" i="9"/>
  <c r="E5" i="9"/>
  <c r="D5" i="9"/>
  <c r="C5" i="9"/>
  <c r="B5" i="9"/>
  <c r="L4" i="9"/>
  <c r="K4" i="9"/>
  <c r="E4" i="9"/>
  <c r="D4" i="9"/>
  <c r="C4" i="9"/>
  <c r="B4" i="9"/>
  <c r="L19" i="7"/>
  <c r="K19" i="7"/>
  <c r="F19" i="7"/>
  <c r="E19" i="7"/>
  <c r="D19" i="7"/>
  <c r="C19" i="7"/>
  <c r="B19" i="7"/>
  <c r="L18" i="7"/>
  <c r="K18" i="7"/>
  <c r="F18" i="7"/>
  <c r="E18" i="7"/>
  <c r="D18" i="7"/>
  <c r="C18" i="7"/>
  <c r="B18" i="7"/>
  <c r="L17" i="7"/>
  <c r="K17" i="7"/>
  <c r="F17" i="7"/>
  <c r="E17" i="7"/>
  <c r="D17" i="7"/>
  <c r="C17" i="7"/>
  <c r="B17" i="7"/>
  <c r="L16" i="7"/>
  <c r="K16" i="7"/>
  <c r="F16" i="7"/>
  <c r="E16" i="7"/>
  <c r="D16" i="7"/>
  <c r="C16" i="7"/>
  <c r="B16" i="7"/>
  <c r="L15" i="7"/>
  <c r="K15" i="7"/>
  <c r="F15" i="7"/>
  <c r="E15" i="7"/>
  <c r="D15" i="7"/>
  <c r="C15" i="7"/>
  <c r="B15" i="7"/>
  <c r="L14" i="7"/>
  <c r="K14" i="7"/>
  <c r="F14" i="7"/>
  <c r="E14" i="7"/>
  <c r="D14" i="7"/>
  <c r="C14" i="7"/>
  <c r="B14" i="7"/>
  <c r="L13" i="7"/>
  <c r="K13" i="7"/>
  <c r="F13" i="7"/>
  <c r="E13" i="7"/>
  <c r="D13" i="7"/>
  <c r="C13" i="7"/>
  <c r="B13" i="7"/>
  <c r="L12" i="7"/>
  <c r="K12" i="7"/>
  <c r="F12" i="7"/>
  <c r="E12" i="7"/>
  <c r="D12" i="7"/>
  <c r="C12" i="7"/>
  <c r="B12" i="7"/>
  <c r="L10" i="7"/>
  <c r="K10" i="7"/>
  <c r="F10" i="7"/>
  <c r="E10" i="7"/>
  <c r="D10" i="7"/>
  <c r="C10" i="7"/>
  <c r="B10" i="7"/>
  <c r="L9" i="7"/>
  <c r="K9" i="7"/>
  <c r="F9" i="7"/>
  <c r="E9" i="7"/>
  <c r="D9" i="7"/>
  <c r="C9" i="7"/>
  <c r="B9" i="7"/>
  <c r="L7" i="7"/>
  <c r="K7" i="7"/>
  <c r="F7" i="7"/>
  <c r="E7" i="7"/>
  <c r="D7" i="7"/>
  <c r="C7" i="7"/>
  <c r="B7" i="7"/>
  <c r="L6" i="7"/>
  <c r="K6" i="7"/>
  <c r="F6" i="7"/>
  <c r="E6" i="7"/>
  <c r="D6" i="7"/>
  <c r="C6" i="7"/>
  <c r="B6" i="7"/>
  <c r="L5" i="7"/>
  <c r="K5" i="7"/>
  <c r="F5" i="7"/>
  <c r="E5" i="7"/>
  <c r="D5" i="7"/>
  <c r="C5" i="7"/>
  <c r="B5" i="7"/>
  <c r="L4" i="7"/>
  <c r="K4" i="7"/>
  <c r="F4" i="7"/>
  <c r="E4" i="7"/>
  <c r="D4" i="7"/>
  <c r="C4" i="7"/>
  <c r="B4" i="7"/>
  <c r="B29" i="6"/>
  <c r="C28" i="6"/>
  <c r="B28" i="6"/>
  <c r="C27" i="6"/>
  <c r="B27" i="6"/>
  <c r="C26" i="6"/>
  <c r="B26" i="6"/>
  <c r="F17" i="6"/>
  <c r="C9" i="6"/>
  <c r="B9" i="6"/>
  <c r="C8" i="6"/>
  <c r="B8" i="6"/>
  <c r="AB38" i="5"/>
  <c r="AA38" i="5"/>
  <c r="AB37" i="5"/>
  <c r="AA37" i="5"/>
  <c r="AB36" i="5"/>
  <c r="AA36" i="5"/>
  <c r="AB35" i="5"/>
  <c r="AA35" i="5"/>
  <c r="AB34" i="5"/>
  <c r="AA34" i="5"/>
  <c r="AB33" i="5"/>
  <c r="AA33" i="5"/>
  <c r="AB32" i="5"/>
  <c r="AA32" i="5"/>
  <c r="AB31" i="5"/>
  <c r="AA31" i="5"/>
  <c r="AB30" i="5"/>
  <c r="AA30" i="5"/>
  <c r="AB29" i="5"/>
  <c r="AA29" i="5"/>
  <c r="AB28" i="5"/>
  <c r="AA28" i="5"/>
  <c r="AB27" i="5"/>
  <c r="AA27" i="5"/>
  <c r="AA26" i="5"/>
  <c r="AB24" i="5"/>
  <c r="AA24" i="5"/>
  <c r="AB23" i="5"/>
  <c r="AA23" i="5"/>
  <c r="AB22" i="5"/>
  <c r="AA22" i="5"/>
  <c r="AB21" i="5"/>
  <c r="AA21" i="5"/>
  <c r="AB20" i="5"/>
  <c r="AA20" i="5"/>
  <c r="AB19" i="5"/>
  <c r="AA19" i="5"/>
  <c r="AB18" i="5"/>
  <c r="AA18" i="5"/>
  <c r="AB17" i="5"/>
  <c r="AA17" i="5"/>
  <c r="AB16" i="5"/>
  <c r="AA16" i="5"/>
  <c r="AB15" i="5"/>
  <c r="AA15" i="5"/>
  <c r="AB14" i="5"/>
  <c r="AA14" i="5"/>
  <c r="AA13" i="5"/>
  <c r="AB12" i="5"/>
  <c r="AA12" i="5"/>
  <c r="AB11" i="5"/>
  <c r="AA11" i="5"/>
  <c r="AB10" i="5"/>
  <c r="AA10" i="5"/>
  <c r="AB9" i="5"/>
  <c r="AA9" i="5"/>
  <c r="AB8" i="5"/>
  <c r="AA8" i="5"/>
  <c r="AB7" i="5"/>
  <c r="AA7" i="5"/>
  <c r="AB6" i="5"/>
  <c r="AA6" i="5"/>
  <c r="AB5" i="5"/>
  <c r="AA5" i="5"/>
  <c r="T38" i="5" a="1"/>
  <c r="T38" i="5" s="1"/>
  <c r="T37" i="5" a="1"/>
  <c r="T37" i="5" s="1"/>
  <c r="T36" i="5" a="1"/>
  <c r="T36" i="5" s="1"/>
  <c r="I18" i="9" s="1"/>
  <c r="T35" i="5" a="1"/>
  <c r="T35" i="5" s="1"/>
  <c r="I17" i="9" s="1"/>
  <c r="T34" i="5" a="1"/>
  <c r="T34" i="5" s="1"/>
  <c r="M19" i="7" s="1"/>
  <c r="T33" i="5" a="1"/>
  <c r="T33" i="5" s="1"/>
  <c r="M18" i="7" s="1"/>
  <c r="T32" i="5" a="1"/>
  <c r="T32" i="5" s="1"/>
  <c r="I16" i="9" s="1"/>
  <c r="T31" i="5" a="1"/>
  <c r="T31" i="5" s="1"/>
  <c r="I15" i="9" s="1"/>
  <c r="T30" i="5" a="1"/>
  <c r="T30" i="5" s="1"/>
  <c r="I14" i="9" s="1"/>
  <c r="T29" i="5" a="1"/>
  <c r="T29" i="5" s="1"/>
  <c r="I13" i="9" s="1"/>
  <c r="T28" i="5" a="1"/>
  <c r="T28" i="5" s="1"/>
  <c r="T27" i="5" a="1"/>
  <c r="T27" i="5" s="1"/>
  <c r="T26" i="5" a="1"/>
  <c r="T26" i="5" s="1"/>
  <c r="F63" i="10" s="1"/>
  <c r="T25" i="5" a="1"/>
  <c r="T25" i="5" s="1"/>
  <c r="F62" i="10" s="1"/>
  <c r="T24" i="5" a="1"/>
  <c r="T24" i="5" s="1"/>
  <c r="M15" i="7" s="1"/>
  <c r="T23" i="5" a="1"/>
  <c r="T23" i="5" s="1"/>
  <c r="I12" i="9" s="1"/>
  <c r="T22" i="5" a="1"/>
  <c r="T22" i="5" s="1"/>
  <c r="I11" i="9" s="1"/>
  <c r="T21" i="5" a="1"/>
  <c r="T21" i="5" s="1"/>
  <c r="M14" i="7" s="1"/>
  <c r="T20" i="5" a="1"/>
  <c r="T20" i="5" s="1"/>
  <c r="M13" i="7" s="1"/>
  <c r="T19" i="5" a="1"/>
  <c r="T19" i="5" s="1"/>
  <c r="M12" i="7" s="1"/>
  <c r="T18" i="5" a="1"/>
  <c r="T18" i="5" s="1"/>
  <c r="M10" i="7" s="1"/>
  <c r="T17" i="5" a="1"/>
  <c r="T17" i="5" s="1"/>
  <c r="T16" i="5" a="1"/>
  <c r="T16" i="5" s="1"/>
  <c r="M9" i="7" s="1"/>
  <c r="T15" i="5" a="1"/>
  <c r="T15" i="5" s="1"/>
  <c r="H14" i="11" s="1"/>
  <c r="T14" i="5" a="1"/>
  <c r="T14" i="5" s="1"/>
  <c r="T13" i="5" a="1"/>
  <c r="T13" i="5" s="1"/>
  <c r="F61" i="10" s="1"/>
  <c r="T12" i="5" a="1"/>
  <c r="T12" i="5" s="1"/>
  <c r="I7" i="9" s="1"/>
  <c r="T11" i="5" a="1"/>
  <c r="T11" i="5" s="1"/>
  <c r="M7" i="7" s="1"/>
  <c r="T10" i="5" a="1"/>
  <c r="T10" i="5" s="1"/>
  <c r="M6" i="7" s="1"/>
  <c r="T9" i="5" a="1"/>
  <c r="T9" i="5" s="1"/>
  <c r="M5" i="7" s="1"/>
  <c r="T8" i="5" a="1"/>
  <c r="T8" i="5" s="1"/>
  <c r="I6" i="9" s="1"/>
  <c r="T7" i="5" a="1"/>
  <c r="T7" i="5" s="1"/>
  <c r="M4" i="7" s="1"/>
  <c r="T6" i="5" a="1"/>
  <c r="T6" i="5" s="1"/>
  <c r="I5" i="9" s="1"/>
  <c r="T5" i="5" a="1"/>
  <c r="T5" i="5" s="1"/>
  <c r="M38" i="5"/>
  <c r="M37" i="5"/>
  <c r="O37" i="5" s="1"/>
  <c r="M36" i="5"/>
  <c r="O36" i="5" s="1"/>
  <c r="M35" i="5"/>
  <c r="M34" i="5"/>
  <c r="G19" i="7" s="1"/>
  <c r="M33" i="5"/>
  <c r="M32" i="5"/>
  <c r="M31" i="5"/>
  <c r="M30" i="5"/>
  <c r="M29" i="5"/>
  <c r="M28" i="5"/>
  <c r="G17" i="7" s="1"/>
  <c r="M27" i="5"/>
  <c r="M26" i="5"/>
  <c r="M25" i="5"/>
  <c r="M24" i="5"/>
  <c r="M23" i="5"/>
  <c r="M22" i="5"/>
  <c r="M21" i="5"/>
  <c r="M20" i="5"/>
  <c r="M19" i="5"/>
  <c r="M18" i="5"/>
  <c r="M17" i="5"/>
  <c r="M16" i="5"/>
  <c r="M15" i="5"/>
  <c r="O15" i="5" s="1"/>
  <c r="M14" i="5"/>
  <c r="M13" i="5"/>
  <c r="M12" i="5"/>
  <c r="O12" i="5" s="1"/>
  <c r="M11" i="5"/>
  <c r="H7" i="7" s="1"/>
  <c r="M10" i="5"/>
  <c r="M9" i="5"/>
  <c r="M8" i="5"/>
  <c r="M7" i="5"/>
  <c r="O7" i="5" s="1"/>
  <c r="M6" i="5"/>
  <c r="M5" i="5"/>
  <c r="H34" i="5"/>
  <c r="H33" i="5"/>
  <c r="H28" i="5"/>
  <c r="H27" i="5"/>
  <c r="H11" i="5"/>
  <c r="H10" i="5"/>
  <c r="H9" i="5"/>
  <c r="H7" i="5"/>
  <c r="B52" i="3"/>
  <c r="B51" i="3"/>
  <c r="B50" i="3"/>
  <c r="B49" i="3"/>
  <c r="B39" i="3" a="1"/>
  <c r="B39" i="3" s="1"/>
  <c r="B38" i="3" a="1"/>
  <c r="B38" i="3" s="1"/>
  <c r="B37" i="3" a="1"/>
  <c r="B37" i="3" s="1"/>
  <c r="B36" i="3" a="1"/>
  <c r="B36" i="3" s="1"/>
  <c r="E9" i="12" s="1"/>
  <c r="G9" i="12" s="1"/>
  <c r="H9" i="12" s="1"/>
  <c r="B35" i="3" a="1"/>
  <c r="B35" i="3" s="1"/>
  <c r="B34" i="3" a="1"/>
  <c r="B34" i="3" s="1"/>
  <c r="B33" i="3" a="1"/>
  <c r="B33" i="3" s="1"/>
  <c r="E19" i="12" s="1"/>
  <c r="G19" i="12" s="1"/>
  <c r="H19" i="12" s="1"/>
  <c r="B32" i="3" a="1"/>
  <c r="B32" i="3" s="1"/>
  <c r="B31" i="3" a="1"/>
  <c r="B31" i="3" s="1"/>
  <c r="B30" i="3" a="1"/>
  <c r="B30" i="3" s="1"/>
  <c r="B29" i="3" a="1"/>
  <c r="B29" i="3" s="1"/>
  <c r="B28" i="3" a="1"/>
  <c r="B28" i="3" s="1"/>
  <c r="B27" i="3" a="1"/>
  <c r="B27" i="3" s="1"/>
  <c r="B26" i="3" a="1"/>
  <c r="B26" i="3" s="1"/>
  <c r="B25" i="3" a="1"/>
  <c r="B25" i="3" s="1"/>
  <c r="D33" i="22" s="1"/>
  <c r="B24" i="3" a="1"/>
  <c r="B24" i="3" s="1"/>
  <c r="D32" i="22" s="1"/>
  <c r="O5" i="5" l="1"/>
  <c r="D19" i="6" a="1"/>
  <c r="D19" i="6" s="1"/>
  <c r="D18" i="6" a="1"/>
  <c r="D18" i="6" s="1"/>
  <c r="D17" i="6" a="1"/>
  <c r="D17" i="6" s="1"/>
  <c r="D16" i="6" a="1"/>
  <c r="D16" i="6" s="1"/>
  <c r="D15" i="6" a="1"/>
  <c r="D15" i="6" s="1"/>
  <c r="O33" i="5"/>
  <c r="H18" i="7" s="1"/>
  <c r="P10" i="10"/>
  <c r="F5" i="11"/>
  <c r="O6" i="5"/>
  <c r="G10" i="7"/>
  <c r="O18" i="5"/>
  <c r="F14" i="9"/>
  <c r="O30" i="5"/>
  <c r="G12" i="7"/>
  <c r="O19" i="5"/>
  <c r="D30" i="14"/>
  <c r="O31" i="5"/>
  <c r="O9" i="5"/>
  <c r="H5" i="7" s="1"/>
  <c r="O21" i="5"/>
  <c r="H14" i="7" s="1"/>
  <c r="F22" i="11"/>
  <c r="O23" i="5"/>
  <c r="O24" i="5"/>
  <c r="Q24" i="5" s="1"/>
  <c r="J15" i="7" s="1"/>
  <c r="B61" i="10"/>
  <c r="F24" i="11"/>
  <c r="J8" i="10"/>
  <c r="F8" i="9"/>
  <c r="O14" i="5"/>
  <c r="C7" i="6"/>
  <c r="O11" i="10"/>
  <c r="C29" i="6"/>
  <c r="O38" i="5"/>
  <c r="O16" i="5"/>
  <c r="H9" i="7" s="1"/>
  <c r="O17" i="5"/>
  <c r="P17" i="5" s="1"/>
  <c r="O29" i="5"/>
  <c r="P29" i="5" s="1"/>
  <c r="F6" i="9"/>
  <c r="O8" i="5"/>
  <c r="O20" i="5"/>
  <c r="G19" i="11" s="1"/>
  <c r="F16" i="9"/>
  <c r="O32" i="5"/>
  <c r="Q32" i="5" s="1"/>
  <c r="G6" i="7"/>
  <c r="O10" i="5"/>
  <c r="F11" i="9"/>
  <c r="O22" i="5"/>
  <c r="F34" i="11"/>
  <c r="O35" i="5"/>
  <c r="Q35" i="5" s="1"/>
  <c r="O27" i="5"/>
  <c r="E32" i="22"/>
  <c r="E23" i="18" s="1"/>
  <c r="D23" i="18"/>
  <c r="E33" i="22"/>
  <c r="E24" i="18" s="1"/>
  <c r="D24" i="18"/>
  <c r="AB13" i="5"/>
  <c r="B8" i="8" s="1"/>
  <c r="D49" i="22"/>
  <c r="E49" i="22" s="1"/>
  <c r="E4" i="14"/>
  <c r="D28" i="22" a="1"/>
  <c r="D28" i="22" s="1"/>
  <c r="D29" i="22" a="1"/>
  <c r="D29" i="22" s="1"/>
  <c r="D34" i="22"/>
  <c r="AA25" i="5"/>
  <c r="D50" i="22"/>
  <c r="E50" i="22" s="1"/>
  <c r="AB25" i="5"/>
  <c r="C8" i="8" s="1"/>
  <c r="D51" i="22"/>
  <c r="E51" i="22" s="1"/>
  <c r="Q7" i="5"/>
  <c r="J4" i="7" s="1"/>
  <c r="D41" i="22"/>
  <c r="AB26" i="5"/>
  <c r="D8" i="8" s="1"/>
  <c r="D52" i="22"/>
  <c r="E52" i="22" s="1"/>
  <c r="D43" i="22"/>
  <c r="E43" i="22" s="1"/>
  <c r="F36" i="15"/>
  <c r="G36" i="15" s="1"/>
  <c r="H36" i="15" s="1"/>
  <c r="D35" i="22"/>
  <c r="D42" i="22"/>
  <c r="D31" i="22"/>
  <c r="B7" i="22"/>
  <c r="F67" i="17" s="1"/>
  <c r="B8" i="22"/>
  <c r="H67" i="17" s="1"/>
  <c r="D4" i="8"/>
  <c r="D10" i="2"/>
  <c r="B15" i="6" a="1"/>
  <c r="B15" i="6" s="1"/>
  <c r="B16" i="6" a="1"/>
  <c r="B16" i="6" s="1"/>
  <c r="D7" i="8"/>
  <c r="B17" i="6" a="1"/>
  <c r="B17" i="6" s="1"/>
  <c r="B18" i="6" a="1"/>
  <c r="B18" i="6" s="1"/>
  <c r="B19" i="6" a="1"/>
  <c r="B19" i="6" s="1"/>
  <c r="B4" i="8"/>
  <c r="C4" i="8"/>
  <c r="H8" i="11"/>
  <c r="H32" i="11"/>
  <c r="C11" i="8"/>
  <c r="F52" i="10"/>
  <c r="F8" i="10"/>
  <c r="E5" i="10"/>
  <c r="F16" i="8"/>
  <c r="B11" i="8"/>
  <c r="B7" i="8"/>
  <c r="B63" i="10"/>
  <c r="F36" i="10"/>
  <c r="F30" i="10"/>
  <c r="F27" i="10"/>
  <c r="F10" i="10"/>
  <c r="D10" i="8"/>
  <c r="D11" i="8"/>
  <c r="C10" i="8"/>
  <c r="B62" i="10"/>
  <c r="F12" i="10"/>
  <c r="F57" i="10"/>
  <c r="F50" i="10"/>
  <c r="B10" i="8"/>
  <c r="F46" i="10"/>
  <c r="F9" i="10"/>
  <c r="F7" i="10"/>
  <c r="F53" i="10"/>
  <c r="F29" i="11"/>
  <c r="H6" i="11"/>
  <c r="H18" i="11"/>
  <c r="E15" i="12"/>
  <c r="G15" i="12" s="1"/>
  <c r="H15" i="12" s="1"/>
  <c r="G10" i="11"/>
  <c r="H35" i="11"/>
  <c r="H30" i="11"/>
  <c r="A4" i="2"/>
  <c r="H21" i="11"/>
  <c r="E14" i="12"/>
  <c r="G14" i="12" s="1"/>
  <c r="H14" i="12" s="1"/>
  <c r="H34" i="11"/>
  <c r="F31" i="11"/>
  <c r="H20" i="11"/>
  <c r="F9" i="11"/>
  <c r="H9" i="11"/>
  <c r="H24" i="11"/>
  <c r="F25" i="11"/>
  <c r="E6" i="12"/>
  <c r="F13" i="11"/>
  <c r="H15" i="11"/>
  <c r="E12" i="12"/>
  <c r="G12" i="12" s="1"/>
  <c r="H12" i="12" s="1"/>
  <c r="E18" i="12"/>
  <c r="G18" i="12" s="1"/>
  <c r="H18" i="12" s="1"/>
  <c r="H31" i="11"/>
  <c r="H10" i="11"/>
  <c r="F19" i="11"/>
  <c r="F33" i="11"/>
  <c r="E23" i="12"/>
  <c r="G23" i="12" s="1"/>
  <c r="H23" i="12" s="1"/>
  <c r="D31" i="14"/>
  <c r="F7" i="11"/>
  <c r="H12" i="11"/>
  <c r="H19" i="11"/>
  <c r="H33" i="11"/>
  <c r="D4" i="14"/>
  <c r="D22" i="14"/>
  <c r="D13" i="14"/>
  <c r="G28" i="4"/>
  <c r="I8" i="9"/>
  <c r="H13" i="11"/>
  <c r="G13" i="4"/>
  <c r="E7" i="12"/>
  <c r="G7" i="12" s="1"/>
  <c r="H7" i="12" s="1"/>
  <c r="G16" i="7"/>
  <c r="D26" i="14"/>
  <c r="F26" i="11"/>
  <c r="I9" i="9"/>
  <c r="G14" i="4"/>
  <c r="M16" i="7"/>
  <c r="G26" i="4"/>
  <c r="H26" i="11"/>
  <c r="M17" i="7"/>
  <c r="G27" i="4"/>
  <c r="H27" i="11"/>
  <c r="I4" i="9"/>
  <c r="H4" i="11"/>
  <c r="G4" i="4"/>
  <c r="C25" i="6"/>
  <c r="C30" i="6" s="1"/>
  <c r="D11" i="14"/>
  <c r="F11" i="11"/>
  <c r="D23" i="14"/>
  <c r="Q36" i="5"/>
  <c r="D35" i="14"/>
  <c r="F35" i="11"/>
  <c r="D12" i="14"/>
  <c r="F12" i="11"/>
  <c r="F23" i="11"/>
  <c r="D24" i="14"/>
  <c r="F9" i="9"/>
  <c r="D14" i="14"/>
  <c r="E8" i="12"/>
  <c r="F8" i="12" s="1"/>
  <c r="E24" i="12"/>
  <c r="F24" i="12" s="1"/>
  <c r="D14" i="16"/>
  <c r="E25" i="12"/>
  <c r="E16" i="12"/>
  <c r="G16" i="12" s="1"/>
  <c r="H16" i="12" s="1"/>
  <c r="E21" i="12"/>
  <c r="G21" i="12" s="1"/>
  <c r="H21" i="12" s="1"/>
  <c r="E13" i="12"/>
  <c r="G13" i="12" s="1"/>
  <c r="H13" i="12" s="1"/>
  <c r="E4" i="12"/>
  <c r="G4" i="12" s="1"/>
  <c r="H4" i="12" s="1"/>
  <c r="E27" i="12"/>
  <c r="G27" i="12" s="1"/>
  <c r="H27" i="12" s="1"/>
  <c r="E10" i="12"/>
  <c r="G10" i="12" s="1"/>
  <c r="H10" i="12" s="1"/>
  <c r="C14" i="16"/>
  <c r="E17" i="12"/>
  <c r="E11" i="12"/>
  <c r="P37" i="5"/>
  <c r="F36" i="11"/>
  <c r="D36" i="14"/>
  <c r="E14" i="16"/>
  <c r="G25" i="4"/>
  <c r="I20" i="9"/>
  <c r="H37" i="11"/>
  <c r="G37" i="4"/>
  <c r="I10" i="9"/>
  <c r="H16" i="11"/>
  <c r="G16" i="4"/>
  <c r="F14" i="11"/>
  <c r="H25" i="11"/>
  <c r="I19" i="9"/>
  <c r="G36" i="4"/>
  <c r="H36" i="11"/>
  <c r="D6" i="14"/>
  <c r="H9" i="14"/>
  <c r="I9" i="14" s="1"/>
  <c r="D15" i="14"/>
  <c r="H18" i="14"/>
  <c r="I18" i="14" s="1"/>
  <c r="H27" i="14"/>
  <c r="I27" i="14" s="1"/>
  <c r="D33" i="14"/>
  <c r="H36" i="14"/>
  <c r="I36" i="14" s="1"/>
  <c r="F4" i="15"/>
  <c r="G4" i="15" s="1"/>
  <c r="H4" i="15" s="1"/>
  <c r="G11" i="4"/>
  <c r="G23" i="4"/>
  <c r="G35" i="4"/>
  <c r="F19" i="15"/>
  <c r="G19" i="15" s="1"/>
  <c r="H19" i="15" s="1"/>
  <c r="F32" i="15"/>
  <c r="G32" i="15" s="1"/>
  <c r="H32" i="15" s="1"/>
  <c r="F21" i="11"/>
  <c r="H22" i="11"/>
  <c r="F19" i="12"/>
  <c r="E26" i="12"/>
  <c r="F16" i="11"/>
  <c r="H17" i="11"/>
  <c r="E20" i="12"/>
  <c r="E6" i="14"/>
  <c r="H11" i="14"/>
  <c r="I11" i="14" s="1"/>
  <c r="E15" i="14"/>
  <c r="H20" i="14"/>
  <c r="I20" i="14" s="1"/>
  <c r="H29" i="14"/>
  <c r="I29" i="14" s="1"/>
  <c r="F15" i="15"/>
  <c r="G15" i="15" s="1"/>
  <c r="H15" i="15" s="1"/>
  <c r="F17" i="15"/>
  <c r="G17" i="15" s="1"/>
  <c r="H17" i="15" s="1"/>
  <c r="F30" i="15"/>
  <c r="G30" i="15" s="1"/>
  <c r="H30" i="15" s="1"/>
  <c r="G6" i="4"/>
  <c r="G18" i="4"/>
  <c r="G30" i="4"/>
  <c r="H4" i="14"/>
  <c r="I4" i="14" s="1"/>
  <c r="D8" i="14"/>
  <c r="H13" i="14"/>
  <c r="I13" i="14" s="1"/>
  <c r="D17" i="14"/>
  <c r="H22" i="14"/>
  <c r="I22" i="14" s="1"/>
  <c r="H31" i="14"/>
  <c r="I31" i="14" s="1"/>
  <c r="F9" i="15"/>
  <c r="G9" i="15" s="1"/>
  <c r="H9" i="15" s="1"/>
  <c r="F11" i="15"/>
  <c r="G11" i="15" s="1"/>
  <c r="H11" i="15" s="1"/>
  <c r="F13" i="15"/>
  <c r="G13" i="15" s="1"/>
  <c r="H13" i="15" s="1"/>
  <c r="D10" i="14"/>
  <c r="D19" i="14"/>
  <c r="D28" i="14"/>
  <c r="D37" i="14"/>
  <c r="F7" i="15"/>
  <c r="G7" i="15" s="1"/>
  <c r="F22" i="15"/>
  <c r="G22" i="15" s="1"/>
  <c r="H22" i="15" s="1"/>
  <c r="F24" i="15"/>
  <c r="G24" i="15" s="1"/>
  <c r="H24" i="15" s="1"/>
  <c r="F26" i="15"/>
  <c r="G26" i="15" s="1"/>
  <c r="H26" i="15" s="1"/>
  <c r="F28" i="15"/>
  <c r="G28" i="15" s="1"/>
  <c r="H28" i="15" s="1"/>
  <c r="G8" i="4"/>
  <c r="G20" i="4"/>
  <c r="G32" i="4"/>
  <c r="F17" i="11"/>
  <c r="H7" i="11"/>
  <c r="F6" i="11"/>
  <c r="F15" i="11"/>
  <c r="F20" i="11"/>
  <c r="F30" i="11"/>
  <c r="F19" i="6"/>
  <c r="F10" i="11"/>
  <c r="H11" i="11"/>
  <c r="E5" i="12"/>
  <c r="G5" i="12" s="1"/>
  <c r="H5" i="12" s="1"/>
  <c r="E22" i="12"/>
  <c r="H6" i="14"/>
  <c r="I6" i="14" s="1"/>
  <c r="E10" i="14"/>
  <c r="H15" i="14"/>
  <c r="I15" i="14" s="1"/>
  <c r="E19" i="14"/>
  <c r="D21" i="14"/>
  <c r="H24" i="14"/>
  <c r="I24" i="14" s="1"/>
  <c r="H33" i="14"/>
  <c r="I33" i="14" s="1"/>
  <c r="F20" i="15"/>
  <c r="G20" i="15" s="1"/>
  <c r="H20" i="15" s="1"/>
  <c r="F33" i="15"/>
  <c r="G33" i="15" s="1"/>
  <c r="H33" i="15" s="1"/>
  <c r="F35" i="15"/>
  <c r="G35" i="15" s="1"/>
  <c r="H35" i="15" s="1"/>
  <c r="F37" i="15"/>
  <c r="G37" i="15" s="1"/>
  <c r="H37" i="15" s="1"/>
  <c r="G15" i="4"/>
  <c r="A2" i="17"/>
  <c r="H8" i="14"/>
  <c r="I8" i="14" s="1"/>
  <c r="H17" i="14"/>
  <c r="I17" i="14" s="1"/>
  <c r="H26" i="14"/>
  <c r="I26" i="14" s="1"/>
  <c r="H35" i="14"/>
  <c r="I35" i="14" s="1"/>
  <c r="F5" i="15"/>
  <c r="G5" i="15" s="1"/>
  <c r="H5" i="15" s="1"/>
  <c r="G10" i="4"/>
  <c r="G22" i="4"/>
  <c r="G34" i="4"/>
  <c r="A18" i="17"/>
  <c r="D5" i="14"/>
  <c r="H10" i="14"/>
  <c r="I10" i="14" s="1"/>
  <c r="H19" i="14"/>
  <c r="I19" i="14" s="1"/>
  <c r="H28" i="14"/>
  <c r="I28" i="14" s="1"/>
  <c r="D32" i="14"/>
  <c r="H37" i="14"/>
  <c r="I37" i="14" s="1"/>
  <c r="F18" i="15"/>
  <c r="G18" i="15" s="1"/>
  <c r="H18" i="15" s="1"/>
  <c r="F31" i="15"/>
  <c r="G31" i="15" s="1"/>
  <c r="H31" i="15" s="1"/>
  <c r="G5" i="4"/>
  <c r="G17" i="4"/>
  <c r="G29" i="4"/>
  <c r="F4" i="11"/>
  <c r="H5" i="11"/>
  <c r="F28" i="11"/>
  <c r="H29" i="11"/>
  <c r="F37" i="11"/>
  <c r="D7" i="14"/>
  <c r="D16" i="14"/>
  <c r="D25" i="14"/>
  <c r="D34" i="14"/>
  <c r="B44" i="4"/>
  <c r="G12" i="4"/>
  <c r="G24" i="4"/>
  <c r="D9" i="14"/>
  <c r="H12" i="14"/>
  <c r="I12" i="14" s="1"/>
  <c r="D18" i="14"/>
  <c r="H21" i="14"/>
  <c r="I21" i="14" s="1"/>
  <c r="D27" i="14"/>
  <c r="H30" i="14"/>
  <c r="I30" i="14" s="1"/>
  <c r="F10" i="15"/>
  <c r="G10" i="15" s="1"/>
  <c r="H10" i="15" s="1"/>
  <c r="F12" i="15"/>
  <c r="G12" i="15" s="1"/>
  <c r="H12" i="15" s="1"/>
  <c r="F14" i="15"/>
  <c r="G14" i="15" s="1"/>
  <c r="H14" i="15" s="1"/>
  <c r="F16" i="15"/>
  <c r="G16" i="15" s="1"/>
  <c r="H16" i="15" s="1"/>
  <c r="F27" i="15"/>
  <c r="G27" i="15" s="1"/>
  <c r="H27" i="15" s="1"/>
  <c r="F29" i="15"/>
  <c r="G29" i="15" s="1"/>
  <c r="H29" i="15" s="1"/>
  <c r="G7" i="4"/>
  <c r="G19" i="4"/>
  <c r="G31" i="4"/>
  <c r="H5" i="14"/>
  <c r="I5" i="14" s="1"/>
  <c r="H14" i="14"/>
  <c r="I14" i="14" s="1"/>
  <c r="H23" i="14"/>
  <c r="I23" i="14" s="1"/>
  <c r="H32" i="14"/>
  <c r="I32" i="14" s="1"/>
  <c r="F8" i="15"/>
  <c r="G8" i="15" s="1"/>
  <c r="H8" i="15" s="1"/>
  <c r="F21" i="15"/>
  <c r="G21" i="15" s="1"/>
  <c r="H21" i="15" s="1"/>
  <c r="F23" i="15"/>
  <c r="G23" i="15" s="1"/>
  <c r="H23" i="15" s="1"/>
  <c r="F25" i="15"/>
  <c r="G25" i="15" s="1"/>
  <c r="H25" i="15" s="1"/>
  <c r="F8" i="11"/>
  <c r="F18" i="11"/>
  <c r="F27" i="11"/>
  <c r="H28" i="11"/>
  <c r="F32" i="11"/>
  <c r="G8" i="11"/>
  <c r="H23" i="11"/>
  <c r="G32" i="11"/>
  <c r="H7" i="14"/>
  <c r="I7" i="14" s="1"/>
  <c r="H16" i="14"/>
  <c r="I16" i="14" s="1"/>
  <c r="D20" i="14"/>
  <c r="H25" i="14"/>
  <c r="I25" i="14" s="1"/>
  <c r="D29" i="14"/>
  <c r="H34" i="14"/>
  <c r="I34" i="14" s="1"/>
  <c r="F6" i="15"/>
  <c r="G6" i="15" s="1"/>
  <c r="H6" i="15" s="1"/>
  <c r="F34" i="15"/>
  <c r="G34" i="15" s="1"/>
  <c r="H34" i="15" s="1"/>
  <c r="G9" i="4"/>
  <c r="G21" i="4"/>
  <c r="G33" i="4"/>
  <c r="B40" i="4"/>
  <c r="B41" i="4"/>
  <c r="B42" i="4"/>
  <c r="B43" i="4"/>
  <c r="F9" i="12"/>
  <c r="D26" i="6"/>
  <c r="E17" i="6" a="1"/>
  <c r="E17" i="6" s="1"/>
  <c r="D9" i="6"/>
  <c r="B29" i="17" s="1"/>
  <c r="C15" i="6" a="1"/>
  <c r="C15" i="6" s="1"/>
  <c r="F16" i="6"/>
  <c r="F17" i="9"/>
  <c r="Q8" i="5"/>
  <c r="B7" i="6"/>
  <c r="B5" i="6"/>
  <c r="E15" i="6" a="1"/>
  <c r="E15" i="6" s="1"/>
  <c r="B25" i="6"/>
  <c r="F23" i="9" a="1"/>
  <c r="F23" i="9" s="1"/>
  <c r="F15" i="9"/>
  <c r="C5" i="6"/>
  <c r="Q11" i="5"/>
  <c r="J7" i="7" s="1"/>
  <c r="B6" i="6"/>
  <c r="M41" i="5"/>
  <c r="C6" i="6"/>
  <c r="C18" i="6" a="1"/>
  <c r="C18" i="6" s="1"/>
  <c r="G4" i="7"/>
  <c r="G5" i="7"/>
  <c r="G7" i="7"/>
  <c r="G9" i="7"/>
  <c r="G13" i="7"/>
  <c r="G14" i="7"/>
  <c r="G15" i="7"/>
  <c r="G18" i="7"/>
  <c r="G27" i="7"/>
  <c r="F25" i="9"/>
  <c r="P11" i="5"/>
  <c r="F10" i="9"/>
  <c r="C16" i="6" a="1"/>
  <c r="C16" i="6" s="1"/>
  <c r="D27" i="6"/>
  <c r="F7" i="9"/>
  <c r="F15" i="6"/>
  <c r="E18" i="6" a="1"/>
  <c r="E18" i="6" s="1"/>
  <c r="D8" i="6"/>
  <c r="B28" i="17" s="1"/>
  <c r="E16" i="6" a="1"/>
  <c r="E16" i="6" s="1"/>
  <c r="F18" i="6"/>
  <c r="D28" i="6"/>
  <c r="F13" i="9"/>
  <c r="F5" i="9"/>
  <c r="F12" i="9"/>
  <c r="F20" i="9"/>
  <c r="C19" i="6" a="1"/>
  <c r="C19" i="6" s="1"/>
  <c r="F4" i="9"/>
  <c r="F19" i="9"/>
  <c r="C17" i="6" a="1"/>
  <c r="C17" i="6" s="1"/>
  <c r="G4" i="9"/>
  <c r="E19" i="6" a="1"/>
  <c r="E19" i="6" s="1"/>
  <c r="G22" i="7" a="1"/>
  <c r="G22" i="7" s="1"/>
  <c r="F18" i="9"/>
  <c r="D29" i="6"/>
  <c r="Q16" i="5"/>
  <c r="J9" i="7" s="1"/>
  <c r="Q29" i="5"/>
  <c r="Q5" i="5"/>
  <c r="M40" i="5"/>
  <c r="E28" i="14" l="1"/>
  <c r="G16" i="11"/>
  <c r="E16" i="14"/>
  <c r="G10" i="9"/>
  <c r="J10" i="9" s="1"/>
  <c r="G28" i="11"/>
  <c r="Q17" i="5"/>
  <c r="F5" i="10"/>
  <c r="H5" i="10" s="1"/>
  <c r="D6" i="10" s="1"/>
  <c r="P33" i="5"/>
  <c r="P9" i="5"/>
  <c r="F43" i="10"/>
  <c r="F41" i="10"/>
  <c r="Q9" i="5"/>
  <c r="J5" i="7" s="1"/>
  <c r="G15" i="11"/>
  <c r="I15" i="11" s="1"/>
  <c r="F55" i="10"/>
  <c r="F51" i="10"/>
  <c r="F54" i="10"/>
  <c r="F28" i="10"/>
  <c r="Q21" i="5"/>
  <c r="J14" i="7" s="1"/>
  <c r="F35" i="10"/>
  <c r="G13" i="9"/>
  <c r="J13" i="9" s="1"/>
  <c r="F11" i="10"/>
  <c r="F44" i="10"/>
  <c r="P16" i="5"/>
  <c r="F15" i="14" s="1"/>
  <c r="G15" i="14" s="1"/>
  <c r="D7" i="6"/>
  <c r="B27" i="17" s="1"/>
  <c r="F48" i="10"/>
  <c r="F56" i="10"/>
  <c r="F6" i="10"/>
  <c r="F31" i="10"/>
  <c r="F34" i="10"/>
  <c r="F32" i="10"/>
  <c r="F42" i="10"/>
  <c r="F26" i="10"/>
  <c r="F39" i="10"/>
  <c r="P21" i="5"/>
  <c r="I14" i="7" s="1"/>
  <c r="E20" i="14"/>
  <c r="F37" i="10"/>
  <c r="F47" i="10"/>
  <c r="E8" i="14"/>
  <c r="F40" i="10"/>
  <c r="F38" i="10"/>
  <c r="F45" i="10"/>
  <c r="G8" i="12"/>
  <c r="H8" i="12" s="1"/>
  <c r="P43" i="10"/>
  <c r="H13" i="7"/>
  <c r="G20" i="11"/>
  <c r="I20" i="11" s="1"/>
  <c r="D13" i="17"/>
  <c r="Q20" i="5"/>
  <c r="J13" i="7" s="1"/>
  <c r="P20" i="5"/>
  <c r="I13" i="7" s="1"/>
  <c r="F29" i="10"/>
  <c r="F49" i="10"/>
  <c r="F33" i="10"/>
  <c r="G24" i="12"/>
  <c r="H24" i="12" s="1"/>
  <c r="D20" i="6"/>
  <c r="I32" i="11"/>
  <c r="H13" i="9"/>
  <c r="F28" i="14"/>
  <c r="G28" i="14" s="1"/>
  <c r="H10" i="9"/>
  <c r="F16" i="14"/>
  <c r="G16" i="14" s="1"/>
  <c r="K8" i="10"/>
  <c r="K56" i="10"/>
  <c r="F239" i="10" s="1"/>
  <c r="K57" i="10"/>
  <c r="F240" i="10" s="1"/>
  <c r="K7" i="10"/>
  <c r="K6" i="10"/>
  <c r="P50" i="10"/>
  <c r="P55" i="10"/>
  <c r="P8" i="10"/>
  <c r="P44" i="10"/>
  <c r="P11" i="10"/>
  <c r="P45" i="10"/>
  <c r="P51" i="10"/>
  <c r="P56" i="10"/>
  <c r="P48" i="10"/>
  <c r="P7" i="10"/>
  <c r="P52" i="10"/>
  <c r="P46" i="10"/>
  <c r="P13" i="10"/>
  <c r="P6" i="10"/>
  <c r="P53" i="10"/>
  <c r="P47" i="10"/>
  <c r="I19" i="11"/>
  <c r="P12" i="10"/>
  <c r="P57" i="10"/>
  <c r="P14" i="10"/>
  <c r="P9" i="10"/>
  <c r="P54" i="10"/>
  <c r="P49" i="10"/>
  <c r="G6" i="11"/>
  <c r="I6" i="11" s="1"/>
  <c r="F14" i="12"/>
  <c r="I28" i="11"/>
  <c r="P7" i="5"/>
  <c r="I4" i="7" s="1"/>
  <c r="H4" i="7"/>
  <c r="E29" i="22"/>
  <c r="E20" i="18" s="1"/>
  <c r="D20" i="18"/>
  <c r="E28" i="22"/>
  <c r="E19" i="18" s="1"/>
  <c r="D19" i="18"/>
  <c r="Q33" i="5"/>
  <c r="J18" i="7" s="1"/>
  <c r="E41" i="22"/>
  <c r="E32" i="18" s="1"/>
  <c r="D32" i="18"/>
  <c r="E42" i="22"/>
  <c r="E33" i="18" s="1"/>
  <c r="D33" i="18"/>
  <c r="E32" i="14"/>
  <c r="E35" i="22"/>
  <c r="E26" i="18" s="1"/>
  <c r="D26" i="18"/>
  <c r="G4" i="11"/>
  <c r="I4" i="11" s="1"/>
  <c r="E31" i="22"/>
  <c r="E22" i="18" s="1"/>
  <c r="D22" i="18"/>
  <c r="G13" i="17"/>
  <c r="E34" i="22"/>
  <c r="E25" i="18" s="1"/>
  <c r="D25" i="18"/>
  <c r="P5" i="10"/>
  <c r="P24" i="5"/>
  <c r="I15" i="7" s="1"/>
  <c r="Q37" i="5"/>
  <c r="C7" i="8"/>
  <c r="I8" i="11"/>
  <c r="F15" i="12"/>
  <c r="P36" i="5"/>
  <c r="F35" i="14" s="1"/>
  <c r="G35" i="14" s="1"/>
  <c r="K5" i="10"/>
  <c r="F4" i="8"/>
  <c r="D20" i="22" a="1"/>
  <c r="D20" i="22" s="1"/>
  <c r="P5" i="5"/>
  <c r="F7" i="12"/>
  <c r="I10" i="11"/>
  <c r="B64" i="10"/>
  <c r="D30" i="22" s="1"/>
  <c r="F10" i="12"/>
  <c r="F18" i="12"/>
  <c r="I16" i="11"/>
  <c r="J4" i="9"/>
  <c r="F13" i="12"/>
  <c r="F23" i="12"/>
  <c r="G6" i="9"/>
  <c r="J6" i="9" s="1"/>
  <c r="F16" i="12"/>
  <c r="F21" i="12"/>
  <c r="F12" i="12"/>
  <c r="G17" i="9"/>
  <c r="J17" i="9" s="1"/>
  <c r="D25" i="6"/>
  <c r="D30" i="6" s="1"/>
  <c r="D25" i="22" s="1"/>
  <c r="F6" i="12"/>
  <c r="G6" i="12"/>
  <c r="H6" i="12" s="1"/>
  <c r="F4" i="12"/>
  <c r="H7" i="15"/>
  <c r="B41" i="15"/>
  <c r="B44" i="15"/>
  <c r="E30" i="14"/>
  <c r="G30" i="11"/>
  <c r="I30" i="11" s="1"/>
  <c r="G20" i="12"/>
  <c r="H20" i="12" s="1"/>
  <c r="F20" i="12"/>
  <c r="G19" i="9"/>
  <c r="J19" i="9" s="1"/>
  <c r="E36" i="14"/>
  <c r="G36" i="11"/>
  <c r="I36" i="11" s="1"/>
  <c r="G33" i="11"/>
  <c r="I33" i="11" s="1"/>
  <c r="E33" i="14"/>
  <c r="G27" i="11"/>
  <c r="I27" i="11" s="1"/>
  <c r="E27" i="14"/>
  <c r="G13" i="11"/>
  <c r="I13" i="11" s="1"/>
  <c r="E13" i="14"/>
  <c r="E5" i="14"/>
  <c r="G5" i="11"/>
  <c r="I5" i="11" s="1"/>
  <c r="I18" i="7"/>
  <c r="F32" i="14"/>
  <c r="G32" i="14" s="1"/>
  <c r="B40" i="15"/>
  <c r="G11" i="12"/>
  <c r="H11" i="12" s="1"/>
  <c r="F11" i="12"/>
  <c r="G17" i="12"/>
  <c r="H17" i="12" s="1"/>
  <c r="F17" i="12"/>
  <c r="G18" i="9"/>
  <c r="J18" i="9" s="1"/>
  <c r="G35" i="11"/>
  <c r="I35" i="11" s="1"/>
  <c r="E35" i="14"/>
  <c r="E26" i="14"/>
  <c r="G26" i="11"/>
  <c r="I26" i="11" s="1"/>
  <c r="P8" i="5"/>
  <c r="E7" i="14"/>
  <c r="G7" i="11"/>
  <c r="I7" i="11" s="1"/>
  <c r="P35" i="5"/>
  <c r="E34" i="14"/>
  <c r="G34" i="11"/>
  <c r="I34" i="11" s="1"/>
  <c r="B42" i="15"/>
  <c r="F26" i="12"/>
  <c r="G26" i="12"/>
  <c r="H26" i="12" s="1"/>
  <c r="E14" i="14"/>
  <c r="G14" i="11"/>
  <c r="I14" i="11" s="1"/>
  <c r="I5" i="7"/>
  <c r="F8" i="14"/>
  <c r="G8" i="14" s="1"/>
  <c r="B43" i="15"/>
  <c r="G22" i="12"/>
  <c r="H22" i="12" s="1"/>
  <c r="F22" i="12"/>
  <c r="H15" i="7"/>
  <c r="G23" i="11"/>
  <c r="I23" i="11" s="1"/>
  <c r="E23" i="14"/>
  <c r="P32" i="5"/>
  <c r="G31" i="11"/>
  <c r="I31" i="11" s="1"/>
  <c r="E31" i="14"/>
  <c r="E29" i="14"/>
  <c r="G29" i="11"/>
  <c r="I29" i="11" s="1"/>
  <c r="Q23" i="5"/>
  <c r="G22" i="11"/>
  <c r="I22" i="11" s="1"/>
  <c r="E22" i="14"/>
  <c r="E21" i="14"/>
  <c r="G21" i="11"/>
  <c r="I21" i="11" s="1"/>
  <c r="E17" i="14"/>
  <c r="G17" i="11"/>
  <c r="I17" i="11" s="1"/>
  <c r="F27" i="12"/>
  <c r="B30" i="6"/>
  <c r="F5" i="12"/>
  <c r="E9" i="14"/>
  <c r="G9" i="11"/>
  <c r="I9" i="11" s="1"/>
  <c r="H19" i="9"/>
  <c r="F36" i="14"/>
  <c r="G36" i="14" s="1"/>
  <c r="G7" i="9"/>
  <c r="J7" i="9" s="1"/>
  <c r="G11" i="11"/>
  <c r="I11" i="11" s="1"/>
  <c r="E11" i="14"/>
  <c r="Q38" i="5"/>
  <c r="E37" i="14"/>
  <c r="G37" i="11"/>
  <c r="I37" i="11" s="1"/>
  <c r="I7" i="7"/>
  <c r="F10" i="14"/>
  <c r="G10" i="14" s="1"/>
  <c r="Q19" i="5"/>
  <c r="J12" i="7" s="1"/>
  <c r="G18" i="11"/>
  <c r="I18" i="11" s="1"/>
  <c r="E18" i="14"/>
  <c r="F25" i="12"/>
  <c r="G25" i="12"/>
  <c r="H25" i="12" s="1"/>
  <c r="D5" i="6"/>
  <c r="G16" i="9"/>
  <c r="J16" i="9" s="1"/>
  <c r="B47" i="6"/>
  <c r="C7" i="13" s="1"/>
  <c r="D6" i="6"/>
  <c r="C20" i="6"/>
  <c r="F20" i="6"/>
  <c r="D24" i="22" s="1"/>
  <c r="B20" i="6"/>
  <c r="P15" i="5"/>
  <c r="F14" i="14" s="1"/>
  <c r="G14" i="14" s="1"/>
  <c r="G9" i="9"/>
  <c r="J9" i="9" s="1"/>
  <c r="E20" i="6"/>
  <c r="B10" i="6"/>
  <c r="D22" i="22" s="1"/>
  <c r="P34" i="5"/>
  <c r="F33" i="14" s="1"/>
  <c r="G33" i="14" s="1"/>
  <c r="H19" i="7"/>
  <c r="P30" i="5"/>
  <c r="F29" i="14" s="1"/>
  <c r="G29" i="14" s="1"/>
  <c r="G14" i="9"/>
  <c r="J14" i="9" s="1"/>
  <c r="P19" i="5"/>
  <c r="F18" i="14" s="1"/>
  <c r="G18" i="14" s="1"/>
  <c r="H12" i="7"/>
  <c r="P22" i="5"/>
  <c r="F21" i="14" s="1"/>
  <c r="G21" i="14" s="1"/>
  <c r="G11" i="9"/>
  <c r="J11" i="9" s="1"/>
  <c r="P10" i="5"/>
  <c r="F9" i="14" s="1"/>
  <c r="G9" i="14" s="1"/>
  <c r="H6" i="7"/>
  <c r="P18" i="5"/>
  <c r="F17" i="14" s="1"/>
  <c r="G17" i="14" s="1"/>
  <c r="H10" i="7"/>
  <c r="P38" i="5"/>
  <c r="F37" i="14" s="1"/>
  <c r="G37" i="14" s="1"/>
  <c r="G20" i="9"/>
  <c r="J20" i="9" s="1"/>
  <c r="P31" i="5"/>
  <c r="F30" i="14" s="1"/>
  <c r="G30" i="14" s="1"/>
  <c r="G15" i="9"/>
  <c r="J15" i="9" s="1"/>
  <c r="P28" i="5"/>
  <c r="F27" i="14" s="1"/>
  <c r="G27" i="14" s="1"/>
  <c r="H17" i="7"/>
  <c r="P14" i="5"/>
  <c r="F13" i="14" s="1"/>
  <c r="G13" i="14" s="1"/>
  <c r="G8" i="9"/>
  <c r="J8" i="9" s="1"/>
  <c r="P6" i="5"/>
  <c r="F5" i="14" s="1"/>
  <c r="G5" i="14" s="1"/>
  <c r="G5" i="9"/>
  <c r="J5" i="9" s="1"/>
  <c r="G12" i="9"/>
  <c r="J12" i="9" s="1"/>
  <c r="P23" i="5"/>
  <c r="F22" i="14" s="1"/>
  <c r="G22" i="14" s="1"/>
  <c r="C10" i="6"/>
  <c r="D23" i="22" s="1"/>
  <c r="P27" i="5"/>
  <c r="F26" i="14" s="1"/>
  <c r="G26" i="14" s="1"/>
  <c r="H16" i="7"/>
  <c r="Q10" i="5"/>
  <c r="J6" i="7" s="1"/>
  <c r="Q31" i="5"/>
  <c r="B48" i="6"/>
  <c r="C8" i="13" s="1"/>
  <c r="Q12" i="5"/>
  <c r="P12" i="5"/>
  <c r="Q18" i="5"/>
  <c r="J10" i="7" s="1"/>
  <c r="Q28" i="5"/>
  <c r="J17" i="7" s="1"/>
  <c r="Q15" i="5"/>
  <c r="Q30" i="5"/>
  <c r="Q22" i="5"/>
  <c r="Q6" i="5"/>
  <c r="Q27" i="5"/>
  <c r="Q14" i="5"/>
  <c r="Q34" i="5"/>
  <c r="I9" i="7" l="1"/>
  <c r="B46" i="6"/>
  <c r="C6" i="13" s="1"/>
  <c r="G5" i="10"/>
  <c r="F6" i="14"/>
  <c r="G6" i="14" s="1"/>
  <c r="F19" i="14"/>
  <c r="G19" i="14" s="1"/>
  <c r="F20" i="14"/>
  <c r="G20" i="14" s="1"/>
  <c r="S7" i="10"/>
  <c r="S57" i="10"/>
  <c r="M5" i="10"/>
  <c r="I6" i="10" s="1"/>
  <c r="L5" i="10"/>
  <c r="R5" i="10"/>
  <c r="N6" i="10" s="1"/>
  <c r="Q5" i="10"/>
  <c r="H6" i="10"/>
  <c r="G6" i="10"/>
  <c r="H18" i="9"/>
  <c r="S8" i="10"/>
  <c r="E20" i="22"/>
  <c r="E11" i="18" s="1"/>
  <c r="D11" i="18"/>
  <c r="E23" i="22"/>
  <c r="E14" i="18" s="1"/>
  <c r="D14" i="18"/>
  <c r="E24" i="22"/>
  <c r="E15" i="18" s="1"/>
  <c r="D15" i="18"/>
  <c r="E22" i="22"/>
  <c r="E13" i="18" s="1"/>
  <c r="D13" i="18"/>
  <c r="S6" i="10"/>
  <c r="E30" i="22"/>
  <c r="E21" i="18" s="1"/>
  <c r="D21" i="18"/>
  <c r="E25" i="22"/>
  <c r="E16" i="18" s="1"/>
  <c r="D16" i="18"/>
  <c r="C63" i="10"/>
  <c r="D63" i="10" s="1"/>
  <c r="F23" i="14"/>
  <c r="G23" i="14" s="1"/>
  <c r="S56" i="10"/>
  <c r="S5" i="10"/>
  <c r="D34" i="17" s="1"/>
  <c r="E34" i="17" s="1"/>
  <c r="H4" i="9"/>
  <c r="F4" i="14"/>
  <c r="G4" i="14" s="1"/>
  <c r="B6" i="22"/>
  <c r="D67" i="17" s="1"/>
  <c r="B44" i="6"/>
  <c r="C4" i="13" s="1"/>
  <c r="D5" i="17"/>
  <c r="B25" i="17"/>
  <c r="B32" i="12"/>
  <c r="C18" i="17" s="1"/>
  <c r="G5" i="17"/>
  <c r="H6" i="9"/>
  <c r="F7" i="14"/>
  <c r="G7" i="14" s="1"/>
  <c r="H16" i="9"/>
  <c r="F31" i="14"/>
  <c r="G31" i="14" s="1"/>
  <c r="B31" i="12"/>
  <c r="B33" i="12"/>
  <c r="D18" i="17" s="1"/>
  <c r="B34" i="12"/>
  <c r="E18" i="17" s="1"/>
  <c r="H7" i="9"/>
  <c r="F11" i="14"/>
  <c r="G11" i="14" s="1"/>
  <c r="D36" i="6"/>
  <c r="B54" i="17"/>
  <c r="J5" i="17"/>
  <c r="B53" i="17"/>
  <c r="F24" i="9"/>
  <c r="D35" i="6"/>
  <c r="B45" i="6"/>
  <c r="C5" i="13" s="1"/>
  <c r="B26" i="17"/>
  <c r="H17" i="9"/>
  <c r="F34" i="14"/>
  <c r="G34" i="14" s="1"/>
  <c r="D10" i="6"/>
  <c r="H8" i="9"/>
  <c r="J16" i="7"/>
  <c r="G23" i="7"/>
  <c r="I19" i="7"/>
  <c r="I17" i="7"/>
  <c r="I12" i="7"/>
  <c r="H12" i="9"/>
  <c r="I10" i="7"/>
  <c r="H5" i="9"/>
  <c r="H15" i="9"/>
  <c r="J19" i="7"/>
  <c r="H14" i="9"/>
  <c r="H11" i="9"/>
  <c r="H9" i="9"/>
  <c r="I16" i="7"/>
  <c r="H20" i="9"/>
  <c r="I6" i="7"/>
  <c r="D17" i="8" l="1"/>
  <c r="O26" i="5"/>
  <c r="Q6" i="10"/>
  <c r="R6" i="10"/>
  <c r="N7" i="10" s="1"/>
  <c r="L6" i="10"/>
  <c r="M6" i="10"/>
  <c r="I7" i="10" s="1"/>
  <c r="M39" i="5"/>
  <c r="V5" i="10"/>
  <c r="T5" i="10"/>
  <c r="U5" i="10" s="1"/>
  <c r="D21" i="22"/>
  <c r="D58" i="22"/>
  <c r="E58" i="22" s="1"/>
  <c r="D8" i="2"/>
  <c r="B5" i="22"/>
  <c r="B67" i="17" s="1"/>
  <c r="E10" i="6"/>
  <c r="D7" i="10"/>
  <c r="D34" i="6"/>
  <c r="D37" i="6" s="1"/>
  <c r="C44" i="6"/>
  <c r="B58" i="17"/>
  <c r="A5" i="17"/>
  <c r="B52" i="17"/>
  <c r="C27" i="17"/>
  <c r="C28" i="17"/>
  <c r="C29" i="17"/>
  <c r="E5" i="6"/>
  <c r="E8" i="6"/>
  <c r="C26" i="17"/>
  <c r="C47" i="6"/>
  <c r="C25" i="17"/>
  <c r="B35" i="12"/>
  <c r="B18" i="17"/>
  <c r="E9" i="6"/>
  <c r="E7" i="6"/>
  <c r="C45" i="6"/>
  <c r="C46" i="6"/>
  <c r="E6" i="6"/>
  <c r="C48" i="6"/>
  <c r="E25" i="14" l="1"/>
  <c r="P26" i="5"/>
  <c r="F25" i="14" s="1"/>
  <c r="G25" i="14" s="1"/>
  <c r="G25" i="11"/>
  <c r="I25" i="11" s="1"/>
  <c r="Q26" i="5"/>
  <c r="T6" i="10"/>
  <c r="U6" i="10" s="1"/>
  <c r="V6" i="10"/>
  <c r="L7" i="10"/>
  <c r="M7" i="10"/>
  <c r="I8" i="10" s="1"/>
  <c r="Q7" i="10"/>
  <c r="R7" i="10"/>
  <c r="N8" i="10" s="1"/>
  <c r="H7" i="10"/>
  <c r="G7" i="10"/>
  <c r="E21" i="22"/>
  <c r="E12" i="18" s="1"/>
  <c r="D12" i="18"/>
  <c r="D62" i="22"/>
  <c r="E62" i="22" s="1"/>
  <c r="D9" i="2"/>
  <c r="D48" i="6"/>
  <c r="D29" i="17" s="1"/>
  <c r="A9" i="17"/>
  <c r="B60" i="17"/>
  <c r="D44" i="6"/>
  <c r="D25" i="17" s="1"/>
  <c r="D46" i="6"/>
  <c r="D27" i="17" s="1"/>
  <c r="D45" i="6"/>
  <c r="D26" i="17" s="1"/>
  <c r="D47" i="6"/>
  <c r="D28" i="17" s="1"/>
  <c r="F18" i="17"/>
  <c r="A20" i="17"/>
  <c r="Q8" i="10" l="1"/>
  <c r="R8" i="10"/>
  <c r="N9" i="10" s="1"/>
  <c r="L8" i="10"/>
  <c r="M8" i="10"/>
  <c r="I9" i="10" s="1"/>
  <c r="T7" i="10"/>
  <c r="U7" i="10" s="1"/>
  <c r="V7" i="10"/>
  <c r="D8" i="10"/>
  <c r="K9" i="10" l="1"/>
  <c r="S9" i="10" s="1"/>
  <c r="D35" i="17" s="1"/>
  <c r="E35" i="17" s="1"/>
  <c r="Q9" i="10"/>
  <c r="R9" i="10"/>
  <c r="N10" i="10" s="1"/>
  <c r="H8" i="10"/>
  <c r="G8" i="10"/>
  <c r="M9" i="10" l="1"/>
  <c r="I10" i="10" s="1"/>
  <c r="Q10" i="10"/>
  <c r="R10" i="10"/>
  <c r="N11" i="10" s="1"/>
  <c r="L9" i="10"/>
  <c r="T8" i="10"/>
  <c r="U8" i="10" s="1"/>
  <c r="V8" i="10"/>
  <c r="D9" i="10"/>
  <c r="Q11" i="10" l="1"/>
  <c r="R11" i="10"/>
  <c r="N12" i="10" s="1"/>
  <c r="K10" i="10"/>
  <c r="S10" i="10" s="1"/>
  <c r="H9" i="10"/>
  <c r="D10" i="10" s="1"/>
  <c r="G9" i="10"/>
  <c r="T9" i="10" s="1"/>
  <c r="U9" i="10" s="1"/>
  <c r="Q12" i="10" l="1"/>
  <c r="R12" i="10"/>
  <c r="N13" i="10" s="1"/>
  <c r="L10" i="10"/>
  <c r="M10" i="10"/>
  <c r="I11" i="10" s="1"/>
  <c r="V9" i="10"/>
  <c r="G10" i="10"/>
  <c r="H10" i="10"/>
  <c r="Q13" i="10" l="1"/>
  <c r="R13" i="10"/>
  <c r="N14" i="10" s="1"/>
  <c r="T10" i="10"/>
  <c r="U10" i="10" s="1"/>
  <c r="K11" i="10"/>
  <c r="M11" i="10" s="1"/>
  <c r="I12" i="10" s="1"/>
  <c r="V10" i="10"/>
  <c r="D11" i="10"/>
  <c r="K12" i="10" l="1"/>
  <c r="L12" i="10" s="1"/>
  <c r="Q14" i="10"/>
  <c r="R14" i="10"/>
  <c r="N15" i="10" s="1"/>
  <c r="L11" i="10"/>
  <c r="S11" i="10"/>
  <c r="G11" i="10"/>
  <c r="H11" i="10"/>
  <c r="T11" i="10" l="1"/>
  <c r="U11" i="10" s="1"/>
  <c r="P15" i="10"/>
  <c r="Q15" i="10" s="1"/>
  <c r="M12" i="10"/>
  <c r="I13" i="10" s="1"/>
  <c r="S12" i="10"/>
  <c r="D12" i="10"/>
  <c r="V11" i="10"/>
  <c r="K13" i="10" l="1"/>
  <c r="L13" i="10" s="1"/>
  <c r="R15" i="10"/>
  <c r="N16" i="10" s="1"/>
  <c r="H12" i="10"/>
  <c r="G12" i="10"/>
  <c r="T12" i="10" s="1"/>
  <c r="U12" i="10" s="1"/>
  <c r="P16" i="10" l="1"/>
  <c r="Q16" i="10" s="1"/>
  <c r="M13" i="10"/>
  <c r="I14" i="10" s="1"/>
  <c r="C62" i="10"/>
  <c r="D62" i="10" s="1"/>
  <c r="V12" i="10"/>
  <c r="D13" i="10"/>
  <c r="C17" i="8" l="1"/>
  <c r="O25" i="5"/>
  <c r="K14" i="10"/>
  <c r="L14" i="10" s="1"/>
  <c r="R16" i="10"/>
  <c r="N17" i="10" s="1"/>
  <c r="F13" i="10"/>
  <c r="H13" i="10" s="1"/>
  <c r="P25" i="5" l="1"/>
  <c r="F24" i="14" s="1"/>
  <c r="G24" i="14" s="1"/>
  <c r="G24" i="11"/>
  <c r="I24" i="11" s="1"/>
  <c r="E24" i="14"/>
  <c r="Q25" i="5"/>
  <c r="M14" i="10"/>
  <c r="I15" i="10" s="1"/>
  <c r="P17" i="10"/>
  <c r="Q17" i="10" s="1"/>
  <c r="G13" i="10"/>
  <c r="T13" i="10" s="1"/>
  <c r="D14" i="10"/>
  <c r="V13" i="10"/>
  <c r="S13" i="10"/>
  <c r="C61" i="10"/>
  <c r="R17" i="10" l="1"/>
  <c r="N18" i="10" s="1"/>
  <c r="K15" i="10"/>
  <c r="M15" i="10" s="1"/>
  <c r="I16" i="10" s="1"/>
  <c r="U13" i="10"/>
  <c r="D36" i="17"/>
  <c r="E36" i="17" s="1"/>
  <c r="C64" i="10"/>
  <c r="D61" i="10"/>
  <c r="O13" i="5" s="1"/>
  <c r="F14" i="10"/>
  <c r="S14" i="10" s="1"/>
  <c r="P13" i="5" l="1"/>
  <c r="F12" i="14" s="1"/>
  <c r="G12" i="14" s="1"/>
  <c r="G12" i="11"/>
  <c r="I12" i="11" s="1"/>
  <c r="D12" i="16" a="1"/>
  <c r="D12" i="16" s="1"/>
  <c r="F26" i="9" a="1"/>
  <c r="F26" i="9" s="1"/>
  <c r="I40" i="11" a="1"/>
  <c r="I40" i="11" s="1"/>
  <c r="Q13" i="5"/>
  <c r="G26" i="7" a="1"/>
  <c r="G26" i="7" s="1"/>
  <c r="I41" i="11" a="1"/>
  <c r="I41" i="11" s="1"/>
  <c r="B59" i="17" s="1"/>
  <c r="B24" i="16" a="1"/>
  <c r="B24" i="16" s="1"/>
  <c r="I42" i="11" a="1"/>
  <c r="I42" i="11" s="1"/>
  <c r="J13" i="17"/>
  <c r="B28" i="16" a="1"/>
  <c r="B28" i="16" s="1"/>
  <c r="B27" i="16" a="1"/>
  <c r="B27" i="16" s="1"/>
  <c r="D27" i="22" a="1"/>
  <c r="D27" i="22" s="1"/>
  <c r="B26" i="16" a="1"/>
  <c r="B26" i="16" s="1"/>
  <c r="G24" i="7"/>
  <c r="E12" i="16" a="1"/>
  <c r="E12" i="16" s="1"/>
  <c r="E12" i="14"/>
  <c r="D9" i="17"/>
  <c r="B25" i="16" a="1"/>
  <c r="B25" i="16" s="1"/>
  <c r="D19" i="22" a="1"/>
  <c r="D19" i="22" s="1"/>
  <c r="C12" i="16" a="1"/>
  <c r="C12" i="16" s="1"/>
  <c r="B29" i="16" a="1"/>
  <c r="B29" i="16" s="1"/>
  <c r="L15" i="10"/>
  <c r="K16" i="10"/>
  <c r="L16" i="10" s="1"/>
  <c r="P18" i="10"/>
  <c r="Q18" i="10" s="1"/>
  <c r="H14" i="10"/>
  <c r="G14" i="10"/>
  <c r="T14" i="10" s="1"/>
  <c r="U14" i="10" s="1"/>
  <c r="D64" i="10"/>
  <c r="F17" i="8" s="1"/>
  <c r="B17" i="8"/>
  <c r="C15" i="16" l="1"/>
  <c r="C13" i="16"/>
  <c r="D10" i="18"/>
  <c r="E19" i="22"/>
  <c r="E13" i="16"/>
  <c r="E15" i="16"/>
  <c r="D61" i="22"/>
  <c r="E61" i="22" s="1"/>
  <c r="I43" i="11"/>
  <c r="J9" i="17" s="1"/>
  <c r="I44" i="11"/>
  <c r="G9" i="17" s="1"/>
  <c r="G25" i="7"/>
  <c r="D26" i="22"/>
  <c r="D13" i="16"/>
  <c r="D15" i="16"/>
  <c r="E27" i="22"/>
  <c r="E18" i="18" s="1"/>
  <c r="D18" i="18"/>
  <c r="R18" i="10"/>
  <c r="N19" i="10" s="1"/>
  <c r="M16" i="10"/>
  <c r="I17" i="10" s="1"/>
  <c r="V14" i="10"/>
  <c r="D15" i="10"/>
  <c r="E26" i="22" l="1"/>
  <c r="E17" i="18" s="1"/>
  <c r="A35" i="18" s="1"/>
  <c r="D17" i="18"/>
  <c r="E10" i="18"/>
  <c r="K17" i="10"/>
  <c r="M17" i="10" s="1"/>
  <c r="I18" i="10" s="1"/>
  <c r="P19" i="10"/>
  <c r="Q19" i="10" s="1"/>
  <c r="F15" i="10"/>
  <c r="S15" i="10" s="1"/>
  <c r="B68" i="22" l="1"/>
  <c r="B67" i="22"/>
  <c r="B66" i="22"/>
  <c r="R19" i="10"/>
  <c r="N20" i="10" s="1"/>
  <c r="L17" i="10"/>
  <c r="K18" i="10"/>
  <c r="F201" i="10" s="1"/>
  <c r="I201" i="10" s="1"/>
  <c r="G15" i="10"/>
  <c r="T15" i="10" s="1"/>
  <c r="U15" i="10" s="1"/>
  <c r="H15" i="10"/>
  <c r="B69" i="22" l="1"/>
  <c r="A2" i="22"/>
  <c r="M18" i="10"/>
  <c r="I19" i="10" s="1"/>
  <c r="L18" i="10"/>
  <c r="G201" i="10" s="1"/>
  <c r="P20" i="10"/>
  <c r="Q20" i="10" s="1"/>
  <c r="D16" i="10"/>
  <c r="V15" i="10"/>
  <c r="K19" i="10" l="1"/>
  <c r="L19" i="10" s="1"/>
  <c r="G202" i="10" s="1"/>
  <c r="R20" i="10"/>
  <c r="N21" i="10" s="1"/>
  <c r="F16" i="10"/>
  <c r="S16" i="10" s="1"/>
  <c r="P21" i="10" l="1"/>
  <c r="Q21" i="10" s="1"/>
  <c r="M19" i="10"/>
  <c r="I20" i="10" s="1"/>
  <c r="F202" i="10"/>
  <c r="I202" i="10" s="1"/>
  <c r="G16" i="10"/>
  <c r="T16" i="10" s="1"/>
  <c r="U16" i="10" s="1"/>
  <c r="H16" i="10"/>
  <c r="K20" i="10" l="1"/>
  <c r="R21" i="10"/>
  <c r="N22" i="10" s="1"/>
  <c r="V16" i="10"/>
  <c r="D17" i="10"/>
  <c r="P22" i="10" l="1"/>
  <c r="Q22" i="10" s="1"/>
  <c r="M20" i="10"/>
  <c r="I21" i="10" s="1"/>
  <c r="F203" i="10"/>
  <c r="I203" i="10" s="1"/>
  <c r="L20" i="10"/>
  <c r="G203" i="10" s="1"/>
  <c r="F17" i="10"/>
  <c r="S17" i="10" s="1"/>
  <c r="R22" i="10" l="1"/>
  <c r="N23" i="10" s="1"/>
  <c r="K21" i="10"/>
  <c r="F204" i="10" s="1"/>
  <c r="I204" i="10" s="1"/>
  <c r="G17" i="10"/>
  <c r="T17" i="10" s="1"/>
  <c r="U17" i="10" s="1"/>
  <c r="H17" i="10"/>
  <c r="D37" i="17"/>
  <c r="E37" i="17" s="1"/>
  <c r="M21" i="10" l="1"/>
  <c r="I22" i="10" s="1"/>
  <c r="L21" i="10"/>
  <c r="G204" i="10" s="1"/>
  <c r="P23" i="10"/>
  <c r="Q23" i="10" s="1"/>
  <c r="V17" i="10"/>
  <c r="D18" i="10"/>
  <c r="K22" i="10" l="1"/>
  <c r="M22" i="10" s="1"/>
  <c r="I23" i="10" s="1"/>
  <c r="R23" i="10"/>
  <c r="N24" i="10" s="1"/>
  <c r="F18" i="10"/>
  <c r="S18" i="10" s="1"/>
  <c r="K23" i="10" l="1"/>
  <c r="M23" i="10" s="1"/>
  <c r="I24" i="10" s="1"/>
  <c r="L22" i="10"/>
  <c r="G205" i="10" s="1"/>
  <c r="F205" i="10"/>
  <c r="I205" i="10" s="1"/>
  <c r="P24" i="10"/>
  <c r="Q24" i="10" s="1"/>
  <c r="G18" i="10"/>
  <c r="T18" i="10" s="1"/>
  <c r="U18" i="10" s="1"/>
  <c r="H18" i="10"/>
  <c r="K24" i="10" l="1"/>
  <c r="L24" i="10" s="1"/>
  <c r="G207" i="10" s="1"/>
  <c r="R24" i="10"/>
  <c r="N25" i="10" s="1"/>
  <c r="L23" i="10"/>
  <c r="G206" i="10" s="1"/>
  <c r="F206" i="10"/>
  <c r="I206" i="10" s="1"/>
  <c r="E201" i="10"/>
  <c r="H201" i="10" s="1"/>
  <c r="J201" i="10"/>
  <c r="V18" i="10"/>
  <c r="D19" i="10"/>
  <c r="P25" i="10" l="1"/>
  <c r="Q25" i="10" s="1"/>
  <c r="M24" i="10"/>
  <c r="I25" i="10" s="1"/>
  <c r="F207" i="10"/>
  <c r="I207" i="10" s="1"/>
  <c r="F19" i="10"/>
  <c r="S19" i="10" s="1"/>
  <c r="K25" i="10" l="1"/>
  <c r="F208" i="10" s="1"/>
  <c r="I208" i="10" s="1"/>
  <c r="R25" i="10"/>
  <c r="N26" i="10" s="1"/>
  <c r="G19" i="10"/>
  <c r="E202" i="10" s="1"/>
  <c r="H19" i="10"/>
  <c r="L25" i="10" l="1"/>
  <c r="G208" i="10" s="1"/>
  <c r="M25" i="10"/>
  <c r="I26" i="10" s="1"/>
  <c r="P26" i="10"/>
  <c r="R26" i="10" s="1"/>
  <c r="N27" i="10" s="1"/>
  <c r="T19" i="10"/>
  <c r="U19" i="10" s="1"/>
  <c r="H202" i="10"/>
  <c r="V19" i="10"/>
  <c r="J202" i="10"/>
  <c r="D20" i="10"/>
  <c r="P27" i="10" l="1"/>
  <c r="Q27" i="10" s="1"/>
  <c r="Q26" i="10"/>
  <c r="K26" i="10"/>
  <c r="M26" i="10" s="1"/>
  <c r="I27" i="10" s="1"/>
  <c r="F20" i="10"/>
  <c r="S20" i="10" s="1"/>
  <c r="K27" i="10" l="1"/>
  <c r="L27" i="10" s="1"/>
  <c r="G210" i="10" s="1"/>
  <c r="S26" i="10"/>
  <c r="F209" i="10"/>
  <c r="I209" i="10" s="1"/>
  <c r="R27" i="10"/>
  <c r="N28" i="10" s="1"/>
  <c r="L26" i="10"/>
  <c r="G209" i="10" s="1"/>
  <c r="G20" i="10"/>
  <c r="T20" i="10" s="1"/>
  <c r="U20" i="10" s="1"/>
  <c r="H20" i="10"/>
  <c r="P28" i="10" l="1"/>
  <c r="Q28" i="10" s="1"/>
  <c r="M27" i="10"/>
  <c r="I28" i="10" s="1"/>
  <c r="S27" i="10"/>
  <c r="F210" i="10"/>
  <c r="I210" i="10" s="1"/>
  <c r="E203" i="10"/>
  <c r="H203" i="10" s="1"/>
  <c r="V20" i="10"/>
  <c r="J203" i="10"/>
  <c r="D21" i="10"/>
  <c r="K28" i="10" l="1"/>
  <c r="L28" i="10" s="1"/>
  <c r="G211" i="10" s="1"/>
  <c r="R28" i="10"/>
  <c r="N29" i="10" s="1"/>
  <c r="F21" i="10"/>
  <c r="S21" i="10" s="1"/>
  <c r="P29" i="10" l="1"/>
  <c r="Q29" i="10" s="1"/>
  <c r="M28" i="10"/>
  <c r="I29" i="10" s="1"/>
  <c r="F211" i="10"/>
  <c r="I211" i="10" s="1"/>
  <c r="S28" i="10"/>
  <c r="G21" i="10"/>
  <c r="E204" i="10" s="1"/>
  <c r="H21" i="10"/>
  <c r="D38" i="17"/>
  <c r="E38" i="17" s="1"/>
  <c r="K29" i="10" l="1"/>
  <c r="M29" i="10" s="1"/>
  <c r="I30" i="10" s="1"/>
  <c r="R29" i="10"/>
  <c r="N30" i="10" s="1"/>
  <c r="T21" i="10"/>
  <c r="U21" i="10" s="1"/>
  <c r="H204" i="10"/>
  <c r="J204" i="10"/>
  <c r="D22" i="10"/>
  <c r="V21" i="10"/>
  <c r="K30" i="10" l="1"/>
  <c r="L30" i="10" s="1"/>
  <c r="G213" i="10" s="1"/>
  <c r="P30" i="10"/>
  <c r="Q30" i="10" s="1"/>
  <c r="L29" i="10"/>
  <c r="G212" i="10" s="1"/>
  <c r="F212" i="10"/>
  <c r="I212" i="10" s="1"/>
  <c r="S29" i="10"/>
  <c r="D40" i="17" s="1"/>
  <c r="F22" i="10"/>
  <c r="S22" i="10" s="1"/>
  <c r="R30" i="10" l="1"/>
  <c r="N31" i="10" s="1"/>
  <c r="M30" i="10"/>
  <c r="I31" i="10" s="1"/>
  <c r="F213" i="10"/>
  <c r="I213" i="10" s="1"/>
  <c r="S30" i="10"/>
  <c r="G22" i="10"/>
  <c r="T22" i="10" s="1"/>
  <c r="U22" i="10" s="1"/>
  <c r="H22" i="10"/>
  <c r="K31" i="10" l="1"/>
  <c r="L31" i="10" s="1"/>
  <c r="G214" i="10" s="1"/>
  <c r="P31" i="10"/>
  <c r="Q31" i="10" s="1"/>
  <c r="E205" i="10"/>
  <c r="H205" i="10" s="1"/>
  <c r="V22" i="10"/>
  <c r="D23" i="10"/>
  <c r="J205" i="10"/>
  <c r="M31" i="10" l="1"/>
  <c r="I32" i="10" s="1"/>
  <c r="S31" i="10"/>
  <c r="F214" i="10"/>
  <c r="I214" i="10" s="1"/>
  <c r="R31" i="10"/>
  <c r="N32" i="10" s="1"/>
  <c r="F23" i="10"/>
  <c r="S23" i="10" s="1"/>
  <c r="P32" i="10" l="1"/>
  <c r="Q32" i="10" s="1"/>
  <c r="K32" i="10"/>
  <c r="H23" i="10"/>
  <c r="G23" i="10"/>
  <c r="E206" i="10" s="1"/>
  <c r="H206" i="10" s="1"/>
  <c r="M32" i="10" l="1"/>
  <c r="I33" i="10" s="1"/>
  <c r="S32" i="10"/>
  <c r="F215" i="10"/>
  <c r="I215" i="10" s="1"/>
  <c r="R32" i="10"/>
  <c r="N33" i="10" s="1"/>
  <c r="L32" i="10"/>
  <c r="G215" i="10" s="1"/>
  <c r="T23" i="10"/>
  <c r="U23" i="10" s="1"/>
  <c r="D24" i="10"/>
  <c r="J206" i="10"/>
  <c r="V23" i="10"/>
  <c r="P33" i="10" l="1"/>
  <c r="Q33" i="10" s="1"/>
  <c r="K33" i="10"/>
  <c r="M33" i="10" s="1"/>
  <c r="I34" i="10" s="1"/>
  <c r="F24" i="10"/>
  <c r="S24" i="10" s="1"/>
  <c r="K34" i="10" l="1"/>
  <c r="L34" i="10" s="1"/>
  <c r="G217" i="10" s="1"/>
  <c r="L33" i="10"/>
  <c r="G216" i="10" s="1"/>
  <c r="F216" i="10"/>
  <c r="I216" i="10" s="1"/>
  <c r="S33" i="10"/>
  <c r="D41" i="17" s="1"/>
  <c r="R33" i="10"/>
  <c r="N34" i="10" s="1"/>
  <c r="G24" i="10"/>
  <c r="E207" i="10" s="1"/>
  <c r="H207" i="10" s="1"/>
  <c r="H24" i="10"/>
  <c r="P34" i="10" l="1"/>
  <c r="Q34" i="10" s="1"/>
  <c r="M34" i="10"/>
  <c r="I35" i="10" s="1"/>
  <c r="F217" i="10"/>
  <c r="I217" i="10" s="1"/>
  <c r="T24" i="10"/>
  <c r="U24" i="10" s="1"/>
  <c r="V24" i="10"/>
  <c r="J207" i="10"/>
  <c r="D25" i="10"/>
  <c r="S34" i="10" l="1"/>
  <c r="K35" i="10"/>
  <c r="L35" i="10" s="1"/>
  <c r="G218" i="10" s="1"/>
  <c r="R34" i="10"/>
  <c r="N35" i="10" s="1"/>
  <c r="F25" i="10"/>
  <c r="S25" i="10" s="1"/>
  <c r="P35" i="10" l="1"/>
  <c r="Q35" i="10" s="1"/>
  <c r="M35" i="10"/>
  <c r="I36" i="10" s="1"/>
  <c r="F218" i="10"/>
  <c r="I218" i="10" s="1"/>
  <c r="G25" i="10"/>
  <c r="E208" i="10" s="1"/>
  <c r="H208" i="10" s="1"/>
  <c r="H25" i="10"/>
  <c r="D39" i="17"/>
  <c r="E39" i="17" s="1"/>
  <c r="E40" i="17" s="1"/>
  <c r="E41" i="17" s="1"/>
  <c r="E63" i="10"/>
  <c r="K36" i="10" l="1"/>
  <c r="L36" i="10" s="1"/>
  <c r="G219" i="10" s="1"/>
  <c r="S35" i="10"/>
  <c r="R35" i="10"/>
  <c r="N36" i="10" s="1"/>
  <c r="T25" i="10"/>
  <c r="U25" i="10" s="1"/>
  <c r="D26" i="10"/>
  <c r="J208" i="10"/>
  <c r="V25" i="10"/>
  <c r="P36" i="10" l="1"/>
  <c r="Q36" i="10" s="1"/>
  <c r="M36" i="10"/>
  <c r="I37" i="10" s="1"/>
  <c r="F219" i="10"/>
  <c r="I219" i="10" s="1"/>
  <c r="H26" i="10"/>
  <c r="G26" i="10"/>
  <c r="S36" i="10" l="1"/>
  <c r="K37" i="10"/>
  <c r="L37" i="10" s="1"/>
  <c r="G220" i="10" s="1"/>
  <c r="R36" i="10"/>
  <c r="N37" i="10" s="1"/>
  <c r="J209" i="10"/>
  <c r="V26" i="10"/>
  <c r="D27" i="10"/>
  <c r="E209" i="10"/>
  <c r="H209" i="10" s="1"/>
  <c r="T26" i="10"/>
  <c r="U26" i="10" s="1"/>
  <c r="P37" i="10" l="1"/>
  <c r="Q37" i="10" s="1"/>
  <c r="M37" i="10"/>
  <c r="I38" i="10" s="1"/>
  <c r="F220" i="10"/>
  <c r="I220" i="10" s="1"/>
  <c r="H27" i="10"/>
  <c r="G27" i="10"/>
  <c r="K38" i="10" l="1"/>
  <c r="S37" i="10"/>
  <c r="D42" i="17" s="1"/>
  <c r="E42" i="17" s="1"/>
  <c r="R37" i="10"/>
  <c r="N38" i="10" s="1"/>
  <c r="D28" i="10"/>
  <c r="J210" i="10"/>
  <c r="V27" i="10"/>
  <c r="T27" i="10"/>
  <c r="U27" i="10" s="1"/>
  <c r="E210" i="10"/>
  <c r="H210" i="10" s="1"/>
  <c r="P38" i="10" l="1"/>
  <c r="Q38" i="10" s="1"/>
  <c r="L38" i="10"/>
  <c r="G221" i="10" s="1"/>
  <c r="F221" i="10"/>
  <c r="I221" i="10" s="1"/>
  <c r="M38" i="10"/>
  <c r="I39" i="10" s="1"/>
  <c r="H28" i="10"/>
  <c r="G28" i="10"/>
  <c r="S38" i="10" l="1"/>
  <c r="K39" i="10"/>
  <c r="M39" i="10" s="1"/>
  <c r="I40" i="10" s="1"/>
  <c r="R38" i="10"/>
  <c r="N39" i="10" s="1"/>
  <c r="J211" i="10"/>
  <c r="V28" i="10"/>
  <c r="D29" i="10"/>
  <c r="E211" i="10"/>
  <c r="H211" i="10" s="1"/>
  <c r="T28" i="10"/>
  <c r="U28" i="10" s="1"/>
  <c r="K40" i="10" l="1"/>
  <c r="L40" i="10" s="1"/>
  <c r="G223" i="10" s="1"/>
  <c r="P39" i="10"/>
  <c r="Q39" i="10" s="1"/>
  <c r="L39" i="10"/>
  <c r="G222" i="10" s="1"/>
  <c r="F222" i="10"/>
  <c r="I222" i="10" s="1"/>
  <c r="H29" i="10"/>
  <c r="G29" i="10"/>
  <c r="S39" i="10" l="1"/>
  <c r="R39" i="10"/>
  <c r="N40" i="10" s="1"/>
  <c r="M40" i="10"/>
  <c r="I41" i="10" s="1"/>
  <c r="F223" i="10"/>
  <c r="I223" i="10" s="1"/>
  <c r="V29" i="10"/>
  <c r="D30" i="10"/>
  <c r="J212" i="10"/>
  <c r="T29" i="10"/>
  <c r="U29" i="10" s="1"/>
  <c r="E212" i="10"/>
  <c r="H212" i="10" s="1"/>
  <c r="P40" i="10" l="1"/>
  <c r="R40" i="10" s="1"/>
  <c r="N41" i="10" s="1"/>
  <c r="K41" i="10"/>
  <c r="H30" i="10"/>
  <c r="G30" i="10"/>
  <c r="P41" i="10" l="1"/>
  <c r="Q41" i="10" s="1"/>
  <c r="M41" i="10"/>
  <c r="I42" i="10" s="1"/>
  <c r="F224" i="10"/>
  <c r="I224" i="10" s="1"/>
  <c r="L41" i="10"/>
  <c r="G224" i="10" s="1"/>
  <c r="Q40" i="10"/>
  <c r="S40" i="10"/>
  <c r="E213" i="10"/>
  <c r="H213" i="10" s="1"/>
  <c r="T30" i="10"/>
  <c r="U30" i="10" s="1"/>
  <c r="J213" i="10"/>
  <c r="V30" i="10"/>
  <c r="D31" i="10"/>
  <c r="D43" i="17" l="1"/>
  <c r="E43" i="17" s="1"/>
  <c r="S41" i="10"/>
  <c r="K42" i="10"/>
  <c r="L42" i="10" s="1"/>
  <c r="G225" i="10" s="1"/>
  <c r="R41" i="10"/>
  <c r="N42" i="10" s="1"/>
  <c r="H31" i="10"/>
  <c r="G31" i="10"/>
  <c r="P42" i="10" l="1"/>
  <c r="Q42" i="10" s="1"/>
  <c r="M42" i="10"/>
  <c r="I43" i="10" s="1"/>
  <c r="F225" i="10"/>
  <c r="I225" i="10" s="1"/>
  <c r="V31" i="10"/>
  <c r="J214" i="10"/>
  <c r="D32" i="10"/>
  <c r="T31" i="10"/>
  <c r="U31" i="10" s="1"/>
  <c r="E214" i="10"/>
  <c r="H214" i="10" s="1"/>
  <c r="K43" i="10" l="1"/>
  <c r="L43" i="10" s="1"/>
  <c r="G226" i="10" s="1"/>
  <c r="S42" i="10"/>
  <c r="R42" i="10"/>
  <c r="N43" i="10" s="1"/>
  <c r="H32" i="10"/>
  <c r="G32" i="10"/>
  <c r="Q43" i="10" l="1"/>
  <c r="R43" i="10"/>
  <c r="N44" i="10" s="1"/>
  <c r="M43" i="10"/>
  <c r="I44" i="10" s="1"/>
  <c r="F226" i="10"/>
  <c r="I226" i="10" s="1"/>
  <c r="S43" i="10"/>
  <c r="V32" i="10"/>
  <c r="J215" i="10"/>
  <c r="D33" i="10"/>
  <c r="E215" i="10"/>
  <c r="H215" i="10" s="1"/>
  <c r="T32" i="10"/>
  <c r="U32" i="10" s="1"/>
  <c r="K44" i="10" l="1"/>
  <c r="L44" i="10" s="1"/>
  <c r="G227" i="10" s="1"/>
  <c r="Q44" i="10"/>
  <c r="R44" i="10"/>
  <c r="N45" i="10" s="1"/>
  <c r="H33" i="10"/>
  <c r="G33" i="10"/>
  <c r="Q45" i="10" l="1"/>
  <c r="R45" i="10"/>
  <c r="N46" i="10" s="1"/>
  <c r="M44" i="10"/>
  <c r="I45" i="10" s="1"/>
  <c r="S44" i="10"/>
  <c r="F227" i="10"/>
  <c r="I227" i="10" s="1"/>
  <c r="D34" i="10"/>
  <c r="J216" i="10"/>
  <c r="V33" i="10"/>
  <c r="T33" i="10"/>
  <c r="U33" i="10" s="1"/>
  <c r="E216" i="10"/>
  <c r="H216" i="10" s="1"/>
  <c r="K45" i="10" l="1"/>
  <c r="M45" i="10" s="1"/>
  <c r="I46" i="10" s="1"/>
  <c r="Q46" i="10"/>
  <c r="R46" i="10"/>
  <c r="N47" i="10" s="1"/>
  <c r="H34" i="10"/>
  <c r="G34" i="10"/>
  <c r="K46" i="10" l="1"/>
  <c r="L46" i="10" s="1"/>
  <c r="G229" i="10" s="1"/>
  <c r="S45" i="10"/>
  <c r="D44" i="17" s="1"/>
  <c r="E44" i="17" s="1"/>
  <c r="F228" i="10"/>
  <c r="I228" i="10" s="1"/>
  <c r="Q47" i="10"/>
  <c r="R47" i="10"/>
  <c r="N48" i="10" s="1"/>
  <c r="L45" i="10"/>
  <c r="G228" i="10" s="1"/>
  <c r="E217" i="10"/>
  <c r="H217" i="10" s="1"/>
  <c r="T34" i="10"/>
  <c r="U34" i="10" s="1"/>
  <c r="V34" i="10"/>
  <c r="D35" i="10"/>
  <c r="J217" i="10"/>
  <c r="Q48" i="10" l="1"/>
  <c r="R48" i="10"/>
  <c r="N49" i="10" s="1"/>
  <c r="M46" i="10"/>
  <c r="I47" i="10" s="1"/>
  <c r="F229" i="10"/>
  <c r="I229" i="10" s="1"/>
  <c r="S46" i="10"/>
  <c r="G35" i="10"/>
  <c r="H35" i="10"/>
  <c r="K47" i="10" l="1"/>
  <c r="Q49" i="10"/>
  <c r="R49" i="10"/>
  <c r="N50" i="10" s="1"/>
  <c r="D36" i="10"/>
  <c r="J218" i="10"/>
  <c r="V35" i="10"/>
  <c r="T35" i="10"/>
  <c r="U35" i="10" s="1"/>
  <c r="E218" i="10"/>
  <c r="H218" i="10" s="1"/>
  <c r="M47" i="10" l="1"/>
  <c r="I48" i="10" s="1"/>
  <c r="S47" i="10"/>
  <c r="F230" i="10"/>
  <c r="I230" i="10" s="1"/>
  <c r="L47" i="10"/>
  <c r="G230" i="10" s="1"/>
  <c r="Q50" i="10"/>
  <c r="R50" i="10"/>
  <c r="N51" i="10" s="1"/>
  <c r="H36" i="10"/>
  <c r="G36" i="10"/>
  <c r="Q51" i="10" l="1"/>
  <c r="R51" i="10"/>
  <c r="N52" i="10" s="1"/>
  <c r="K48" i="10"/>
  <c r="M48" i="10" s="1"/>
  <c r="I49" i="10" s="1"/>
  <c r="E219" i="10"/>
  <c r="H219" i="10" s="1"/>
  <c r="T36" i="10"/>
  <c r="U36" i="10" s="1"/>
  <c r="V36" i="10"/>
  <c r="J219" i="10"/>
  <c r="D37" i="10"/>
  <c r="K49" i="10" l="1"/>
  <c r="M49" i="10" s="1"/>
  <c r="I50" i="10" s="1"/>
  <c r="Q52" i="10"/>
  <c r="R52" i="10"/>
  <c r="N53" i="10" s="1"/>
  <c r="L48" i="10"/>
  <c r="G231" i="10" s="1"/>
  <c r="S48" i="10"/>
  <c r="F231" i="10"/>
  <c r="I231" i="10" s="1"/>
  <c r="H37" i="10"/>
  <c r="G37" i="10"/>
  <c r="K50" i="10" l="1"/>
  <c r="M50" i="10" s="1"/>
  <c r="I51" i="10" s="1"/>
  <c r="Q53" i="10"/>
  <c r="R53" i="10"/>
  <c r="N54" i="10" s="1"/>
  <c r="L49" i="10"/>
  <c r="G232" i="10" s="1"/>
  <c r="S49" i="10"/>
  <c r="D45" i="17" s="1"/>
  <c r="E45" i="17" s="1"/>
  <c r="F232" i="10"/>
  <c r="I232" i="10" s="1"/>
  <c r="T37" i="10"/>
  <c r="U37" i="10" s="1"/>
  <c r="E220" i="10"/>
  <c r="H220" i="10" s="1"/>
  <c r="J220" i="10"/>
  <c r="V37" i="10"/>
  <c r="D38" i="10"/>
  <c r="K51" i="10" l="1"/>
  <c r="M51" i="10" s="1"/>
  <c r="I52" i="10" s="1"/>
  <c r="Q54" i="10"/>
  <c r="R54" i="10"/>
  <c r="N55" i="10" s="1"/>
  <c r="L50" i="10"/>
  <c r="G233" i="10" s="1"/>
  <c r="F233" i="10"/>
  <c r="S50" i="10"/>
  <c r="H38" i="10"/>
  <c r="G38" i="10"/>
  <c r="E62" i="10"/>
  <c r="K52" i="10" l="1"/>
  <c r="L52" i="10" s="1"/>
  <c r="G235" i="10" s="1"/>
  <c r="I233" i="10"/>
  <c r="Q55" i="10"/>
  <c r="R55" i="10"/>
  <c r="N56" i="10" s="1"/>
  <c r="L51" i="10"/>
  <c r="G234" i="10" s="1"/>
  <c r="F234" i="10"/>
  <c r="S51" i="10"/>
  <c r="E221" i="10"/>
  <c r="H221" i="10" s="1"/>
  <c r="T38" i="10"/>
  <c r="U38" i="10" s="1"/>
  <c r="J221" i="10"/>
  <c r="V38" i="10"/>
  <c r="D39" i="10"/>
  <c r="I234" i="10" l="1"/>
  <c r="Q56" i="10"/>
  <c r="R56" i="10"/>
  <c r="N57" i="10" s="1"/>
  <c r="M52" i="10"/>
  <c r="I53" i="10" s="1"/>
  <c r="S52" i="10"/>
  <c r="F235" i="10"/>
  <c r="H39" i="10"/>
  <c r="J222" i="10" s="1"/>
  <c r="G39" i="10"/>
  <c r="E222" i="10" s="1"/>
  <c r="H222" i="10" s="1"/>
  <c r="I235" i="10" l="1"/>
  <c r="D40" i="10"/>
  <c r="G40" i="10" s="1"/>
  <c r="E223" i="10" s="1"/>
  <c r="H223" i="10" s="1"/>
  <c r="K53" i="10"/>
  <c r="Q57" i="10"/>
  <c r="R57" i="10"/>
  <c r="V39" i="10"/>
  <c r="T39" i="10"/>
  <c r="U39" i="10" s="1"/>
  <c r="H40" i="10" l="1"/>
  <c r="J223" i="10" s="1"/>
  <c r="M53" i="10"/>
  <c r="I54" i="10" s="1"/>
  <c r="S53" i="10"/>
  <c r="D46" i="17" s="1"/>
  <c r="E46" i="17" s="1"/>
  <c r="F236" i="10"/>
  <c r="L53" i="10"/>
  <c r="G236" i="10" s="1"/>
  <c r="T40" i="10"/>
  <c r="U40" i="10" s="1"/>
  <c r="D41" i="10" l="1"/>
  <c r="H41" i="10" s="1"/>
  <c r="V40" i="10"/>
  <c r="I236" i="10"/>
  <c r="K54" i="10"/>
  <c r="G41" i="10" l="1"/>
  <c r="E224" i="10" s="1"/>
  <c r="H224" i="10" s="1"/>
  <c r="L54" i="10"/>
  <c r="G237" i="10" s="1"/>
  <c r="S54" i="10"/>
  <c r="F237" i="10"/>
  <c r="M54" i="10"/>
  <c r="I55" i="10" s="1"/>
  <c r="D42" i="10"/>
  <c r="V41" i="10"/>
  <c r="J224" i="10"/>
  <c r="T41" i="10" l="1"/>
  <c r="U41" i="10" s="1"/>
  <c r="K55" i="10"/>
  <c r="I237" i="10"/>
  <c r="H42" i="10"/>
  <c r="G42" i="10"/>
  <c r="M55" i="10" l="1"/>
  <c r="I56" i="10" s="1"/>
  <c r="S55" i="10"/>
  <c r="D47" i="17" s="1"/>
  <c r="E47" i="17" s="1"/>
  <c r="F238" i="10"/>
  <c r="F246" i="10" s="1"/>
  <c r="L55" i="10"/>
  <c r="G238" i="10" s="1"/>
  <c r="J225" i="10"/>
  <c r="V42" i="10"/>
  <c r="D43" i="10"/>
  <c r="T42" i="10"/>
  <c r="U42" i="10" s="1"/>
  <c r="E225" i="10"/>
  <c r="H225" i="10" s="1"/>
  <c r="I238" i="10" l="1"/>
  <c r="I239" i="10" s="1"/>
  <c r="I240" i="10" s="1"/>
  <c r="I241" i="10" s="1"/>
  <c r="I242" i="10" s="1"/>
  <c r="I243" i="10" s="1"/>
  <c r="I244" i="10" s="1"/>
  <c r="I245" i="10" s="1"/>
  <c r="M56" i="10"/>
  <c r="I57" i="10" s="1"/>
  <c r="L56" i="10"/>
  <c r="G239" i="10" s="1"/>
  <c r="H43" i="10"/>
  <c r="G43" i="10"/>
  <c r="M57" i="10" l="1"/>
  <c r="L57" i="10"/>
  <c r="G240" i="10" s="1"/>
  <c r="G246" i="10" s="1"/>
  <c r="T43" i="10"/>
  <c r="U43" i="10" s="1"/>
  <c r="E226" i="10"/>
  <c r="H226" i="10" s="1"/>
  <c r="J226" i="10"/>
  <c r="V43" i="10"/>
  <c r="D44" i="10"/>
  <c r="H44" i="10" l="1"/>
  <c r="G44" i="10"/>
  <c r="E227" i="10" l="1"/>
  <c r="H227" i="10" s="1"/>
  <c r="T44" i="10"/>
  <c r="U44" i="10" s="1"/>
  <c r="J227" i="10"/>
  <c r="V44" i="10"/>
  <c r="D45" i="10"/>
  <c r="H45" i="10" l="1"/>
  <c r="G45" i="10"/>
  <c r="J228" i="10" l="1"/>
  <c r="V45" i="10"/>
  <c r="D46" i="10"/>
  <c r="T45" i="10"/>
  <c r="U45" i="10" s="1"/>
  <c r="E228" i="10"/>
  <c r="H228" i="10" s="1"/>
  <c r="H46" i="10" l="1"/>
  <c r="G46" i="10"/>
  <c r="E229" i="10" l="1"/>
  <c r="H229" i="10" s="1"/>
  <c r="T46" i="10"/>
  <c r="U46" i="10" s="1"/>
  <c r="V46" i="10"/>
  <c r="D47" i="10"/>
  <c r="J229" i="10"/>
  <c r="G47" i="10" l="1"/>
  <c r="H47" i="10"/>
  <c r="E230" i="10" l="1"/>
  <c r="H230" i="10" s="1"/>
  <c r="T47" i="10"/>
  <c r="U47" i="10" s="1"/>
  <c r="V47" i="10"/>
  <c r="D48" i="10"/>
  <c r="J230" i="10"/>
  <c r="H48" i="10" l="1"/>
  <c r="G48" i="10"/>
  <c r="E231" i="10" l="1"/>
  <c r="H231" i="10" s="1"/>
  <c r="T48" i="10"/>
  <c r="U48" i="10" s="1"/>
  <c r="J231" i="10"/>
  <c r="V48" i="10"/>
  <c r="D49" i="10"/>
  <c r="E61" i="10"/>
  <c r="E64" i="10" s="1"/>
  <c r="H49" i="10" l="1"/>
  <c r="G49" i="10"/>
  <c r="T49" i="10" l="1"/>
  <c r="U49" i="10" s="1"/>
  <c r="E232" i="10"/>
  <c r="V49" i="10"/>
  <c r="D50" i="10"/>
  <c r="J232" i="10"/>
  <c r="H50" i="10" l="1"/>
  <c r="G50" i="10"/>
  <c r="H232" i="10"/>
  <c r="T50" i="10" l="1"/>
  <c r="U50" i="10" s="1"/>
  <c r="E233" i="10"/>
  <c r="J233" i="10"/>
  <c r="V50" i="10"/>
  <c r="D51" i="10"/>
  <c r="H51" i="10" l="1"/>
  <c r="G51" i="10"/>
  <c r="H233" i="10"/>
  <c r="T51" i="10" l="1"/>
  <c r="U51" i="10" s="1"/>
  <c r="E234" i="10"/>
  <c r="D52" i="10"/>
  <c r="V51" i="10"/>
  <c r="J234" i="10"/>
  <c r="H234" i="10" l="1"/>
  <c r="H52" i="10"/>
  <c r="G52" i="10"/>
  <c r="V52" i="10" l="1"/>
  <c r="J235" i="10"/>
  <c r="D53" i="10"/>
  <c r="T52" i="10"/>
  <c r="U52" i="10" s="1"/>
  <c r="E235" i="10"/>
  <c r="H235" i="10" l="1"/>
  <c r="H53" i="10"/>
  <c r="G53" i="10"/>
  <c r="T53" i="10" l="1"/>
  <c r="U53" i="10" s="1"/>
  <c r="E236" i="10"/>
  <c r="J236" i="10"/>
  <c r="V53" i="10"/>
  <c r="D54" i="10"/>
  <c r="H54" i="10" l="1"/>
  <c r="G54" i="10"/>
  <c r="H236" i="10"/>
  <c r="E237" i="10" l="1"/>
  <c r="H237" i="10" s="1"/>
  <c r="T54" i="10"/>
  <c r="U54" i="10" s="1"/>
  <c r="J237" i="10"/>
  <c r="V54" i="10"/>
  <c r="D55" i="10"/>
  <c r="H55" i="10" l="1"/>
  <c r="G55" i="10"/>
  <c r="J238" i="10" l="1"/>
  <c r="V55" i="10"/>
  <c r="D56" i="10"/>
  <c r="E238" i="10"/>
  <c r="H238" i="10" s="1"/>
  <c r="T55" i="10"/>
  <c r="U55" i="10" s="1"/>
  <c r="H56" i="10" l="1"/>
  <c r="G56" i="10"/>
  <c r="E239" i="10" l="1"/>
  <c r="H239" i="10" s="1"/>
  <c r="T56" i="10"/>
  <c r="U56" i="10" s="1"/>
  <c r="J239" i="10"/>
  <c r="D57" i="10"/>
  <c r="V56" i="10"/>
  <c r="H57" i="10" l="1"/>
  <c r="G57" i="10"/>
  <c r="E240" i="10" l="1"/>
  <c r="T57" i="10"/>
  <c r="U57" i="10" s="1"/>
  <c r="J240" i="10"/>
  <c r="V57" i="10"/>
  <c r="E246" i="10" l="1"/>
  <c r="H240" i="10"/>
  <c r="H241" i="10" s="1"/>
  <c r="H242" i="10" s="1"/>
  <c r="H243" i="10" s="1"/>
  <c r="H244" i="10" s="1"/>
  <c r="H24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Divyanshu Vatsa</author>
  </authors>
  <commentList>
    <comment ref="D7" authorId="0" shapeId="0" xr:uid="{BED2AAD4-2522-497F-AD50-7171C14FB2BC}">
      <text>
        <r>
          <rPr>
            <b/>
            <sz val="9"/>
            <color indexed="81"/>
            <rFont val="Tahoma"/>
            <family val="2"/>
          </rPr>
          <t>Counts every row in Facility Master, including 11 sub-limits and ring-fenced FD-backed lines. Dashboard's 'Active Facilities' count excludes sub-limits and is the operationally meaningful tally.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Divyanshu Vatsa</author>
  </authors>
  <commentList>
    <comment ref="E4" authorId="0" shapeId="0" xr:uid="{B9EE535B-9886-4549-AFEB-C3CD7F9765E4}">
      <text>
        <r>
          <rPr>
            <b/>
            <sz val="9"/>
            <color indexed="81"/>
            <rFont val="Tahoma"/>
            <family val="2"/>
          </rPr>
          <t xml:space="preserve">Divyanshu Vatsa:
</t>
        </r>
        <r>
          <rPr>
            <sz val="9"/>
            <color indexed="81"/>
            <rFont val="Tahoma"/>
            <family val="2"/>
          </rPr>
          <t>As-of Date is currently 15 April 2026. This single date drives everything that involves time — how many EQIs have been paid on each term loan, what the outstanding balances are, how many days remain to each facility's validity date, and which facilities are flagging as expiring soon on the Renewal Calendar. Change this date and the whole model moves forward or backward in time automatically.</t>
        </r>
      </text>
    </comment>
    <comment ref="E5" authorId="0" shapeId="0" xr:uid="{F0407A95-6F8B-40F8-A36B-51C583FDC489}">
      <text>
        <r>
          <rPr>
            <b/>
            <sz val="9"/>
            <color indexed="81"/>
            <rFont val="Tahoma"/>
            <family val="2"/>
          </rPr>
          <t xml:space="preserve">Divyanshu Vatsa: </t>
        </r>
        <r>
          <rPr>
            <sz val="9"/>
            <color indexed="81"/>
            <rFont val="Tahoma"/>
            <family val="2"/>
          </rPr>
          <t>USD/INR FX Rate is ₹92.98. This is a reference figure. The model uses it to show INR equivalents of the two GIFT City USD facilities, but the binding constraints are the INR caps stated in the sanction letters — ₹100 crore for BC-WC and ₹172 crore for BC-CAPEX. The FX rate doesn't override those caps.</t>
        </r>
        <r>
          <rPr>
            <b/>
            <sz val="9"/>
            <color indexed="81"/>
            <rFont val="Tahoma"/>
            <family val="2"/>
          </rPr>
          <t xml:space="preserve">
</t>
        </r>
      </text>
    </comment>
    <comment ref="E6" authorId="0" shapeId="0" xr:uid="{9470E0D2-4ED4-4A58-97ED-D0411BDCBCC1}">
      <text>
        <r>
          <rPr>
            <b/>
            <sz val="9"/>
            <color indexed="81"/>
            <rFont val="Tahoma"/>
            <family val="2"/>
          </rPr>
          <t xml:space="preserve">Divyanshu Vatsa: </t>
        </r>
        <r>
          <rPr>
            <sz val="9"/>
            <color indexed="81"/>
            <rFont val="Tahoma"/>
            <family val="2"/>
          </rPr>
          <t>Use Full Utilisation is currently set to TRUE. This is the stress toggle. When TRUE, every working capital facility is assumed drawn to its cap-basis sanctioned limit — which is the conservative view, the worst-case utilisation picture. When FALSE, the model uses actual drawn amounts from Column N of the Facility Master. Right now with the toggle on TRUE, all WC lines show as fully drawn — which is why the utilisation tracker shows most facilities at High (&gt;90%). If you flip it to FALSE and the actual drawn amounts are zero or low, the interest figure would drop and the leverage ratios would improve. For management presentations you'd typically present both — the FALSE view is the current reality, the TRUE view is the stressed position.</t>
        </r>
      </text>
    </comment>
    <comment ref="E8" authorId="0" shapeId="0" xr:uid="{6FA53AB3-FDB4-4D49-9687-1428331F24E6}">
      <text>
        <r>
          <rPr>
            <b/>
            <sz val="9"/>
            <color indexed="81"/>
            <rFont val="Tahoma"/>
            <family val="2"/>
          </rPr>
          <t xml:space="preserve">Divyanshu Vatsa: </t>
        </r>
        <r>
          <rPr>
            <sz val="9"/>
            <color indexed="81"/>
            <rFont val="Tahoma"/>
            <family val="2"/>
          </rPr>
          <t xml:space="preserve">Financial Basis is set to Projected. This toggle controls which column of Section C feeds the covenant ratios. Currently it points to FY26E — the projected FY26 estimates. Switch it to Actual and it pulls FY24A — the last audited year. This is the single cell that changes the entire covenant compliance picture from a projection-based view to an audited-numbers view.
</t>
        </r>
      </text>
    </comment>
    <comment ref="B20" authorId="0" shapeId="0" xr:uid="{DA5B5D87-595B-4AA3-9D1D-5CEC5108BFCA}">
      <text>
        <r>
          <rPr>
            <b/>
            <sz val="9"/>
            <color indexed="81"/>
            <rFont val="Tahoma"/>
            <family val="2"/>
          </rPr>
          <t>Divyanshu Vatsa:</t>
        </r>
        <r>
          <rPr>
            <sz val="9"/>
            <color indexed="81"/>
            <rFont val="Tahoma"/>
            <family val="2"/>
          </rPr>
          <t xml:space="preserve">
ASSUMPTION (flag): FD rate not specified in any sanction letter. Used 7.00% p.a. as proxy = SBI/RBL 1Y FD card rate as of Apr-2026 (RBI Repo 5.25% + ~175bps typical 1Y FD premium). Confirm actual FD rate at deposit booking. Drives FDOD facility (Facility Master row 16) effective rate = 7.00% + 0.25% spread = 7.25%.</t>
        </r>
      </text>
    </comment>
    <comment ref="A41" authorId="0" shapeId="0" xr:uid="{E545B9B5-7ACF-4501-B2B8-28A3987A6F73}">
      <text>
        <r>
          <rPr>
            <b/>
            <sz val="9"/>
            <color indexed="81"/>
            <rFont val="Tahoma"/>
            <family val="2"/>
          </rPr>
          <t xml:space="preserve">Divyanshu Vatsa: </t>
        </r>
        <r>
          <rPr>
            <sz val="9"/>
            <color indexed="81"/>
            <rFont val="Tahoma"/>
            <family val="2"/>
          </rPr>
          <t>Five numbers, all hard-coded from the sanction letters. RBL INR WC cap ₹100 crore. RBL BC-WC cap ₹100 crore. RBL BC-CAPEX cap ₹172 crore. ICICI FB cap ₹50 crore. SIB CCOL cap ₹50 crore.
These are the cap values that the Effective Outstanding formula in the Facility Master uses for its proportional allocation. They live here — not scattered across individual facility rows — so that if a cap changes in a new sanction letter, you update one cell and the allocation recalculates across every facility in that cap group simultaneously.</t>
        </r>
      </text>
    </comment>
    <comment ref="A48" authorId="0" shapeId="0" xr:uid="{EB0AC28B-F872-4A1E-9D64-0ADFF0FFDE33}">
      <text>
        <r>
          <rPr>
            <b/>
            <sz val="9"/>
            <color indexed="81"/>
            <rFont val="Tahoma"/>
            <family val="2"/>
          </rPr>
          <t xml:space="preserve">Divyanshu Vatsa: </t>
        </r>
        <r>
          <rPr>
            <sz val="9"/>
            <color indexed="81"/>
            <rFont val="Tahoma"/>
            <family val="2"/>
          </rPr>
          <t>Four hardcoded dates: RBL TL maturity 31-Mar-2029, YBL TL repayment start 31-Mar-2025, YBL TL maturity 30-Sep-2036, Bajaj TL maturity 31-Aug-2033. These are taken directly from the respective sanction letters and serve as anchor dates for the repayment schedule logic. Having them here rather than buried in the schedule itself means you can see all critical dates in one place and update them if a letter changes the repayment structure.</t>
        </r>
      </text>
    </comment>
    <comment ref="A59" authorId="0" shapeId="0" xr:uid="{65456E2C-B007-4CDB-961B-028CDE46BC02}">
      <text>
        <r>
          <rPr>
            <b/>
            <sz val="9"/>
            <color indexed="81"/>
            <rFont val="Tahoma"/>
            <family val="2"/>
          </rPr>
          <t xml:space="preserve">Divyanshu Vatsa: </t>
        </r>
        <r>
          <rPr>
            <sz val="9"/>
            <color indexed="81"/>
            <rFont val="Tahoma"/>
            <family val="2"/>
          </rPr>
          <t>A lookup table that converts credit rating text into a number so the model can compare ratings mathematically. AAA = 21, AA+ = 20, all the way down to BB or below = 10. JCL's current external rating is CARE A+, which maps to ordinal 17. The common minimum rating covenant across most lenders is A−, which maps to 15. The covenant check simply asks: is JCL's ordinal ≥ the threshold ordinal? If yes, compliant. If not, breached.
This is how the model handles a non-numeric covenant without requiring manual interpretation every time.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Divyanshu Vatsa</author>
  </authors>
  <commentList>
    <comment ref="F3" authorId="0" shapeId="0" xr:uid="{C2601878-56FE-4F96-A8A0-D1BAC36CD813}">
      <text>
        <r>
          <rPr>
            <b/>
            <sz val="9"/>
            <color indexed="81"/>
            <rFont val="Tahoma"/>
            <family val="2"/>
          </rPr>
          <t xml:space="preserve">Divyanshu Vatsa: </t>
        </r>
        <r>
          <rPr>
            <sz val="9"/>
            <color indexed="81"/>
            <rFont val="Tahoma"/>
            <family val="2"/>
          </rPr>
          <t>The first group is identification — Serial Number, Lender, Facility name, Category, Nature (revolving or non-revolving), and a Sub-Limit flag. The Sub-Limit flag is a TRUE/FALSE toggle that tells the model whether this row is a child of another row. Sub-limits are tracked for operational completeness but excluded from all debt totals so nothing gets double-counted.</t>
        </r>
      </text>
    </comment>
    <comment ref="H3" authorId="0" shapeId="0" xr:uid="{A6269D3F-3F38-472D-8BF5-01ED15C127A4}">
      <text>
        <r>
          <rPr>
            <b/>
            <sz val="9"/>
            <color indexed="81"/>
            <rFont val="Tahoma"/>
            <family val="2"/>
          </rPr>
          <t xml:space="preserve">Divyanshu Vatsa: </t>
        </r>
        <r>
          <rPr>
            <sz val="9"/>
            <color indexed="81"/>
            <rFont val="Tahoma"/>
            <family val="2"/>
          </rPr>
          <t>The second group is the cap-group architecture — the WC Cap Group code and WC Cap Amount. These are the two fields that trigger the proportional allocation logic. If a facility has a cap group code in this column, it participates in the shared-cap calculation. If the column is blank, the facility stands alone.</t>
        </r>
      </text>
    </comment>
    <comment ref="Q3" authorId="0" shapeId="0" xr:uid="{8F3EE044-FE7A-47E6-A4A3-A00F24166725}">
      <text>
        <r>
          <rPr>
            <b/>
            <sz val="9"/>
            <color indexed="81"/>
            <rFont val="Tahoma"/>
            <family val="2"/>
          </rPr>
          <t xml:space="preserve">Divyanshu Vatsa: </t>
        </r>
        <r>
          <rPr>
            <sz val="9"/>
            <color indexed="81"/>
            <rFont val="Tahoma"/>
            <family val="2"/>
          </rPr>
          <t>The third group is the financial structure — Bucket, Currency, Sanctioned amount in original currency, Sanctioned amount in INR, Current Outstanding (the actual drawn figure, manually updated), Effective Outstanding (the model-computed figure used in all totals), Utilisation percentage, and Headroom.</t>
        </r>
      </text>
    </comment>
    <comment ref="V3" authorId="0" shapeId="0" xr:uid="{6799B876-2550-4573-9FC6-22013FE54B27}">
      <text>
        <r>
          <rPr>
            <b/>
            <sz val="9"/>
            <color indexed="81"/>
            <rFont val="Tahoma"/>
            <family val="2"/>
          </rPr>
          <t xml:space="preserve">Divyanshu Vatsa: </t>
        </r>
        <r>
          <rPr>
            <sz val="9"/>
            <color indexed="81"/>
            <rFont val="Tahoma"/>
            <family val="2"/>
          </rPr>
          <t>The fourth group is pricing — Benchmark, Spread, Effective Rate, Rate Type (fixed, floating, TBD), and Moratorium months.</t>
        </r>
      </text>
    </comment>
    <comment ref="AD3" authorId="0" shapeId="0" xr:uid="{63B3AD20-DAD8-4C50-ACCC-47DE8DAEAF01}">
      <text>
        <r>
          <rPr>
            <b/>
            <sz val="9"/>
            <color indexed="81"/>
            <rFont val="Tahoma"/>
            <family val="2"/>
          </rPr>
          <t xml:space="preserve">Divyanshu Vatsa: </t>
        </r>
        <r>
          <rPr>
            <sz val="9"/>
            <color indexed="81"/>
            <rFont val="Tahoma"/>
            <family val="2"/>
          </rPr>
          <t>The fifth group is dates — Repayment Frequency, Tenor, Number of Instalments, Drawdown Date, Repayment Start Date, Maturity Date, Sanction Date, and Validity Date</t>
        </r>
      </text>
    </comment>
    <comment ref="AH3" authorId="0" shapeId="0" xr:uid="{23DE3C65-6920-492D-8C42-EFA28566B7A6}">
      <text>
        <r>
          <rPr>
            <b/>
            <sz val="9"/>
            <color indexed="81"/>
            <rFont val="Tahoma"/>
            <family val="2"/>
          </rPr>
          <t xml:space="preserve">Divyanshu Vatsa: </t>
        </r>
        <r>
          <rPr>
            <sz val="9"/>
            <color indexed="81"/>
            <rFont val="Tahoma"/>
            <family val="2"/>
          </rPr>
          <t>And then three descriptive fields at the end — Purpose, Security Summary, and Sanction Reference — plus a Remarks column where the model builder has flagged important caveats.</t>
        </r>
      </text>
    </comment>
    <comment ref="G4" authorId="0" shapeId="0" xr:uid="{EFC1C3A7-CE5E-41D7-87B3-5037A1E84A0E}">
      <text>
        <r>
          <rPr>
            <b/>
            <sz val="9"/>
            <color indexed="81"/>
            <rFont val="Tahoma"/>
            <family val="2"/>
          </rPr>
          <t xml:space="preserve">Divyanshu Vatsa: </t>
        </r>
        <r>
          <rPr>
            <sz val="9"/>
            <color indexed="81"/>
            <rFont val="Tahoma"/>
            <family val="2"/>
          </rPr>
          <t>WC Cap Group
Four groups exist:
RBL-INR-WC — PID, LCBD, CC (and WCDL as sub-limit). Shared cap ₹100 crore.
YBL-FB — PIF, CC, WCDL. Shared cap ₹200 crore.
ICICI-FB — CC and WCDL sub-limit. Shared cap ₹50 crore.
SIB-FB — CCOL and WCDL sub-limit. Shared cap ₹50 crore.
Facilities with a blank Cap Group column stand alone — their full face value is their effective outstanding.</t>
        </r>
      </text>
    </comment>
    <comment ref="H4" authorId="0" shapeId="0" xr:uid="{0495553C-FEBD-44CF-942D-F7DFD63CED84}">
      <text>
        <r>
          <rPr>
            <b/>
            <sz val="9"/>
            <color indexed="81"/>
            <rFont val="Tahoma"/>
            <family val="2"/>
          </rPr>
          <t xml:space="preserve">Divyanshu Vatsa: </t>
        </r>
        <r>
          <rPr>
            <sz val="9"/>
            <color indexed="81"/>
            <rFont val="Tahoma"/>
            <family val="2"/>
          </rPr>
          <t>The rupee value of the aggregate cap from the sanction letter. This is what the proportional allocation divides by. RBL-INR-WC cap is ₹100 crore. YBL-FB cap is ₹200 crore. ICICI-FB cap is ₹50 crore. SIB-FB cap is ₹50 crore.</t>
        </r>
      </text>
    </comment>
    <comment ref="J4" authorId="0" shapeId="0" xr:uid="{F617952A-DEEE-4E95-86E9-AF22284AA6B5}">
      <text>
        <r>
          <rPr>
            <b/>
            <sz val="9"/>
            <color indexed="81"/>
            <rFont val="Tahoma"/>
            <family val="2"/>
          </rPr>
          <t xml:space="preserve">Divyanshu Vatsa: </t>
        </r>
        <r>
          <rPr>
            <sz val="9"/>
            <color indexed="81"/>
            <rFont val="Tahoma"/>
            <family val="2"/>
          </rPr>
          <t xml:space="preserve">
Bucket 0 — Sub-limit. Informational only. No contribution to any total. Zero Effective Outstanding always.
Bucket 1 — Sanctioned Debt. This is real borrowing. Goes into the ₹1,317.7 crore total. Feeds all covenant ratios and the dashboard debt KPIs.
Bucket 2 — NFB Contingent. Off-balance-sheet commitments. Goes into the ₹865 crore NFB total. Not debt but contributes to total banking exposure and generates commission cost.
Bucket 3 — Separate Lines. FD-backed facilities and hedge notionals. Tracked for completeness but excluded from both debt and NFB totals. ₹123 crore.
To assign any new facility to a bucket, ask these questions in order:
Is it a sub-limit of another facility already in the model? → Bucket 0. Stop.
Is it FD-backed or a hedge notional? → Bucket 3. Stop.
Is it fund-based (FB, FB-Term, FB-FCY)? → Bucket 1. Stop.
Is it non-fund-based (NFB)? → Bucket 2. Stop.</t>
        </r>
      </text>
    </comment>
    <comment ref="M4" authorId="0" shapeId="0" xr:uid="{EFF9BA33-2D71-4995-B17C-0174FC401209}">
      <text>
        <r>
          <rPr>
            <b/>
            <sz val="9"/>
            <color indexed="81"/>
            <rFont val="Tahoma"/>
            <family val="2"/>
          </rPr>
          <t xml:space="preserve">Divyanshu Vatsa: </t>
        </r>
        <r>
          <rPr>
            <sz val="9"/>
            <color indexed="81"/>
            <rFont val="Tahoma"/>
            <family val="2"/>
          </rPr>
          <t>The face value from the sanction letter, always in INR. For USD facilities, this is the INR cap stated in the letter — ₹100 crore for BC-WC and ₹172 crore for BC-CAPEX — not the USD amount translated at spot rate.</t>
        </r>
      </text>
    </comment>
    <comment ref="N4" authorId="0" shapeId="0" xr:uid="{8216D306-2D2E-4354-BCAA-E491710EBB7B}">
      <text>
        <r>
          <rPr>
            <b/>
            <sz val="9"/>
            <color indexed="81"/>
            <rFont val="Tahoma"/>
            <family val="2"/>
          </rPr>
          <t xml:space="preserve">Divyanshu Vatsa: </t>
        </r>
        <r>
          <rPr>
            <sz val="9"/>
            <color indexed="81"/>
            <rFont val="Tahoma"/>
            <family val="2"/>
          </rPr>
          <t>The only manually updated column in this tab. What JCL has actually drawn as of the model date, entered from bank statements. For term loans this is also manually entered but cross-checked against the Repayment Schedule. For most WC lines it is currently equal to the sanctioned amount because Use Full Utilisation is TRUE — when you switch that toggle off, this column is what feeds the Effective Outstanding instead.</t>
        </r>
      </text>
    </comment>
    <comment ref="O4" authorId="0" shapeId="0" xr:uid="{9BA8C62F-C199-45EF-82B3-4AC02353AD1F}">
      <text>
        <r>
          <rPr>
            <b/>
            <sz val="9"/>
            <color indexed="81"/>
            <rFont val="Tahoma"/>
            <family val="2"/>
          </rPr>
          <t xml:space="preserve">Divyanshu Vatsa: </t>
        </r>
        <r>
          <rPr>
            <sz val="9"/>
            <color indexed="81"/>
            <rFont val="Tahoma"/>
            <family val="2"/>
          </rPr>
          <t>Model-computed. This is the number used in every total, every ratio, every dashboard tile. Not manually entered. Three different calculations depending on facility type:
For term loans — pulls directly from the Term Loans sheet via a named range (YBL_TL_PrincOS etc.). The repayment schedule computes it, the named range carries it here.
For cap-group facilities — Face Value × MIN(1, Cap Amount ÷ Sum of all Bucket-1 face values in the same group). For RBL-INR-WC: ₹100 crore × MIN(1, 100÷300) = ₹33.33 crore each across PID, LCBD, CC.
For standalone facilities — if Use Full Utilisation is TRUE, equals the Sanctioned amount. If FALSE, equals Current Outstanding from Column N.
Sub-limits always get zero regardless.</t>
        </r>
      </text>
    </comment>
    <comment ref="P4" authorId="0" shapeId="0" xr:uid="{5D0C6689-49B9-4DD3-83F0-FB7E2CB0BBFF}">
      <text>
        <r>
          <rPr>
            <b/>
            <sz val="9"/>
            <color indexed="81"/>
            <rFont val="Tahoma"/>
            <family val="2"/>
          </rPr>
          <t xml:space="preserve">Divyanshu Vatsa: </t>
        </r>
        <r>
          <rPr>
            <sz val="9"/>
            <color indexed="81"/>
            <rFont val="Tahoma"/>
            <family val="2"/>
          </rPr>
          <t>Effective Outstanding ÷ Sanctioned INR. Tells you how much of the sanctioned limit is being used on an effective basis. Under full utilisation TRUE most facilities show 100%. The three RBL-INR-WC facilities show 33% — because the ₹100 crore cap spread across three ₹100 crore face facilities gives each one a 33% effective utilisation even though all three are technically "available."</t>
        </r>
      </text>
    </comment>
    <comment ref="Q4" authorId="0" shapeId="0" xr:uid="{FEB8EF0F-547B-446A-9491-4E69F03A94BF}">
      <text>
        <r>
          <rPr>
            <b/>
            <sz val="9"/>
            <color indexed="81"/>
            <rFont val="Tahoma"/>
            <family val="2"/>
          </rPr>
          <t xml:space="preserve">Divyanshu Vatsa: </t>
        </r>
        <r>
          <rPr>
            <sz val="9"/>
            <color indexed="81"/>
            <rFont val="Tahoma"/>
            <family val="2"/>
          </rPr>
          <t>Sanctioned INR minus Effective Outstanding. How much more JCL can draw. For cap-group facilities this is the remaining cap — ₹66.67 crore on each RBL-INR-WC line, which collectively means ₹0 of real headroom because the cap is already fully allocated. For standalone facilities it is simply the undrawn balance.</t>
        </r>
      </text>
    </comment>
    <comment ref="T4" authorId="0" shapeId="0" xr:uid="{DC500FF9-E573-4DB0-AB09-71A43FEC3655}">
      <text>
        <r>
          <rPr>
            <b/>
            <sz val="9"/>
            <color indexed="81"/>
            <rFont val="Tahoma"/>
            <family val="2"/>
          </rPr>
          <t xml:space="preserve">Divyanshu Vatsa: </t>
        </r>
        <r>
          <rPr>
            <sz val="9"/>
            <color indexed="81"/>
            <rFont val="Tahoma"/>
            <family val="2"/>
          </rPr>
          <t>Benchmark is the floating base rate — 1Y MCLR RBL, 3M T-Bill, Repo Rate, BFRR etc. All live values pulled from Section B of the Instructions tab. Spread is the fixed margin added on top, taken from the sanction letter. The two together give the Effective Rate.
This is the rate used in the Interest Schedule for interest accrual. For term loans it's locked in from the letter. For WC facilities it is indicative — the actual rate is set at each drawdown. The Remarks column flags wherever a rate is illustrative rather than contractually fixed.</t>
        </r>
      </text>
    </comment>
    <comment ref="V4" authorId="0" shapeId="0" xr:uid="{C98FFC0F-6E01-4E89-A0D0-6C2BB5BE24CB}">
      <text>
        <r>
          <rPr>
            <b/>
            <sz val="9"/>
            <color indexed="81"/>
            <rFont val="Tahoma"/>
            <family val="2"/>
          </rPr>
          <t xml:space="preserve">Divyanshu Vatsa: </t>
        </r>
        <r>
          <rPr>
            <sz val="9"/>
            <color indexed="81"/>
            <rFont val="Tahoma"/>
            <family val="2"/>
          </rPr>
          <t>Only relevant for term loans. Zero means repayments start immediately. 24 for RBL, 12 for Bajaj, 0 for YBL. The repayment formula uses this to determine when the first EQI date falls.</t>
        </r>
      </text>
    </comment>
    <comment ref="W4" authorId="0" shapeId="0" xr:uid="{7A367E8C-29EA-4B0E-939E-78BE0DBC7E5E}">
      <text>
        <r>
          <rPr>
            <b/>
            <sz val="9"/>
            <color indexed="81"/>
            <rFont val="Tahoma"/>
            <family val="2"/>
          </rPr>
          <t xml:space="preserve">Divyanshu Vatsa: </t>
        </r>
        <r>
          <rPr>
            <sz val="9"/>
            <color indexed="81"/>
            <rFont val="Tahoma"/>
            <family val="2"/>
          </rPr>
          <t>How often principal comes back. Quarterly for all three term loans. On Demand for CC and WCDL facilities — meaning the bank can ask for the money back at any time. On Maturity for LC, BG, SBLC — the exposure lapses when the instrument expires. On Settlement for hedges.</t>
        </r>
      </text>
    </comment>
    <comment ref="X4" authorId="0" shapeId="0" xr:uid="{704C676B-4CEA-4ACD-B213-B9A7572A71EC}">
      <text>
        <r>
          <rPr>
            <b/>
            <sz val="9"/>
            <color indexed="81"/>
            <rFont val="Tahoma"/>
            <family val="2"/>
          </rPr>
          <t xml:space="preserve">Divyanshu Vatsa: </t>
        </r>
        <r>
          <rPr>
            <sz val="9"/>
            <color indexed="81"/>
            <rFont val="Tahoma"/>
            <family val="2"/>
          </rPr>
          <t>The originally sanctioned life of the facility. 146 months for YBL TL. 96 months for Bajaj TL. 60 months for RBL TL. 12 months for most WC revolving lines, renewed annually.</t>
        </r>
      </text>
    </comment>
    <comment ref="Y4" authorId="0" shapeId="0" xr:uid="{077196F0-DC18-4C3D-925A-E8A7C3A677B6}">
      <text>
        <r>
          <rPr>
            <b/>
            <sz val="9"/>
            <color indexed="81"/>
            <rFont val="Tahoma"/>
            <family val="2"/>
          </rPr>
          <t xml:space="preserve">Divyanshu Vatsa: </t>
        </r>
        <r>
          <rPr>
            <sz val="9"/>
            <color indexed="81"/>
            <rFont val="Tahoma"/>
            <family val="2"/>
          </rPr>
          <t>Only non-zero for term loans. 12 for RBL, 47 for YBL, 28 for Bajaj. Used to compute EQI = Sanctioned ÷ Instalments.</t>
        </r>
      </text>
    </comment>
    <comment ref="AG4" authorId="0" shapeId="0" xr:uid="{4B18C6BF-5632-4DAA-967E-B0861A04F9F7}">
      <text>
        <r>
          <rPr>
            <b/>
            <sz val="9"/>
            <color indexed="81"/>
            <rFont val="Tahoma"/>
            <family val="2"/>
          </rPr>
          <t xml:space="preserve">Divyanshu Vatsa: </t>
        </r>
        <r>
          <rPr>
            <sz val="9"/>
            <color indexed="81"/>
            <rFont val="Tahoma"/>
            <family val="2"/>
          </rPr>
          <t>Sanction Reference names the exact letter that governs the current terms</t>
        </r>
      </text>
    </comment>
    <comment ref="E5" authorId="0" shapeId="0" xr:uid="{C4B00BD3-5A3D-4607-9515-4B6BE6E72DC3}">
      <text>
        <r>
          <rPr>
            <b/>
            <sz val="9"/>
            <color indexed="81"/>
            <rFont val="Tahoma"/>
            <family val="2"/>
          </rPr>
          <t xml:space="preserve">Divyanshu Vatsa: </t>
        </r>
        <r>
          <rPr>
            <sz val="9"/>
            <color indexed="81"/>
            <rFont val="Tahoma"/>
            <family val="2"/>
          </rPr>
          <t>Revolving — JCL can draw, repay, and draw again within the validity period. Most WC and NFB facilities.</t>
        </r>
      </text>
    </comment>
    <comment ref="D7" authorId="0" shapeId="0" xr:uid="{B3FDC62C-E2B2-4371-8EC6-FDAC378FE7C8}">
      <text>
        <r>
          <rPr>
            <b/>
            <sz val="9"/>
            <color indexed="81"/>
            <rFont val="Tahoma"/>
            <family val="2"/>
          </rPr>
          <t xml:space="preserve">Divyanshu Vatsa: </t>
        </r>
        <r>
          <rPr>
            <sz val="9"/>
            <color indexed="81"/>
            <rFont val="Tahoma"/>
            <family val="2"/>
          </rPr>
          <t>FB — Fund Based. Real money lent. CC, PID, LCBD fall here.</t>
        </r>
      </text>
    </comment>
    <comment ref="R7" authorId="0" shapeId="0" xr:uid="{F11C65C9-1735-4103-BB49-DA19E621EA26}">
      <text>
        <r>
          <rPr>
            <b/>
            <sz val="9"/>
            <color indexed="81"/>
            <rFont val="Tahoma"/>
            <family val="2"/>
          </rPr>
          <t>Divyanshu Vatsa:</t>
        </r>
        <r>
          <rPr>
            <sz val="9"/>
            <color indexed="81"/>
            <rFont val="Tahoma"/>
            <family val="2"/>
          </rPr>
          <t xml:space="preserve">
ASSUMPTION (flag): Sanction letter dated 25-Nov-2022 does not specify Invoice Discounting interest rate. Used 1Y MCLR (RBL) + 50bps as proxy benchmark consistent with RBL Cash Credit pricing structure (row 10 = 1Y MCLR + 5bps). Bill discounting typically priced 25-75bps above CC. Confirm actual rate with RBL at each transaction.</t>
        </r>
      </text>
    </comment>
    <comment ref="S7" authorId="0" shapeId="0" xr:uid="{5000A7FA-5CFA-4708-92D2-E111C3FE5C8C}">
      <text>
        <r>
          <rPr>
            <b/>
            <sz val="9"/>
            <color indexed="81"/>
            <rFont val="Tahoma"/>
            <family val="2"/>
          </rPr>
          <t>Divyanshu Vatsa:</t>
        </r>
        <r>
          <rPr>
            <sz val="9"/>
            <color indexed="81"/>
            <rFont val="Tahoma"/>
            <family val="2"/>
          </rPr>
          <t xml:space="preserve">
ASSUMPTION (flag): 50bps proxy spread for RBL Invoice Discounting (PID). Sanction letter silent on rate. Confirm at drawdown.</t>
        </r>
      </text>
    </comment>
    <comment ref="D8" authorId="0" shapeId="0" xr:uid="{96702480-5D62-499F-AB41-5A8A71D39F8C}">
      <text>
        <r>
          <rPr>
            <b/>
            <sz val="9"/>
            <color indexed="81"/>
            <rFont val="Tahoma"/>
            <family val="2"/>
          </rPr>
          <t>Divyanshu Vatsa:</t>
        </r>
        <r>
          <rPr>
            <sz val="9"/>
            <color indexed="81"/>
            <rFont val="Tahoma"/>
            <family val="2"/>
          </rPr>
          <t xml:space="preserve"> NFB — Non Fund Based. LCs, BGs, SBLCs. No money lent, only a promise.
</t>
        </r>
      </text>
    </comment>
    <comment ref="R9" authorId="0" shapeId="0" xr:uid="{93064938-679F-428D-B9C5-16E32F9FDCD1}">
      <text>
        <r>
          <rPr>
            <b/>
            <sz val="9"/>
            <color indexed="81"/>
            <rFont val="Tahoma"/>
            <family val="2"/>
          </rPr>
          <t>Divyanshu Vatsa:</t>
        </r>
        <r>
          <rPr>
            <sz val="9"/>
            <color indexed="81"/>
            <rFont val="Tahoma"/>
            <family val="2"/>
          </rPr>
          <t xml:space="preserve">
ASSUMPTION (flag): Sanction letter dated 25-Nov-2022 specifies Pre-Acceptance LCBD as a Bill Discounting / Invoice Discounting variant but does not state interest rate. Used 1Y MCLR (RBL) + 75bps as proxy consistent with typical LCBD pricing. Confirm actual rate with RBL at each transaction.</t>
        </r>
      </text>
    </comment>
    <comment ref="S9" authorId="0" shapeId="0" xr:uid="{3AE9CF27-8395-49C7-A6AA-5D56DBA7551D}">
      <text>
        <r>
          <rPr>
            <b/>
            <sz val="9"/>
            <color indexed="81"/>
            <rFont val="Tahoma"/>
            <family val="2"/>
          </rPr>
          <t>Divyanshu Vatsa:</t>
        </r>
        <r>
          <rPr>
            <sz val="9"/>
            <color indexed="81"/>
            <rFont val="Tahoma"/>
            <family val="2"/>
          </rPr>
          <t xml:space="preserve">
ASSUMPTION (flag): 75bps proxy spread for RBL Pre-Acceptance LCBD. Sanction letter silent on rate. Confirm at drawdown.</t>
        </r>
      </text>
    </comment>
    <comment ref="F11" authorId="0" shapeId="0" xr:uid="{63E5E74B-99DE-49FB-9AC3-A3995884F96C}">
      <text>
        <r>
          <rPr>
            <b/>
            <sz val="9"/>
            <color indexed="81"/>
            <rFont val="Tahoma"/>
            <family val="2"/>
          </rPr>
          <t xml:space="preserve">Divyanshu Vatsa: </t>
        </r>
        <r>
          <rPr>
            <sz val="9"/>
            <color indexed="81"/>
            <rFont val="Tahoma"/>
            <family val="2"/>
          </rPr>
          <t>TRUE or FALSE. If TRUE, this facility carves its limit out of a parent facility above it. It is tracked for information but gets zero Effective Outstanding and is excluded from all totals. Example — the RBL WCDL is a sub-limit of the RBL LC Main. If JCL draws ₹50 crore on WCDL, it reduces the LC availability by ₹50 crore. You never add both to the total.</t>
        </r>
      </text>
    </comment>
    <comment ref="D12" authorId="0" shapeId="0" xr:uid="{7726C113-369B-4D95-8C5F-596C703759FD}">
      <text>
        <r>
          <rPr>
            <b/>
            <sz val="9"/>
            <color indexed="81"/>
            <rFont val="Tahoma"/>
            <family val="2"/>
          </rPr>
          <t xml:space="preserve">Divyanshu Vatsa: </t>
        </r>
        <r>
          <rPr>
            <sz val="9"/>
            <color indexed="81"/>
            <rFont val="Tahoma"/>
            <family val="2"/>
          </rPr>
          <t>Hedge — Forex notional limits. LER and Forward Contract. Not debt at all.</t>
        </r>
      </text>
    </comment>
    <comment ref="D13" authorId="0" shapeId="0" xr:uid="{1B43B9DC-B284-45DD-8A13-693E5A458094}">
      <text>
        <r>
          <rPr>
            <b/>
            <sz val="9"/>
            <color indexed="81"/>
            <rFont val="Tahoma"/>
            <family val="2"/>
          </rPr>
          <t xml:space="preserve">Divyanshu Vatsa: </t>
        </r>
        <r>
          <rPr>
            <sz val="9"/>
            <color indexed="81"/>
            <rFont val="Tahoma"/>
            <family val="2"/>
          </rPr>
          <t>FB-Term — Fund Based Term Loan. Same as FB but triggers the EQI repayment logic. RBL, YBL, Bajaj TLs.</t>
        </r>
      </text>
    </comment>
    <comment ref="T13" authorId="0" shapeId="0" xr:uid="{C8C1294B-5664-4019-BEA9-D194F7835827}">
      <text>
        <r>
          <rPr>
            <b/>
            <sz val="9"/>
            <color indexed="81"/>
            <rFont val="Tahoma"/>
            <family val="2"/>
          </rPr>
          <t>Obs 4 — Indicative rate. Sanction letter dated 24-Jan-2024 defers actual interest rate to drawdown. Modelled as 1Y MCLR (9.00%) + indicative spread of 75 bps = 9.75%. Override Spread (S13) once RBL confirms drawdown rate. Annual interest cost (₹19.5 Cr) carries this assumption.</t>
        </r>
      </text>
    </comment>
    <comment ref="D16" authorId="0" shapeId="0" xr:uid="{2691939B-4E8F-4FFF-99FF-B8B44A5E2278}">
      <text>
        <r>
          <rPr>
            <b/>
            <sz val="9"/>
            <color indexed="81"/>
            <rFont val="Tahoma"/>
            <family val="2"/>
          </rPr>
          <t xml:space="preserve">Divyanshu Vatsa: </t>
        </r>
        <r>
          <rPr>
            <sz val="9"/>
            <color indexed="81"/>
            <rFont val="Tahoma"/>
            <family val="2"/>
          </rPr>
          <t>FB-FDbacked — Fund Based but backed by JCL's own FD. The FDOD. Treated separately because the net economic risk is near zero.</t>
        </r>
      </text>
    </comment>
    <comment ref="D17" authorId="0" shapeId="0" xr:uid="{F195CF28-7FEA-4619-8614-1BEE1F4DD2DA}">
      <text>
        <r>
          <rPr>
            <b/>
            <sz val="9"/>
            <color indexed="81"/>
            <rFont val="Tahoma"/>
            <family val="2"/>
          </rPr>
          <t xml:space="preserve">Divyanshu Vatsa: </t>
        </r>
        <r>
          <rPr>
            <sz val="9"/>
            <color indexed="81"/>
            <rFont val="Tahoma"/>
            <family val="2"/>
          </rPr>
          <t>NFB-FDbacked — NFB backed by FD. The LC-backed-by-FD sub-limit.</t>
        </r>
      </text>
    </comment>
    <comment ref="D18" authorId="0" shapeId="0" xr:uid="{5CF357AC-BC3E-46F4-92ED-DBFF84226C9A}">
      <text>
        <r>
          <rPr>
            <b/>
            <sz val="9"/>
            <color indexed="81"/>
            <rFont val="Tahoma"/>
            <family val="2"/>
          </rPr>
          <t xml:space="preserve">Divyanshu Vatsa: </t>
        </r>
        <r>
          <rPr>
            <sz val="9"/>
            <color indexed="81"/>
            <rFont val="Tahoma"/>
            <family val="2"/>
          </rPr>
          <t>FB-FCY — Fund Based Foreign Currency. Same as FB but denominated in USD. The two GIFT City BC facilities.</t>
        </r>
      </text>
    </comment>
    <comment ref="R20" authorId="0" shapeId="0" xr:uid="{44F55492-F639-4228-891B-BD29B0C8E9C4}">
      <text>
        <r>
          <rPr>
            <b/>
            <sz val="9"/>
            <color indexed="81"/>
            <rFont val="Tahoma"/>
            <family val="2"/>
          </rPr>
          <t>Divyanshu Vatsa:</t>
        </r>
        <r>
          <rPr>
            <sz val="9"/>
            <color indexed="81"/>
            <rFont val="Tahoma"/>
            <family val="2"/>
          </rPr>
          <t xml:space="preserve">
ASSUMPTION (flag): YBL Renewal cum Addendum dated 19-Mar-2026 introduces Purchase Invoice Financing (PIF) at INR 100 Cr but explicitly states 'Pricing: To be decided at time of disbursement; Benchmark rate: As per Annexure IV.' Used 3M MCLR (YBL) + 50bps as proxy — same MCLR-linked benchmark per the addendum's working capital pricing migration ('cash credit pricing moved from T-Bill linked to MCLR-linked'). Confirm actual contractual rate at first PIF drawdown.</t>
        </r>
      </text>
    </comment>
    <comment ref="S20" authorId="0" shapeId="0" xr:uid="{BD7DEB7C-2DEB-4352-84E9-2597B1863EBE}">
      <text>
        <r>
          <rPr>
            <b/>
            <sz val="9"/>
            <color indexed="81"/>
            <rFont val="Tahoma"/>
            <family val="2"/>
          </rPr>
          <t>Divyanshu Vatsa:</t>
        </r>
        <r>
          <rPr>
            <sz val="9"/>
            <color indexed="81"/>
            <rFont val="Tahoma"/>
            <family val="2"/>
          </rPr>
          <t xml:space="preserve">
ASSUMPTION (flag): 50bps proxy spread for YBL PIF over 3M MCLR. Sanction letter says 'to be decided at disbursement.' Confirm at drawdown.</t>
        </r>
      </text>
    </comment>
    <comment ref="T25" authorId="0" shapeId="0" xr:uid="{AD0572B7-9606-4B5E-A35E-96A529606124}">
      <text>
        <r>
          <rPr>
            <b/>
            <sz val="9"/>
            <color indexed="81"/>
            <rFont val="Tahoma"/>
            <family val="2"/>
          </rPr>
          <t>Divyanshu Vatsa:</t>
        </r>
        <r>
          <rPr>
            <sz val="9"/>
            <color indexed="81"/>
            <rFont val="Tahoma"/>
            <family val="2"/>
          </rPr>
          <t xml:space="preserve">
Obs 6 — 47 EQI assumption. YBL Term Loan modelled as 47 equal quarterly instalments of ₹6.823 Cr each per sanction letter dated 16-Dec-2024. The letter says 'quarterly instalments' without explicitly stating 'equal'. If YBL operates a graduated repayment schedule per its drawdown advice, override per-period principal cells in Repayment Schedule manually. Math reconciles either way — schedule uses direct cell entries.</t>
        </r>
      </text>
    </comment>
    <comment ref="E26" authorId="0" shapeId="0" xr:uid="{B0CE8D55-4E7A-4027-AF3B-5D3992F3FCC1}">
      <text>
        <r>
          <rPr>
            <b/>
            <sz val="9"/>
            <color indexed="81"/>
            <rFont val="Tahoma"/>
            <family val="2"/>
          </rPr>
          <t xml:space="preserve">Divyanshu Vatsa: </t>
        </r>
        <r>
          <rPr>
            <sz val="9"/>
            <color indexed="81"/>
            <rFont val="Tahoma"/>
            <family val="2"/>
          </rPr>
          <t>Non-Revolving — Once repaid, cannot be redrawn. All three term loans.</t>
        </r>
      </text>
    </comment>
    <comment ref="T28" authorId="0" shapeId="0" xr:uid="{E15C7E3E-E79E-49F6-8844-C71615DB05AF}">
      <text>
        <r>
          <rPr>
            <b/>
            <sz val="9"/>
            <color indexed="81"/>
            <rFont val="Tahoma"/>
            <family val="2"/>
          </rPr>
          <t>Divyanshu Vatsa:</t>
        </r>
        <r>
          <rPr>
            <sz val="9"/>
            <color indexed="81"/>
            <rFont val="Tahoma"/>
            <family val="2"/>
          </rPr>
          <t xml:space="preserve">
Obs 5 — Spread TBD. ICICI WCDL Addendum (11-Nov-2025) confirms Repo + applicable spread; spread is set at each drawdown. Model shows bare Repo (5.25%) since spread is not yet known and facility currently undrawn (Effective O/S = 0). Populate Spread (S28) when facility is drawn.</t>
        </r>
      </text>
    </comment>
    <comment ref="T34" authorId="0" shapeId="0" xr:uid="{9C2CE03B-42DF-40DB-82F1-5534342D92AF}">
      <text>
        <r>
          <rPr>
            <b/>
            <sz val="9"/>
            <color indexed="81"/>
            <rFont val="Tahoma"/>
            <family val="2"/>
          </rPr>
          <t>Divyanshu Vatsa:</t>
        </r>
        <r>
          <rPr>
            <sz val="9"/>
            <color indexed="81"/>
            <rFont val="Tahoma"/>
            <family val="2"/>
          </rPr>
          <t xml:space="preserve">
Obs 5 — Spread TBD. SIB WCL/WCDL spread is set at each drawdown per sanction letter dated 21-Jun-2025. Currently undrawn (Effective O/S = 0). Populate Spread (S34) when facility is drawn.</t>
        </r>
      </text>
    </comment>
    <comment ref="A42" authorId="0" shapeId="0" xr:uid="{27927862-B277-4CA1-889E-044E7D8F050D}">
      <text>
        <r>
          <rPr>
            <b/>
            <sz val="9"/>
            <color indexed="81"/>
            <rFont val="Tahoma"/>
            <family val="2"/>
          </rPr>
          <t xml:space="preserve">Divyanshu Vatsa: </t>
        </r>
        <r>
          <rPr>
            <sz val="9"/>
            <color indexed="81"/>
            <rFont val="Tahoma"/>
            <family val="2"/>
          </rPr>
          <t>To assign any new facility to a bucket, ask these questions in order:
Is it a sub-limit of another facility already in the model? → Bucket 0. Stop.
Is it FD-backed or a hedge notional? → Bucket 3. Stop.
Is it fund-based (FB, FB-Term, FB-FCY)? → Bucket 1. Stop.
Is it non-fund-based (NFB)? → Bucket 2. Stop.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Divyanshu Vatsa</author>
  </authors>
  <commentList>
    <comment ref="B4" authorId="0" shapeId="0" xr:uid="{EA11A70E-9381-4247-B797-FCB832EE3119}">
      <text>
        <r>
          <rPr>
            <b/>
            <sz val="9"/>
            <color indexed="81"/>
            <rFont val="Tahoma"/>
            <family val="2"/>
          </rPr>
          <t xml:space="preserve">Divyanshu Vatsa: </t>
        </r>
        <r>
          <rPr>
            <sz val="9"/>
            <color indexed="81"/>
            <rFont val="Tahoma"/>
            <family val="2"/>
          </rPr>
          <t>what each lender's term loan contributes to Bucket 1. RBL ₹200 crore, YBL ₹320.70 crore, Bajaj ₹150 crore. ICICI and SIB have no term loans so they show zero.</t>
        </r>
      </text>
    </comment>
    <comment ref="C4" authorId="0" shapeId="0" xr:uid="{FC3F305D-C28F-4190-A298-72B37CD8861D}">
      <text>
        <r>
          <rPr>
            <b/>
            <sz val="9"/>
            <color indexed="81"/>
            <rFont val="Tahoma"/>
            <family val="2"/>
          </rPr>
          <t xml:space="preserve">Divyanshu Vatsa: </t>
        </r>
        <r>
          <rPr>
            <sz val="9"/>
            <color indexed="81"/>
            <rFont val="Tahoma"/>
            <family val="2"/>
          </rPr>
          <t>WC FB Cap Basis is the working capital fund-based contribution on a cap-adjusted basis — pulled from the Effective Outstanding of all Bucket-1 WC facilities per lender. RBL shows ₹372 crore here, which needs explanation because the WC cap is only ₹100 crore. The ₹372 crore is the sum across all RBL Bucket-1 FB facilities — the ₹100 crore cap-allocated WC lines, the ₹172 crore BC-CAPEX INR cap, and the ₹100 crore BC-WC INR cap. So it's not just the revolving WC; it includes both GIFT City Buyer's Credit facilities which are also Fund-Based and Bucket 1. YES Bank shows ₹175 crore — PIF ₹100 crore, CC ₹25 crore, WCDL ₹50 crore, all below the ₹200 crore cap so each gets its full face. ICICI and SIB show ₹50 crore each — their respective CC caps.</t>
        </r>
      </text>
    </comment>
    <comment ref="C6" authorId="0" shapeId="0" xr:uid="{33F90063-23DA-4A9C-A924-951DDFF24A7C}">
      <text>
        <r>
          <rPr>
            <b/>
            <sz val="9"/>
            <color indexed="81"/>
            <rFont val="Tahoma"/>
            <family val="2"/>
          </rPr>
          <t>Divyanshu Vatsa:</t>
        </r>
        <r>
          <rPr>
            <sz val="9"/>
            <color indexed="81"/>
            <rFont val="Tahoma"/>
            <family val="2"/>
          </rPr>
          <t xml:space="preserve">
YBL WC FB cap basis = ₹175 Cr (PIF 100 + CC 25 + WCDL 50). Sanction letter dated 19-Mar-2026 caps overall YBL borrower exposure at ₹200 Cr (net of ₹1 Cr receivable finance), inclusive of LC sub-limit. Current FB ₹175 Cr + LC NFB ₹200 Cr drawing against ₹200 Cr umbrella means LC headroom is binding, not FB. Model treats FB at face since 175 &lt; 200; LC at face ₹200 Cr separately (NFB).</t>
        </r>
      </text>
    </comment>
    <comment ref="D6" authorId="0" shapeId="0" xr:uid="{3767C29A-E665-4B2F-9B3D-19AA8DD4CA18}">
      <text>
        <r>
          <rPr>
            <b/>
            <sz val="9"/>
            <color indexed="81"/>
            <rFont val="Tahoma"/>
            <family val="2"/>
          </rPr>
          <t>Divyanshu Vatsa:</t>
        </r>
        <r>
          <rPr>
            <sz val="9"/>
            <color indexed="81"/>
            <rFont val="Tahoma"/>
            <family val="2"/>
          </rPr>
          <t xml:space="preserve">
BG face value (across LCs and standalone). Memo only — not summed into Total NFB; see footnote at row 21.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Divyanshu Vatsa</author>
  </authors>
  <commentList>
    <comment ref="I3" authorId="0" shapeId="0" xr:uid="{A86F2E48-E5D0-45FB-9667-387EA81A77A5}">
      <text>
        <r>
          <rPr>
            <b/>
            <sz val="9"/>
            <color indexed="81"/>
            <rFont val="Tahoma"/>
            <family val="2"/>
          </rPr>
          <t>Divyanshu Vatsa:</t>
        </r>
        <r>
          <rPr>
            <sz val="9"/>
            <color indexed="81"/>
            <rFont val="Tahoma"/>
            <family val="2"/>
          </rPr>
          <t xml:space="preserve">
INDUSTRY PRACTICE: Most credit agreements specify covenant testing 'as per latest audited annual financial statements.' Current basis = Projected (FY26E) which gives more favourable ratios than Actual (FY24A audited). Switch to 'Actual' on Instructions B8 for compliance reporting against audited covenants. Sensitivity: Total Debt/EBITDA moves from 1.60x (Projected) to 2.72x (Actual FY24A); DSCR from 3.49x to ~1.5x range.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<sst xmlns="http://schemas.openxmlformats.org/spreadsheetml/2006/main" count="1421" uniqueCount="780">
  <si>
    <t>Status</t>
  </si>
  <si>
    <t>Notes</t>
  </si>
  <si>
    <t>PASS</t>
  </si>
  <si>
    <t>JINDAL COKE LIMITED</t>
  </si>
  <si>
    <t>As-of Date</t>
  </si>
  <si>
    <t>WORKBOOK TAB GUIDE</t>
  </si>
  <si>
    <t>Instructions &amp; Assumptions</t>
  </si>
  <si>
    <t>Facility Master</t>
  </si>
  <si>
    <t>Lender Summary</t>
  </si>
  <si>
    <t>Working Capital Facilities</t>
  </si>
  <si>
    <t>Term Loans</t>
  </si>
  <si>
    <t>Non-Fund Based Facilities</t>
  </si>
  <si>
    <t>Repayment Schedule</t>
  </si>
  <si>
    <t>Interest Schedule</t>
  </si>
  <si>
    <t>Covenant Tracker</t>
  </si>
  <si>
    <t>Security &amp; Charge Matrix</t>
  </si>
  <si>
    <t>Utilization Tracker</t>
  </si>
  <si>
    <t>Renewal &amp; Review Calendar</t>
  </si>
  <si>
    <t>Scenario Analysis</t>
  </si>
  <si>
    <t>Dashboard</t>
  </si>
  <si>
    <t>INSTRUCTIONS &amp; ASSUMPTIONS</t>
  </si>
  <si>
    <t>Value</t>
  </si>
  <si>
    <t>Unit</t>
  </si>
  <si>
    <t>USD / INR FX Rate</t>
  </si>
  <si>
    <t>₹/USD</t>
  </si>
  <si>
    <t>Use Full Utilisation = Sanctioned?</t>
  </si>
  <si>
    <t>TRUE/FALSE</t>
  </si>
  <si>
    <t>Days in Year</t>
  </si>
  <si>
    <t>days</t>
  </si>
  <si>
    <t>Projected</t>
  </si>
  <si>
    <t>Basis</t>
  </si>
  <si>
    <t>Benchmark</t>
  </si>
  <si>
    <t>Current Rate</t>
  </si>
  <si>
    <t>Source / Notes</t>
  </si>
  <si>
    <t>3M T-Bill</t>
  </si>
  <si>
    <t>Term SOFR (USD)</t>
  </si>
  <si>
    <t>Total Debt (Gross)</t>
  </si>
  <si>
    <t>Term Debt</t>
  </si>
  <si>
    <t>Tangible Net Worth (TNW)</t>
  </si>
  <si>
    <t>Adjusted TNW (ATNW)</t>
  </si>
  <si>
    <t>Current Assets</t>
  </si>
  <si>
    <t>Current Liabilities</t>
  </si>
  <si>
    <t>Total Outside Liabilities (TOL)</t>
  </si>
  <si>
    <t>Interest Expense (TTM)</t>
  </si>
  <si>
    <t>Fixed Assets (net block)</t>
  </si>
  <si>
    <t>Secured Debt (outstanding)</t>
  </si>
  <si>
    <t>External Rating</t>
  </si>
  <si>
    <t>CARE A+; Stable / A1</t>
  </si>
  <si>
    <t>Promoter Shareholding %</t>
  </si>
  <si>
    <t>Principal Repayment (TTM)</t>
  </si>
  <si>
    <t>DEBT PRICING TABLE</t>
  </si>
  <si>
    <t>S.No</t>
  </si>
  <si>
    <t>Lender</t>
  </si>
  <si>
    <t>Facility</t>
  </si>
  <si>
    <t>Category</t>
  </si>
  <si>
    <t>Rate Type</t>
  </si>
  <si>
    <t>N/A</t>
  </si>
  <si>
    <t>Nature</t>
  </si>
  <si>
    <t>Currency</t>
  </si>
  <si>
    <t>Spread</t>
  </si>
  <si>
    <t>Remarks</t>
  </si>
  <si>
    <t>RBL Bank</t>
  </si>
  <si>
    <t>Letter of Credit - Main Limit</t>
  </si>
  <si>
    <t>NFB</t>
  </si>
  <si>
    <t>Revolving</t>
  </si>
  <si>
    <t>INR</t>
  </si>
  <si>
    <t>Fixed commission</t>
  </si>
  <si>
    <t>Fixed</t>
  </si>
  <si>
    <t>On Maturity</t>
  </si>
  <si>
    <t>Working capital incl. service LC issuance</t>
  </si>
  <si>
    <t>1st p-p on current assets; 2nd p-p on FA; Personal guarantee</t>
  </si>
  <si>
    <t>RBL Renewal Letter dated 31-Dec-2025</t>
  </si>
  <si>
    <t>Bank Guarantee</t>
  </si>
  <si>
    <t>On Demand</t>
  </si>
  <si>
    <t>PBG, Bid Bond, Govt/Semi-Govt guarantees</t>
  </si>
  <si>
    <t>Invoice Discounting (PID)</t>
  </si>
  <si>
    <t>FB</t>
  </si>
  <si>
    <t>To be decided</t>
  </si>
  <si>
    <t>TBD</t>
  </si>
  <si>
    <t>SBLC</t>
  </si>
  <si>
    <t>Buyer's Credit from RBL GIFT City / other banks</t>
  </si>
  <si>
    <t>Same as LC</t>
  </si>
  <si>
    <t>RBL Modification Letter dated 13-Mar-2025</t>
  </si>
  <si>
    <t>Pre-Acceptance LCBD</t>
  </si>
  <si>
    <t>Cash Credit</t>
  </si>
  <si>
    <t>1Y MCLR (RBL Bank)</t>
  </si>
  <si>
    <t>Floating</t>
  </si>
  <si>
    <t>RBL Renewal cum Modification dated 28-Feb-2025</t>
  </si>
  <si>
    <t>Working Capital Demand Loan (WCDL)</t>
  </si>
  <si>
    <t>Working capital</t>
  </si>
  <si>
    <t>Loan Equivalent Risk (LER)</t>
  </si>
  <si>
    <t>Hedge</t>
  </si>
  <si>
    <t>Bank treasury</t>
  </si>
  <si>
    <t>On Settlement</t>
  </si>
  <si>
    <t>Forex hedging (MTM cap 75%)</t>
  </si>
  <si>
    <t>Unsecured</t>
  </si>
  <si>
    <t>FB-Term</t>
  </si>
  <si>
    <t>Non-Revolving</t>
  </si>
  <si>
    <t>Floating (Indicative)</t>
  </si>
  <si>
    <t>Quarterly</t>
  </si>
  <si>
    <t>Repayment of existing SBLC/BC + fresh capex</t>
  </si>
  <si>
    <t>1st p-p on FA; 1st p-p mortgage on immovable; 2nd p-p on CA</t>
  </si>
  <si>
    <t>SBLC for Buyer's Credit (GIFT City)</t>
  </si>
  <si>
    <t>Buyer's credit through RBL GIFT City or other banks</t>
  </si>
  <si>
    <t>Capex LC</t>
  </si>
  <si>
    <t>Purchase of capital goods</t>
  </si>
  <si>
    <t>Overdraft backed by 100% FD (FDOD)</t>
  </si>
  <si>
    <t>FB-FDbacked</t>
  </si>
  <si>
    <t>FD rate</t>
  </si>
  <si>
    <t>Cash flow mismatches</t>
  </si>
  <si>
    <t>Exclusive charge on FD = 100% of facility</t>
  </si>
  <si>
    <t>RBL Renewal cum Enhancement dated 24-Jan-2024</t>
  </si>
  <si>
    <t>LC backed by 100% FD</t>
  </si>
  <si>
    <t>NFB-FDbacked</t>
  </si>
  <si>
    <t>Buyer's Credit from GIFT City - WC</t>
  </si>
  <si>
    <t>FB-FCY</t>
  </si>
  <si>
    <t>USD</t>
  </si>
  <si>
    <t>Bullet</t>
  </si>
  <si>
    <t>RBL-issued BG/SBLC</t>
  </si>
  <si>
    <t>RBL Buyer's Credit WC Sanction dated 13-Mar-2025</t>
  </si>
  <si>
    <t>Buyer's Credit from GIFT City - CAPEX</t>
  </si>
  <si>
    <t>CAPEX funding</t>
  </si>
  <si>
    <t>RBL Buyer's Credit CAPEX Sanction dated 27-Mar-2025</t>
  </si>
  <si>
    <t>YES Bank</t>
  </si>
  <si>
    <t>Purchase Invoice Financing</t>
  </si>
  <si>
    <t>1st p-p hypothecation over current assets</t>
  </si>
  <si>
    <t>YBL Renewal cum Addendum dated 19-Mar-2026</t>
  </si>
  <si>
    <t>3M MCLR (YBL)</t>
  </si>
  <si>
    <t>Letter of Credit</t>
  </si>
  <si>
    <t>Procurement of raw materials</t>
  </si>
  <si>
    <t>Financial BG / SBLC</t>
  </si>
  <si>
    <t>Securing payment for raw materials / paper</t>
  </si>
  <si>
    <t>Min utilisation covenant: 40% of YBL limits.</t>
  </si>
  <si>
    <t>Term Loan (Refinance Canara)</t>
  </si>
  <si>
    <t>Refinance Canara TL + reimburse promoter loan + IA</t>
  </si>
  <si>
    <t>2nd p-p on CA; 1st p-p on FA; 1st p-p EM Kalinga Nagar</t>
  </si>
  <si>
    <t>YBL TL Addendum dated 28-Mar-2025</t>
  </si>
  <si>
    <t>Bajaj Finance</t>
  </si>
  <si>
    <t>Term Loan</t>
  </si>
  <si>
    <t>Bajaj Floating Reference Rate (BFRR)</t>
  </si>
  <si>
    <t>CAPEX reimbursement + CAPEX + GCP</t>
  </si>
  <si>
    <t>1st p-p on FA at Coke Plant Khurunti; 2nd p-p on CA; MSC 1.25x</t>
  </si>
  <si>
    <t>Bajaj TL Sanction BFL/CL-MM/2025-26/JCL/01 dated 18-Aug-2025</t>
  </si>
  <si>
    <t>ICICI Bank</t>
  </si>
  <si>
    <t>6M I-MCLR (ICICI)</t>
  </si>
  <si>
    <t>1st p-p on CA; 2nd p-p on FA; 2nd p-p mortgage Kalinga Nagar</t>
  </si>
  <si>
    <t>ICICI Credit Arrangement Letter dated 16-Sep-2025</t>
  </si>
  <si>
    <t>Repo Rate</t>
  </si>
  <si>
    <t>Working capital (bullet)</t>
  </si>
  <si>
    <t>ICICI WCDL Addendum dated 11-Nov-2025</t>
  </si>
  <si>
    <t>Letter of Credit (Inland/Foreign)</t>
  </si>
  <si>
    <t>RM, consumables, stores, spares, tools</t>
  </si>
  <si>
    <t>LC to JSL Global Commodities Pte Ltd capped at INR 25 Cr.</t>
  </si>
  <si>
    <t>SBLC for Buyers' Credit</t>
  </si>
  <si>
    <t>Buyer's credit (USD/INR)</t>
  </si>
  <si>
    <t>Bank Guarantee - Performance</t>
  </si>
  <si>
    <t>Bid bond, EMD, performance, customs</t>
  </si>
  <si>
    <t>Bank Guarantee - Financial</t>
  </si>
  <si>
    <t>Financial guarantees</t>
  </si>
  <si>
    <t>South Indian Bank</t>
  </si>
  <si>
    <t>CCOL (Cash Credit)</t>
  </si>
  <si>
    <t>12M MCLR (SIB)</t>
  </si>
  <si>
    <t>Pre-sale and post-sale working capital</t>
  </si>
  <si>
    <t>SIB Renewal BR/SANC/01/2025-26 dated 21-Jun-2025</t>
  </si>
  <si>
    <t>Annual reset.</t>
  </si>
  <si>
    <t>WCL / WCDL</t>
  </si>
  <si>
    <t>Inland / Import LC</t>
  </si>
  <si>
    <t>Purchase / import of RM, trading goods, services</t>
  </si>
  <si>
    <t>Capital goods and capital maintenance</t>
  </si>
  <si>
    <t>Combined with Inland/Import LC limit.</t>
  </si>
  <si>
    <t>Buyer's credit for import payments</t>
  </si>
  <si>
    <t>Forward Contract Limit</t>
  </si>
  <si>
    <t>Hedging exchange risk</t>
  </si>
  <si>
    <t>#</t>
  </si>
  <si>
    <t>Total</t>
  </si>
  <si>
    <t>Headroom</t>
  </si>
  <si>
    <t>Reference only</t>
  </si>
  <si>
    <t>WORKING CAPITAL FACILITIES</t>
  </si>
  <si>
    <t>Working Capital Summary</t>
  </si>
  <si>
    <t>TERM LOANS</t>
  </si>
  <si>
    <t>NON-FUND BASED FACILITIES</t>
  </si>
  <si>
    <t>Drawdown</t>
  </si>
  <si>
    <t>Period End</t>
  </si>
  <si>
    <t>Q4 FY24</t>
  </si>
  <si>
    <t>Q1 FY25</t>
  </si>
  <si>
    <t>Q2 FY25</t>
  </si>
  <si>
    <t>Q3 FY25</t>
  </si>
  <si>
    <t>Q4 FY25</t>
  </si>
  <si>
    <t>Q1 FY26</t>
  </si>
  <si>
    <t>Q2 FY26</t>
  </si>
  <si>
    <t>Q3 FY26</t>
  </si>
  <si>
    <t>Q4 FY26</t>
  </si>
  <si>
    <t>Q1 FY27</t>
  </si>
  <si>
    <t>Q2 FY27</t>
  </si>
  <si>
    <t>Q3 FY27</t>
  </si>
  <si>
    <t>Q4 FY27</t>
  </si>
  <si>
    <t>Q1 FY28</t>
  </si>
  <si>
    <t>Q2 FY28</t>
  </si>
  <si>
    <t>Q3 FY28</t>
  </si>
  <si>
    <t>Q4 FY28</t>
  </si>
  <si>
    <t>Q1 FY29</t>
  </si>
  <si>
    <t>Q2 FY29</t>
  </si>
  <si>
    <t>Q3 FY29</t>
  </si>
  <si>
    <t>Q4 FY29</t>
  </si>
  <si>
    <t>Q1 FY30</t>
  </si>
  <si>
    <t>Q2 FY30</t>
  </si>
  <si>
    <t>Q3 FY30</t>
  </si>
  <si>
    <t>Q4 FY30</t>
  </si>
  <si>
    <t>Q1 FY31</t>
  </si>
  <si>
    <t>Q2 FY31</t>
  </si>
  <si>
    <t>Q3 FY31</t>
  </si>
  <si>
    <t>Q4 FY31</t>
  </si>
  <si>
    <t>Q1 FY32</t>
  </si>
  <si>
    <t>Q2 FY32</t>
  </si>
  <si>
    <t>Q3 FY32</t>
  </si>
  <si>
    <t>Q4 FY32</t>
  </si>
  <si>
    <t>Q1 FY33</t>
  </si>
  <si>
    <t>Q2 FY33</t>
  </si>
  <si>
    <t>Q3 FY33</t>
  </si>
  <si>
    <t>Q4 FY33</t>
  </si>
  <si>
    <t>Q1 FY34</t>
  </si>
  <si>
    <t>Q2 FY34</t>
  </si>
  <si>
    <t>Q3 FY34</t>
  </si>
  <si>
    <t>Q4 FY34</t>
  </si>
  <si>
    <t>Q1 FY35</t>
  </si>
  <si>
    <t>Q2 FY35</t>
  </si>
  <si>
    <t>Q3 FY35</t>
  </si>
  <si>
    <t>Q4 FY35</t>
  </si>
  <si>
    <t>Q1 FY36</t>
  </si>
  <si>
    <t>Q2 FY36</t>
  </si>
  <si>
    <t>Q3 FY36</t>
  </si>
  <si>
    <t>Q4 FY36</t>
  </si>
  <si>
    <t>Q1 FY37</t>
  </si>
  <si>
    <t>Q2 FY37</t>
  </si>
  <si>
    <t>Q3 FY37</t>
  </si>
  <si>
    <t>Q4 FY37</t>
  </si>
  <si>
    <t>GRAND TOTAL</t>
  </si>
  <si>
    <t>COVENANT TRACKER</t>
  </si>
  <si>
    <t>Covenant</t>
  </si>
  <si>
    <t>Threshold</t>
  </si>
  <si>
    <t>Operator</t>
  </si>
  <si>
    <t>DSCR</t>
  </si>
  <si>
    <t>Term Debt / EBITDA</t>
  </si>
  <si>
    <t>TOL / TNW</t>
  </si>
  <si>
    <t>rating</t>
  </si>
  <si>
    <t>FACR</t>
  </si>
  <si>
    <t>Total Debt / EBITDA</t>
  </si>
  <si>
    <t>&lt;=</t>
  </si>
  <si>
    <t>ICR</t>
  </si>
  <si>
    <t>&gt;=</t>
  </si>
  <si>
    <t>Current Ratio</t>
  </si>
  <si>
    <t>Covenant Dashboard</t>
  </si>
  <si>
    <t>Total Covenants</t>
  </si>
  <si>
    <t>Compliant</t>
  </si>
  <si>
    <t>Pending Input</t>
  </si>
  <si>
    <t>SECURITY &amp; CHARGE MATRIX</t>
  </si>
  <si>
    <t>UTILIZATION TRACKER</t>
  </si>
  <si>
    <t>Review Flag</t>
  </si>
  <si>
    <t>RENEWAL &amp; REVIEW CALENDAR</t>
  </si>
  <si>
    <t>Sanction Date</t>
  </si>
  <si>
    <t>Validity Date</t>
  </si>
  <si>
    <t>Maturity Date</t>
  </si>
  <si>
    <t>Base</t>
  </si>
  <si>
    <t>Stress</t>
  </si>
  <si>
    <t>Severe Stress</t>
  </si>
  <si>
    <t>BFRR (Bajaj)</t>
  </si>
  <si>
    <t>Active Facilities</t>
  </si>
  <si>
    <t>TL Earliest Maturity</t>
  </si>
  <si>
    <t>TL Farthest Maturity</t>
  </si>
  <si>
    <t>Actual</t>
  </si>
  <si>
    <t>Interest</t>
  </si>
  <si>
    <t>Sanctioned</t>
  </si>
  <si>
    <t>EBITDA</t>
  </si>
  <si>
    <t>Total Debt</t>
  </si>
  <si>
    <t>FY</t>
  </si>
  <si>
    <t>FY25</t>
  </si>
  <si>
    <t>FY26</t>
  </si>
  <si>
    <t>FY27</t>
  </si>
  <si>
    <t>FY28</t>
  </si>
  <si>
    <t>FY29</t>
  </si>
  <si>
    <t>FY30</t>
  </si>
  <si>
    <t>FY31</t>
  </si>
  <si>
    <t>FY32</t>
  </si>
  <si>
    <t>FY33</t>
  </si>
  <si>
    <t>FY34</t>
  </si>
  <si>
    <t>FY35</t>
  </si>
  <si>
    <t>FY36</t>
  </si>
  <si>
    <t>FY37</t>
  </si>
  <si>
    <t>Expected</t>
  </si>
  <si>
    <t>Overall Status</t>
  </si>
  <si>
    <t>Purpose</t>
  </si>
  <si>
    <t>TL</t>
  </si>
  <si>
    <t>Tax Paid (TTM)</t>
  </si>
  <si>
    <t>Scheduled TL Repayment (next 12M)</t>
  </si>
  <si>
    <t>Promoter Shareholding</t>
  </si>
  <si>
    <t>A. Core Model Parameters</t>
  </si>
  <si>
    <t>date</t>
  </si>
  <si>
    <t>Financial Basis (Actual / Projected)</t>
  </si>
  <si>
    <t>B. Benchmark Rates</t>
  </si>
  <si>
    <t>Term SOFR (USD) 3M</t>
  </si>
  <si>
    <t>FD rate (RBL FDOD)</t>
  </si>
  <si>
    <t>C. Management Financials (INR Cr)</t>
  </si>
  <si>
    <t>FY24A</t>
  </si>
  <si>
    <t>FY26E</t>
  </si>
  <si>
    <t>D. Sanction-Letter Binding Caps (INR Cr)</t>
  </si>
  <si>
    <t>RBL — INR WC Umbrella Cap</t>
  </si>
  <si>
    <t>RBL — GIFT City BC Working Capital Cap</t>
  </si>
  <si>
    <t>RBL — GIFT City BC CAPEX Cap</t>
  </si>
  <si>
    <t>ICICI — Fund-Based Cap</t>
  </si>
  <si>
    <t>SIB — CCOL Cap</t>
  </si>
  <si>
    <t>E. Term Loan Date Overrides</t>
  </si>
  <si>
    <t>RBL TL Maturity</t>
  </si>
  <si>
    <t>YBL TL Repayment Start</t>
  </si>
  <si>
    <t>YBL TL Maturity</t>
  </si>
  <si>
    <t>Bajaj TL Maturity</t>
  </si>
  <si>
    <t>F. Term Loan S.No References</t>
  </si>
  <si>
    <t>RBL TL S.No</t>
  </si>
  <si>
    <t>YBL TL S.No</t>
  </si>
  <si>
    <t>Bajaj TL S.No</t>
  </si>
  <si>
    <t>Drives remaining-tenor and covenant-period calculations.</t>
  </si>
  <si>
    <t>Drives INR equivalents of USD-denominated facilities subject to sanction-letter caps.</t>
  </si>
  <si>
    <t>If TRUE, Effective Outstanding = Sanctioned. If FALSE, uses Current Outstanding from Facility Master Col N.</t>
  </si>
  <si>
    <t>Day-count convention for interest computation.</t>
  </si>
  <si>
    <t>Toggle drives Section C 'Active' column which feeds the Covenant Tracker.</t>
  </si>
  <si>
    <t>RBL Bank 1Y MCLR (Apr-2026).</t>
  </si>
  <si>
    <t>YES Bank 3M MCLR (Apr-2026).</t>
  </si>
  <si>
    <t>ICICI 6M I-MCLR effective 22-Jan-2026.</t>
  </si>
  <si>
    <t>SIB 12M MCLR per sanction letter dated 21-Jun-2025.</t>
  </si>
  <si>
    <t>Per Bajaj sanction letter dated 18-Aug-2025.</t>
  </si>
  <si>
    <t>Term SOFR 3M, Apr-2026.</t>
  </si>
  <si>
    <t>India 3M T-Bill yield, Apr-2026.</t>
  </si>
  <si>
    <t>RBI Policy Repo Rate, Apr-2026.</t>
  </si>
  <si>
    <t>Customer-specific FD rate backing the RBL FDOD facility.</t>
  </si>
  <si>
    <t>Active (toggle)</t>
  </si>
  <si>
    <t>Date</t>
  </si>
  <si>
    <t>Sub-Limit Flag</t>
  </si>
  <si>
    <t>WC Cap Group</t>
  </si>
  <si>
    <t>WC Cap Amount</t>
  </si>
  <si>
    <t>FD-Backed</t>
  </si>
  <si>
    <t>Bucket</t>
  </si>
  <si>
    <t>Sanc Orig Ccy</t>
  </si>
  <si>
    <t>Sanc INR Cr</t>
  </si>
  <si>
    <t>Current O/S</t>
  </si>
  <si>
    <t>Effective O/S</t>
  </si>
  <si>
    <t>Util %</t>
  </si>
  <si>
    <t>Eff Rate p.a.</t>
  </si>
  <si>
    <t>Moratorium Mths</t>
  </si>
  <si>
    <t>Rep Frequency</t>
  </si>
  <si>
    <t>Tenor Mths</t>
  </si>
  <si>
    <t>No of Instalments</t>
  </si>
  <si>
    <t>Drawdown Date</t>
  </si>
  <si>
    <t>Rep Start Date</t>
  </si>
  <si>
    <t>Security Summary</t>
  </si>
  <si>
    <t>Sanction Reference</t>
  </si>
  <si>
    <t>Identification</t>
  </si>
  <si>
    <t>Pricing 0.45% effective 31-Dec-2025.</t>
  </si>
  <si>
    <t>BG commission 0.50% per 28-Feb-2025 pricing table.</t>
  </si>
  <si>
    <t>RBL-INR-WC</t>
  </si>
  <si>
    <t>Sub-limit of LC (Main).</t>
  </si>
  <si>
    <t>1Y MCLR + 5 bps.</t>
  </si>
  <si>
    <t>Rate set at drawdown.</t>
  </si>
  <si>
    <t>Notional limit; 75% MTM trigger.</t>
  </si>
  <si>
    <t>RBL TL Sanction</t>
  </si>
  <si>
    <t>Indicative 9.75% (1Y MCLR + 75 bps); confirm with RBL at drawdown.</t>
  </si>
  <si>
    <t>Limit increased 172 → 190 Cr on 31-Dec-2025.</t>
  </si>
  <si>
    <t>Originally 24-Jan-2024; converted revolving 28-Feb-2025.</t>
  </si>
  <si>
    <t>Excluded from INR 300 Cr overall cap.</t>
  </si>
  <si>
    <t>WC - import/purchase of raw materials</t>
  </si>
  <si>
    <t>Sub-limit of FDOD.</t>
  </si>
  <si>
    <t>INR-capped at ₹100 Cr.</t>
  </si>
  <si>
    <t>INR-capped at ₹172 Cr.</t>
  </si>
  <si>
    <t>New facility; interest payable upfront.</t>
  </si>
  <si>
    <t>Pricing moved to 3M MCLR + 7 bps on 19-Mar-2026.</t>
  </si>
  <si>
    <t>Overall WC cap INR 200 Cr net of receivable finance.</t>
  </si>
  <si>
    <t>47 EQI of ₹6.82 Cr per sanction letter 16-Dec-2024.</t>
  </si>
  <si>
    <t>Floating; quarterly reset; WDV basis. 12-month moratorium.</t>
  </si>
  <si>
    <t>ICICI-FB</t>
  </si>
  <si>
    <t>Reset 6 monthly; one-way interchangeability CC→LC.</t>
  </si>
  <si>
    <t>Repo reset; spread TBD.</t>
  </si>
  <si>
    <t>Sub-limit of LC.</t>
  </si>
  <si>
    <t>SIB-FB</t>
  </si>
  <si>
    <t>Sub-limit of CCOL.</t>
  </si>
  <si>
    <t>Total LC + Capex LC ≤ INR 150 Cr.</t>
  </si>
  <si>
    <t>Notional limit.</t>
  </si>
  <si>
    <t>NFB Contingent Face Value (Bucket 2)</t>
  </si>
  <si>
    <t>Separate Lines Face Value (Bucket 3)</t>
  </si>
  <si>
    <t>LENDER SUMMARY — Three-Bucket View</t>
  </si>
  <si>
    <t>Bucket 1 — Sanctioned Debt (₹ Cr)</t>
  </si>
  <si>
    <t>TL Sanctioned</t>
  </si>
  <si>
    <t>WC FB (Cap Basis)</t>
  </si>
  <si>
    <t>% of Debt</t>
  </si>
  <si>
    <t>Grand Total</t>
  </si>
  <si>
    <t>Bucket 2 — NFB Contingent Exposure (₹ Cr)</t>
  </si>
  <si>
    <t>LCs</t>
  </si>
  <si>
    <t>SBLCs</t>
  </si>
  <si>
    <t>Capex LCs</t>
  </si>
  <si>
    <t>Total NFB</t>
  </si>
  <si>
    <t>Bucket 3 — Separate Lines (₹ Cr)</t>
  </si>
  <si>
    <t>Hedge Notional</t>
  </si>
  <si>
    <t>Total Banking Exposure (Reference Only)</t>
  </si>
  <si>
    <t>Bucket 1 — Sanctioned Debt</t>
  </si>
  <si>
    <t>Bucket 2 — NFB Contingent</t>
  </si>
  <si>
    <t>Bucket 3 — Separate Lines</t>
  </si>
  <si>
    <t>Total Banking Exposure</t>
  </si>
  <si>
    <t>Total Banking Exposure aggregates fund-based debt, contingent NFB commitments, FD-collateralised lines, and hedge notional limits. It is presented for lender concentration analysis only and does not represent debt obligations. Sanctioned Debt (Bucket 1) is the model's primary debt total and the basis for all debt covenants.</t>
  </si>
  <si>
    <t>Lender Concentration Analysis</t>
  </si>
  <si>
    <t>% of Sanctioned Debt</t>
  </si>
  <si>
    <t>% of Banking Exposure</t>
  </si>
  <si>
    <t>Sub-Limit</t>
  </si>
  <si>
    <t>Eff Rate</t>
  </si>
  <si>
    <t>★ Working Capital Sanctioned Debt (per sanction-letter caps)</t>
  </si>
  <si>
    <t>Total WC Utilised (Effective Outstanding, Bucket 1 only)</t>
  </si>
  <si>
    <t>Weighted Avg WC Interest Rate (utilisation-weighted)</t>
  </si>
  <si>
    <t>FD-Backed Lines (Bucket 3, excluded from WC Debt)</t>
  </si>
  <si>
    <t>Commission %</t>
  </si>
  <si>
    <t>Annual Commission ₹Cr</t>
  </si>
  <si>
    <t>Validity</t>
  </si>
  <si>
    <t>NFB Summary</t>
  </si>
  <si>
    <t>Total NFB Face Value (incl. sub-limits)</t>
  </si>
  <si>
    <t>★ Net NFB Contingent Exposure (Bucket 2)</t>
  </si>
  <si>
    <t>Hedge / Forward Notional (Bucket 3 — Reference)</t>
  </si>
  <si>
    <t>Annual Commission Run-Rate (Bucket 2)</t>
  </si>
  <si>
    <t>NFB facilities are contingent commitments. They do not constitute debt unless invoked. Commission cost flows to the Interest Schedule. NFB exposure is included in Total Banking Exposure (Lender Summary) but excluded from Sanctioned Debt and all debt covenants.</t>
  </si>
  <si>
    <t>Sanctioned (₹ Cr)</t>
  </si>
  <si>
    <t>Moratorium (Months)</t>
  </si>
  <si>
    <t>Repayment Start</t>
  </si>
  <si>
    <t>No. of Instalments</t>
  </si>
  <si>
    <t>Quarterly Instalment</t>
  </si>
  <si>
    <t>Effective Rate p.a.</t>
  </si>
  <si>
    <t>Spread (bps)</t>
  </si>
  <si>
    <t>Total TL Sanctioned</t>
  </si>
  <si>
    <t>RBL TL Rate Note: Indicative 9.75% (1Y MCLR of 9.00% + spread of 75 bps). Sanction letter defers actual rate to drawdown. Update Facility Master Col S row 13 with the RBL-confirmed rate when drawn.</t>
  </si>
  <si>
    <t>YBL TL Note: Modelled as 47 equal quarterly instalments of ₹6.82 Cr from 31-Mar-2025 to 30-Sep-2036 per sanction letter dated 16-Dec-2024. The sanction letter specifies 'quarterly instalments' without explicitly stating 'equal'. If a graduated schedule is binding per the lender's records, override per-period principal cells in the Repayment Schedule manually.</t>
  </si>
  <si>
    <t>REPAYMENT SCHEDULE — Quarterly (Q4 FY24 — Q4 FY37)</t>
  </si>
  <si>
    <t>Period</t>
  </si>
  <si>
    <t>RBL Bank — Term Loan</t>
  </si>
  <si>
    <t>YES Bank — Term Loan</t>
  </si>
  <si>
    <t>Bajaj Finance — Term Loan</t>
  </si>
  <si>
    <t>Consolidated</t>
  </si>
  <si>
    <t>Label</t>
  </si>
  <si>
    <t>Opening</t>
  </si>
  <si>
    <t>Prin Rep</t>
  </si>
  <si>
    <t>Closing</t>
  </si>
  <si>
    <t>Total Prin</t>
  </si>
  <si>
    <t>Total Int</t>
  </si>
  <si>
    <t>Total DS</t>
  </si>
  <si>
    <t>Combined O/S</t>
  </si>
  <si>
    <t>TL KPIs (cumulative through As-of Date)</t>
  </si>
  <si>
    <t>Principal Repaid</t>
  </si>
  <si>
    <t>Principal Outstanding</t>
  </si>
  <si>
    <t>Interest Paid</t>
  </si>
  <si>
    <t>Effective Rate</t>
  </si>
  <si>
    <t>INTEREST &amp; COMMISSION SCHEDULE</t>
  </si>
  <si>
    <t>Eff O/S</t>
  </si>
  <si>
    <t>Annual Interest/Comm. ₹Cr</t>
  </si>
  <si>
    <t>Annual Interest &amp; Commission Summary</t>
  </si>
  <si>
    <t>Total Interest — Sanctioned Debt (Bucket 1)</t>
  </si>
  <si>
    <t>Total Commission — NFB Contingent (Bucket 2)</t>
  </si>
  <si>
    <t>Total — Separate Lines (Bucket 3)</t>
  </si>
  <si>
    <t>Total Interest + Commission (All Buckets)</t>
  </si>
  <si>
    <t>Weighted Avg Cost of Sanctioned Debt</t>
  </si>
  <si>
    <t>Severity</t>
  </si>
  <si>
    <t>Per RBL TL sanction.</t>
  </si>
  <si>
    <t>BBB+</t>
  </si>
  <si>
    <t>Minimum rating.</t>
  </si>
  <si>
    <t>Min holding.</t>
  </si>
  <si>
    <t>YBL TL covenant.</t>
  </si>
  <si>
    <t>Bajaj TL covenant.</t>
  </si>
  <si>
    <t>FACR (MSC 1.25x)</t>
  </si>
  <si>
    <t>Min Security Cover.</t>
  </si>
  <si>
    <t>Debt / Equity</t>
  </si>
  <si>
    <t>A-</t>
  </si>
  <si>
    <t>Near Breach</t>
  </si>
  <si>
    <t>Breached</t>
  </si>
  <si>
    <t>Portfolio Compliance %</t>
  </si>
  <si>
    <t>SCENARIO ANALYSIS — Stress Testing</t>
  </si>
  <si>
    <t>Scenario Inputs</t>
  </si>
  <si>
    <t>Rate Shock (parallel +bps)</t>
  </si>
  <si>
    <t>Spread Increase</t>
  </si>
  <si>
    <t>Utilisation Change %</t>
  </si>
  <si>
    <t>EBITDA Change %</t>
  </si>
  <si>
    <t>Total Debt Change %</t>
  </si>
  <si>
    <t>Scenario Outputs</t>
  </si>
  <si>
    <t>Annual Bucket 1 Interest Cost (₹ Cr)</t>
  </si>
  <si>
    <t>DSCR (Stressed)</t>
  </si>
  <si>
    <t>Total Debt / EBITDA (Stressed)</t>
  </si>
  <si>
    <t>ICR (EBITDA / Stressed Interest)</t>
  </si>
  <si>
    <t>Stress Interpretation</t>
  </si>
  <si>
    <t>Base case reflects current rate environment, current utilisation, and FY26E financials. Stress applies a +100 bps parallel rate shock, +25 bps spread, +10% utilisation, -15% EBITDA, and +10% debt — testing typical mid-cycle stress. Severe Stress applies +200 bps rate shock, +50 bps spread, +20% utilisation, -30% EBITDA, and +25% debt — testing tail-risk conditions. The DSCR row indicates capacity to meet stressed debt service from operating cash flow; values below 1.25x warrant proactive lender engagement.</t>
  </si>
  <si>
    <t>Rate Sensitivity — Annual Interest Impact of +100 bps on each benchmark</t>
  </si>
  <si>
    <t>Δ Interest @ +100 bps (₹ Cr)</t>
  </si>
  <si>
    <t># of Facilities</t>
  </si>
  <si>
    <t>Personal Guarantee</t>
  </si>
  <si>
    <t>Charge Type</t>
  </si>
  <si>
    <t>Security Description</t>
  </si>
  <si>
    <t>1st / 2nd p-p hypothecation + mortgage</t>
  </si>
  <si>
    <t>1st p-p on CA; 2nd p-p on FA; 1st p-p mortgage on Faridabad property; Personal guarantee of promoters; FD-collateralised lines exclusive on FD</t>
  </si>
  <si>
    <t>1st p-p hypothecation over CA; mortgage on Faridabad property; 2nd p-p on FA; Personal guarantee</t>
  </si>
  <si>
    <t>1st p-p on FA at Coke Plant Khurunti; 2nd p-p on CA; MSC 1.25x; Personal guarantee</t>
  </si>
  <si>
    <t>1st p-p on CA; 2nd p-p on FA; 2nd p-p mortgage on Kalinga Nagar property</t>
  </si>
  <si>
    <t>Days to Validity</t>
  </si>
  <si>
    <t>Action</t>
  </si>
  <si>
    <t>Renewal Dashboard</t>
  </si>
  <si>
    <t>Valid</t>
  </si>
  <si>
    <t>Due &lt;=60d</t>
  </si>
  <si>
    <t>Expiring &lt;=30d</t>
  </si>
  <si>
    <t>Annual Renewal — Confirm</t>
  </si>
  <si>
    <t>No Validity Date</t>
  </si>
  <si>
    <t>Working capital facilities operating on annual renewal cycles show their original sanction-letter validity dates. These dates reflect the last formal renewal letter. Update Column AD in the Facility Master with the current validity date from the relationship manager after each renewal. Until updated, the status 'Annual Renewal — Confirm with Ops' is informational and does not indicate an operational breach.</t>
  </si>
  <si>
    <t>Indicative</t>
  </si>
  <si>
    <t>JCL DEBT MONITORING DASHBOARD</t>
  </si>
  <si>
    <t>Sanctioned Debt (₹ Cr)</t>
  </si>
  <si>
    <t>Term Loans + WC FB</t>
  </si>
  <si>
    <t>Term Loans (₹ Cr)</t>
  </si>
  <si>
    <t>Outstanding face value</t>
  </si>
  <si>
    <t>WC Fund-Based (₹ Cr)</t>
  </si>
  <si>
    <t>Per sanction-letter caps</t>
  </si>
  <si>
    <t>NFB Contingent (₹ Cr)</t>
  </si>
  <si>
    <t>LCs + SBLCs + BGs</t>
  </si>
  <si>
    <t>Bucket 1 Outstanding</t>
  </si>
  <si>
    <t>Wt. Avg Debt Cost</t>
  </si>
  <si>
    <t>Sanctioned debt only</t>
  </si>
  <si>
    <t>Annual Interest + Comm.</t>
  </si>
  <si>
    <t>Total run-rate</t>
  </si>
  <si>
    <t>Excludes sub-limits</t>
  </si>
  <si>
    <t>First TL maturing</t>
  </si>
  <si>
    <t>Last TL maturing</t>
  </si>
  <si>
    <t>Avg Debt Utilisation</t>
  </si>
  <si>
    <t>Covenant Compliance</t>
  </si>
  <si>
    <t>Pending</t>
  </si>
  <si>
    <t>Compliance %</t>
  </si>
  <si>
    <t>Lender Concentration</t>
  </si>
  <si>
    <t>Sanctioned Debt</t>
  </si>
  <si>
    <t>% of Total Banking Exposure</t>
  </si>
  <si>
    <t>Term Loan Maturity Profile by Fiscal Year</t>
  </si>
  <si>
    <t>Period Start</t>
  </si>
  <si>
    <t>Total Principal Due (₹ Cr)</t>
  </si>
  <si>
    <t>Cumulative</t>
  </si>
  <si>
    <t>FY24</t>
  </si>
  <si>
    <t>Facility Type Mix</t>
  </si>
  <si>
    <t>Amount ₹ Cr</t>
  </si>
  <si>
    <t>NFB Contingent</t>
  </si>
  <si>
    <t>Separate Lines</t>
  </si>
  <si>
    <t>Key Findings &amp; Watch Items</t>
  </si>
  <si>
    <t>•</t>
  </si>
  <si>
    <t>Model Integrity</t>
  </si>
  <si>
    <t>Bucket totals reconcile</t>
  </si>
  <si>
    <t>TL schedules tie out</t>
  </si>
  <si>
    <t>Covenants populated</t>
  </si>
  <si>
    <t>Inputs set</t>
  </si>
  <si>
    <t>Facilities bucketed</t>
  </si>
  <si>
    <t>All figures in INR Crores unless stated. Sanctioned Debt comprises fund-based facilities only and is the basis for all debt covenants. NFB Contingent is shown separately and contributes to commission cost and lender concentration analysis. See Notes tab for full methodology.</t>
  </si>
  <si>
    <t>Check ID</t>
  </si>
  <si>
    <t>Description</t>
  </si>
  <si>
    <t>Group</t>
  </si>
  <si>
    <t>VVE-01</t>
  </si>
  <si>
    <t>FM row count = 34</t>
  </si>
  <si>
    <t>Critical</t>
  </si>
  <si>
    <t>FM</t>
  </si>
  <si>
    <t>VVE-02</t>
  </si>
  <si>
    <t>Sub-limit count</t>
  </si>
  <si>
    <t>High</t>
  </si>
  <si>
    <t>VVE-03</t>
  </si>
  <si>
    <t>Bucket 1 (Debt) count</t>
  </si>
  <si>
    <t>VVE-04</t>
  </si>
  <si>
    <t>Bucket 2 (NFB) count</t>
  </si>
  <si>
    <t>VVE-05</t>
  </si>
  <si>
    <t>Bucket 3 (Separate) count</t>
  </si>
  <si>
    <t>VVE-06</t>
  </si>
  <si>
    <t>All 5 lenders represented</t>
  </si>
  <si>
    <t>VVE-07</t>
  </si>
  <si>
    <t>No outstanding &gt; sanctioned</t>
  </si>
  <si>
    <t>VVE-08</t>
  </si>
  <si>
    <t>No TL maturity &lt; drawdown</t>
  </si>
  <si>
    <t>VVE-09</t>
  </si>
  <si>
    <t>Bucket 1 Debt Total = 1,317.7</t>
  </si>
  <si>
    <t>VVE-10</t>
  </si>
  <si>
    <t>Bucket 1 TL Total = 670.7</t>
  </si>
  <si>
    <t>VVE-11</t>
  </si>
  <si>
    <t>Bucket 1 WC FB = 647.0</t>
  </si>
  <si>
    <t>VVE-12</t>
  </si>
  <si>
    <t>Bucket 2 NFB Total = 865</t>
  </si>
  <si>
    <t>VVE-13</t>
  </si>
  <si>
    <t>Bucket 3 Separate = 123</t>
  </si>
  <si>
    <t>VVE-14</t>
  </si>
  <si>
    <t>VVE-15</t>
  </si>
  <si>
    <t>VVE-16</t>
  </si>
  <si>
    <t>YBL TL principal value</t>
  </si>
  <si>
    <t>VVE-17</t>
  </si>
  <si>
    <t>Bajaj TL principal value</t>
  </si>
  <si>
    <t>VVE-18</t>
  </si>
  <si>
    <t>Schedule sanctioned sum</t>
  </si>
  <si>
    <t>VVE-19</t>
  </si>
  <si>
    <t>Covenant count = 24</t>
  </si>
  <si>
    <t>Cov</t>
  </si>
  <si>
    <t>VVE-20</t>
  </si>
  <si>
    <t>EBITDA populated</t>
  </si>
  <si>
    <t>Inputs</t>
  </si>
  <si>
    <t>VVE-21</t>
  </si>
  <si>
    <t>TotalDebt populated</t>
  </si>
  <si>
    <t>VVE-22</t>
  </si>
  <si>
    <t>TNW populated</t>
  </si>
  <si>
    <t>VVE-23</t>
  </si>
  <si>
    <t>AsOfDate set</t>
  </si>
  <si>
    <t>VVE-24</t>
  </si>
  <si>
    <t>FX rate positive</t>
  </si>
  <si>
    <t>VVE-25</t>
  </si>
  <si>
    <t>DaysInYear &gt; 0</t>
  </si>
  <si>
    <t>VVE-26</t>
  </si>
  <si>
    <t>All facilities have bucket assignment</t>
  </si>
  <si>
    <t>Arch</t>
  </si>
  <si>
    <t>VVE-27</t>
  </si>
  <si>
    <t>SubLimit + Bucket1+2+3 = 34</t>
  </si>
  <si>
    <t>VVE-28</t>
  </si>
  <si>
    <t>No facility both bucket and sub-limit</t>
  </si>
  <si>
    <t>VVE-29</t>
  </si>
  <si>
    <t>RBL INR WC face values sum</t>
  </si>
  <si>
    <t>Caps</t>
  </si>
  <si>
    <t>VVE-30</t>
  </si>
  <si>
    <t>ICICI FB face values</t>
  </si>
  <si>
    <t>VVE-31</t>
  </si>
  <si>
    <t>SIB FB face values</t>
  </si>
  <si>
    <t>VVE-32</t>
  </si>
  <si>
    <t>RBL_INR_WC_Cap = 100</t>
  </si>
  <si>
    <t>VVE-33</t>
  </si>
  <si>
    <t>RBL_BC_WC_Cap = 100</t>
  </si>
  <si>
    <t>VVE-34</t>
  </si>
  <si>
    <t>RBL_BC_CAPEX_Cap = 172</t>
  </si>
  <si>
    <t>VVE-35</t>
  </si>
  <si>
    <t>ICICI_FB_Cap = 50</t>
  </si>
  <si>
    <t>VVE-36</t>
  </si>
  <si>
    <t>SIB_CCOL_Cap = 50</t>
  </si>
  <si>
    <t>VVE-37</t>
  </si>
  <si>
    <t>RBL TL Maturity = 31-Mar-2029</t>
  </si>
  <si>
    <t>Dates</t>
  </si>
  <si>
    <t>VVE-38</t>
  </si>
  <si>
    <t>YBL TL RepStart = 31-Mar-2025</t>
  </si>
  <si>
    <t>VVE-39</t>
  </si>
  <si>
    <t>YBL TL Maturity = 30-Sep-2036</t>
  </si>
  <si>
    <t>VVE-40</t>
  </si>
  <si>
    <t>Bajaj TL Maturity = 31-Aug-2033</t>
  </si>
  <si>
    <t>VVE-41</t>
  </si>
  <si>
    <t>MCLR_RBL_1Y in [0,25%]</t>
  </si>
  <si>
    <t>Rates</t>
  </si>
  <si>
    <t>VVE-42</t>
  </si>
  <si>
    <t>MCLR_YBL_3M in range</t>
  </si>
  <si>
    <t>VVE-43</t>
  </si>
  <si>
    <t>SOFR_3M in range</t>
  </si>
  <si>
    <t>VVE-44</t>
  </si>
  <si>
    <t>BFRR_Bajaj in range</t>
  </si>
  <si>
    <t>VVE-45</t>
  </si>
  <si>
    <t>FinBasis valid</t>
  </si>
  <si>
    <t>VVE-46</t>
  </si>
  <si>
    <t>Bucket1_DebtTotal &gt; 0</t>
  </si>
  <si>
    <t>VVE-47</t>
  </si>
  <si>
    <t>Total facility count balance</t>
  </si>
  <si>
    <t>VVE-48</t>
  </si>
  <si>
    <t>Bucket 0 (sub-limits) count</t>
  </si>
  <si>
    <t>VVE-49</t>
  </si>
  <si>
    <t>Bucket 1 Interest &gt; 0</t>
  </si>
  <si>
    <t>Medium</t>
  </si>
  <si>
    <t>Recon</t>
  </si>
  <si>
    <t>VVE-50</t>
  </si>
  <si>
    <t>Total banking exposure positive</t>
  </si>
  <si>
    <t>VVE Master Status</t>
  </si>
  <si>
    <t>Total Checks</t>
  </si>
  <si>
    <t>FAIL</t>
  </si>
  <si>
    <t>Critical FAIL</t>
  </si>
  <si>
    <t>DATA VALIDATION &amp; CHECKS</t>
  </si>
  <si>
    <t>Reconciliation summary. Run after any input update. Detailed diagnostic checks live in the model's internal validation engine.</t>
  </si>
  <si>
    <t>Debt Monitoring Model</t>
  </si>
  <si>
    <t>Active Lenders</t>
  </si>
  <si>
    <t>Total Banking Exposure (₹ Cr)</t>
  </si>
  <si>
    <t>Tab</t>
  </si>
  <si>
    <t>Cover Page</t>
  </si>
  <si>
    <t>This page — model summary and tab map.</t>
  </si>
  <si>
    <t>Core inputs, benchmark rates, financial assumptions, sanction-letter caps.</t>
  </si>
  <si>
    <t>Single source of truth — all 34 facilities with structural, pricing, and tenor data.</t>
  </si>
  <si>
    <t>Three-bucket aggregation: Sanctioned Debt, NFB Contingent, Separate Lines, by lender.</t>
  </si>
  <si>
    <t>Operational view of all WC fund-based lines with cap-basis aggregation.</t>
  </si>
  <si>
    <t>Detailed view of the three term loans with parameters and totals.</t>
  </si>
  <si>
    <t>LCs, SBLCs, BGs, Capex LCs, and hedge notional facilities.</t>
  </si>
  <si>
    <t>53-period quarterly schedule for the three TLs and consolidated.</t>
  </si>
  <si>
    <t>Annual interest and commission cost by facility; weighted-average debt cost.</t>
  </si>
  <si>
    <t>24 covenant tests with thresholds, actuals, headroom, and status.</t>
  </si>
  <si>
    <t>Security and charge structure by lender.</t>
  </si>
  <si>
    <t>Real-time utilisation, headroom, and review status across all facilities.</t>
  </si>
  <si>
    <t>Validity dates, days-to-expiry, and renewal status.</t>
  </si>
  <si>
    <t>Base / Stress / Severe Stress sensitivities + benchmark rate-shock matrix.</t>
  </si>
  <si>
    <t>Senior management one-pager — KPI tiles, covenant status, lender concentration, narratives.</t>
  </si>
  <si>
    <t>Debt Pricing Table</t>
  </si>
  <si>
    <t>Pricing reference: benchmark, spread, effective rate, rate type.</t>
  </si>
  <si>
    <t>Data Validation &amp; Checks</t>
  </si>
  <si>
    <t>30 reconciliation checks covering structure, totals, and cross-sheet integrity.</t>
  </si>
  <si>
    <t>Methodology and reading guide for first-time viewers.</t>
  </si>
  <si>
    <t>NOTES &amp; METHODOLOGY</t>
  </si>
  <si>
    <t>1. Purpose</t>
  </si>
  <si>
    <t>This model is the central debt-monitoring tool for Jindal Coke Limited (JCL). It tracks all 34 banking facilities across five lenders — RBL Bank, YES Bank, Bajaj Finance, ICICI Bank, and South Indian Bank — and is the single source of truth for sanctioned amounts, outstanding balances, pricing, repayment schedules, and covenant compliance.</t>
  </si>
  <si>
    <t>2. Reading the Model — Colour Convention</t>
  </si>
  <si>
    <t>Yellow fill with blue text marks user inputs. Blue text without fill marks fixed contractual data taken from sanction letters. Black text marks formula output. Green text marks cross-sheet links. Navy fill with white text marks section headers. Light blue fill marks subtotal and total rows.</t>
  </si>
  <si>
    <t>3. The Three-Bucket Architecture</t>
  </si>
  <si>
    <t>This model presents JCL's banking relationships in three distinct buckets that should not be conflated. Sanctioned Debt represents fund-based borrowings — term loans and working capital. NFB Contingent represents off-balance-sheet commitments such as letters of credit and bank guarantees that become debt only if invoked. Separate Lines covers FD-collateralised facilities and hedge notional limits, neither of which carries economic debt exposure in the conventional sense. Total Banking Exposure aggregates all three for lender-concentration analysis but is not a debt figure.</t>
  </si>
  <si>
    <t>4. Sanctioned Debt — How It Is Computed</t>
  </si>
  <si>
    <t>Term loans are included at face sanctioned amounts. Working capital fund-based facilities are included at the binding umbrella cap stated in each lender's sanction letter, where such a cap exists. The RBL INR umbrella cap is ₹100 Cr (covering Invoice Discounting, Pre-Acceptance LCBD, Cash Credit, and WCDL collectively). The RBL GIFT City Buyer's Credit Working Capital cap is ₹100 Cr and the Buyer's Credit CAPEX cap is ₹172 Cr. The YBL combined WC FB total is ₹175 Cr (PIF ₹100 + CC ₹25 + WCDL ₹50). The ICICI fund-based cap is ₹50 Cr, and the SIB CCOL cap is ₹50 Cr.</t>
  </si>
  <si>
    <t>5. NFB Contingent</t>
  </si>
  <si>
    <t>Letters of Credit, Standby Letters of Credit, Bank Guarantees, and Capex LCs are contingent commitments. They generate commission cost but do not constitute debt unless invoked. Devolution risk is monitored through utilisation patterns and counterparty exposure.</t>
  </si>
  <si>
    <t>6. Separate Lines — FDOD and Hedges</t>
  </si>
  <si>
    <t>7. Sub-Limits</t>
  </si>
  <si>
    <t>Certain facilities listed in the Facility Master are sub-limits of parent facilities. Their drawdowns reduce availability under the parent and they share the parent's sanctioned amount. Sub-limits are retained in the Facility Master for operational tracking but are excluded from all aggregate sanctioned totals.</t>
  </si>
  <si>
    <t>8. GIFT City Buyer's Credit Structure</t>
  </si>
  <si>
    <t>RBL Bank has sanctioned two separate Buyer's Credit facilities through its IFSC Banking Unit at GIFT City — one for working capital (USD 11M, INR-capped at ₹100 Cr) and one for capital expenditure (USD 20M, INR-capped at ₹172 Cr). These are fund-based USD loans from the GIFT City entity, backed by Standby Letters of Credit issued by RBL Bank India. The SBLCs are recorded as Non-Fund-Based commitments in the NFB bucket. The fund-based Buyer's Credit drawdowns are recorded in the Sanctioned Debt bucket. The USD-INR conversion uses the FX rate on the Instructions tab, subject to the INR cap stated in each sanction letter.</t>
  </si>
  <si>
    <t>9. Term Loans</t>
  </si>
  <si>
    <t>All three term loans are modelled on equal quarterly instalments per their respective sanction letters. The YES Bank term loan has a final maturity of 30 September 2036 hardcoded per the sanction-letter final-repayment clause. The Bajaj Finance term loan has a 12-month moratorium per its sanction letter dated 18 August 2025. The RBL term loan rate is currently modelled at an indicative 9.75% (1Y MCLR + 75 bps) pending lender confirmation at drawdown.</t>
  </si>
  <si>
    <t>10. Repayment Schedule</t>
  </si>
  <si>
    <t>The schedule covers Q4 FY24 through Q4 FY37 on a quarterly basis. Opening balance equals prior closing. Drawdown fires in the period containing the drawdown date. Principal repayment fires once per period from RepStart through Maturity at the equal quarterly instalment amount. Interest is computed as Opening × Effective Rate × Days / DaysInYear.</t>
  </si>
  <si>
    <t>11. Covenant Tracker</t>
  </si>
  <si>
    <t>Standard ratio formulas drive each covenant: DSCR, Total Debt / EBITDA, TOL / TNW, Term Debt / EBITDA, ICR, FACR, Current Ratio, Debt / Equity. Threshold values come from individual sanction letters. The TOL figure feeding TOL/TNW is drawn from JCL's audited balance sheet (Instructions Section C). Status logic compares Actual vs Threshold and classifies Compliant, Near Breach (within 10% of threshold), or Breached. Rating covenants require manual inspection.</t>
  </si>
  <si>
    <t>12. Scenario Analysis</t>
  </si>
  <si>
    <t>Three cases test sensitivity to rate shocks, spread changes, utilisation movement, EBITDA contraction, and debt expansion. Base case reflects current inputs. Stress applies +100 bps rate shock and -15% EBITDA. Severe Stress applies +200 bps and -30% EBITDA. The rate-shock-by-benchmark matrix isolates incremental interest from a +100 bps shock to each benchmark in turn.</t>
  </si>
  <si>
    <t>13. Dashboard</t>
  </si>
  <si>
    <t>Read-only output page. KPI tiles show Sanctioned Debt, Term Loans, WC FB, NFB, Banking Exposure, Outstanding, Cost of Debt, and Annual Interest. Covenant compliance and lender concentration are displayed. Charts (Lender Concentration, TL Maturity Profile, Facility Type Mix) reference live data tables on the Dashboard. The Model Integrity strip shows green ticks when all VVE indicators pass.</t>
  </si>
  <si>
    <t>14. Common Workflows</t>
  </si>
  <si>
    <t>To update outstandings: edit Column N on Facility Master. To add a sanction: append a row to Facility Master with the appropriate Category, Bucket, and sub-limit flags. To update benchmarks: edit Section B of the Instructions tab. To run stress tests: edit yellow cells in Scenario Analysis. To share a covenant report: print the Covenant Tracker tab and Dashboard.</t>
  </si>
  <si>
    <t>15. Glossary</t>
  </si>
  <si>
    <t>Sanctioned Debt: Term loans + WC fund-based facilities at sanction-letter cap basis. NFB Contingent: Off-balance-sheet commitments (LCs, SBLCs, BGs). Separate Lines: FD-backed and hedge notional facilities, excluded from debt. Total Banking Exposure: Sanctioned Debt + NFB Contingent + Separate Lines. Sub-Limit: Facility carving up an existing sanctioned amount. Binding Cap: Sanction-letter umbrella cap that limits aggregate drawdown across multiple lines. EQI: Equal Quarterly Instalment.</t>
  </si>
  <si>
    <t>16. Model Maintenance</t>
  </si>
  <si>
    <t>Update inputs only in cells with yellow fill. Do not edit formula cells (black or green text). When in doubt, the Facility Master is the structural anchor — every other tab pulls from it via XLOOKUP or SUMIFS keyed on S.No or Category.</t>
  </si>
  <si>
    <t>Combined Total</t>
  </si>
  <si>
    <t>WC Headroom (Cap Basis — cannot exceed Sanctioned)</t>
  </si>
  <si>
    <t>Total TL Outstanding (as of As-of Date)</t>
  </si>
  <si>
    <t>1st p-p on CA; mortgage on Faridabad property; 2nd p-p on FA; Personal Guarantee</t>
  </si>
  <si>
    <t>Total Banking Exposure ₹ Cr</t>
  </si>
  <si>
    <t>Ccy</t>
  </si>
  <si>
    <t>Benchmark / Reference Rate</t>
  </si>
  <si>
    <t>Eff. Rate p.a.</t>
  </si>
  <si>
    <t xml:space="preserve">  PRICING SUMMARY</t>
  </si>
  <si>
    <t>VALIDATION ENGINE</t>
  </si>
  <si>
    <t>Integrity Indicator</t>
  </si>
  <si>
    <t>Detailed Checks</t>
  </si>
  <si>
    <t>YBL-FB</t>
  </si>
  <si>
    <t>Total Facility Lines (incl. sub-limits)</t>
  </si>
  <si>
    <t>17. Cap-Group Allocation (Effective O/S)</t>
  </si>
  <si>
    <t>Working capital fund-based facilities that share an umbrella cap are tagged in Facility Master columns G (Cap Group) and H (Group Cap). Within a group, only Bucket=1 (parent) lines participate in allocation; sub-limits (Bucket=0) get zero outstanding. The Effective O/S formula in column O scales each parent line by Group Cap / sum-of-Bucket1-Face-in-group, capped at face value. RBL INR-WC group: PID, Pre-LCBD, CC each ₹100 Cr face, scaled to ₹33.33 Cr each = ₹100 Cr cap total. ICICI-FB: CC parent gets ₹50 Cr, WCDL sub-limit gets 0. SIB-FB: CCOL parent gets ₹50 Cr, WCDL sub-limit gets 0. YBL-FB: PIF + CC + WCDL = ₹175 Cr face, below ₹200 Cr group cap, so each line allocates at face. RBL BC-WC, RBL BC-CAPEX, and RBL TL have no group tag and pass through at face value.</t>
  </si>
  <si>
    <t>18. FD-Backed Facilities (Bucket 3)</t>
  </si>
  <si>
    <t>RBL FDOD (₹100 Cr) sits in Bucket 3 because the 24-Jan-2024 sanction letter explicitly excludes 100%-FD-backed facilities from the ₹300 Cr overall borrower exposure cap. Its child LC-backed-by-FD (₹50 Cr) is a sub-limit. Net economic exposure is nil since the bank holds matching JCL fixed deposits as collateral. Banking Exposure shows the gross facility amount for transparency; Sanctioned Debt excludes it.</t>
  </si>
  <si>
    <t>WC FB outstanding ≤ cap-basis sanctioned</t>
  </si>
  <si>
    <t>Each cap group: Bucket=1 outstanding ≤ Group Cap</t>
  </si>
  <si>
    <t>★ Total Fund-Based Economic Debt (Bucket 1, cap-adjusted)</t>
  </si>
  <si>
    <t>The TOL figure used in TOL/TNW covenants is drawn from JCL's audited balance sheet (Instructions Section C, line item TOL). This figure already incorporates the appropriate accounting treatment of contingent NFB liabilities. The Total Debt figure used in Total Debt/EBITDA, Total Debt/ATNW, and Term Debt/EBITDA covenants is the Gross Outstanding Debt of ₹613.03 Cr (from Instructions B25 — JCL audited financials), NOT the Sanctioned Bucket-1 of ₹1,317.7 Cr. Covenants standardly test outstanding (drawn) debt rather than sanctioned limits. If the lender's covenant definition specifies sanctioned/committed debt, override TotalDebt_Active to point to a Bucket-1 reference.</t>
  </si>
  <si>
    <t>Financial Basis</t>
  </si>
  <si>
    <t>—— FD-Backed Line (Bucket 3 — Separate Lines, EXCLUDED from WC Sanctioned Debt) ——</t>
  </si>
  <si>
    <t>—— Fund-Based, CAPEX Purpose (included in FB aggregation; CAPEX, not pure WC use) ——</t>
  </si>
  <si>
    <t>Total WC Face Value (incl. FB-FCY and FD-Backed sub-line shown above)</t>
  </si>
  <si>
    <t>Notes: (i) The face-value total of 1,147 includes ₹100 Cr FD-backed FDOD and ₹172 Cr CAPEX-purpose Buyer's Credit. (ii) The cap-basis Sanctioned Debt of 647 (★) excludes FDOD (Bucket 3) but INCLUDES the ₹172 Cr CAPEX BC because it remains a fund-based lender exposure. (iii) Pure-WC fund-based debt = 647 − 172 = 475 Cr.</t>
  </si>
  <si>
    <t>BGs (memo)*</t>
  </si>
  <si>
    <t>* BGs (memo): all BGs in this model are issued as sub-limits of LC; their face value is already counted inside the parent LC's Bucket 2 figure. Column shown for visibility only and is NOT additive to the Total NFB column. Total NFB (col F) and Grand Total (F20 = 865) sum Bucket 2 face values only and remain the binding NFB contingent total.</t>
  </si>
  <si>
    <t>G. Rating-Tier Ordinal Map (higher = better)</t>
  </si>
  <si>
    <t>Rating Token</t>
  </si>
  <si>
    <t>Ordinal</t>
  </si>
  <si>
    <t>AAA</t>
  </si>
  <si>
    <t>Investment grade — highest</t>
  </si>
  <si>
    <t>AA+</t>
  </si>
  <si>
    <t>AA</t>
  </si>
  <si>
    <t>AA-</t>
  </si>
  <si>
    <t>A+</t>
  </si>
  <si>
    <t>JCL current rating: CARE A+</t>
  </si>
  <si>
    <t>A</t>
  </si>
  <si>
    <t>Common minimum rating covenant</t>
  </si>
  <si>
    <t>RBL TL minimum</t>
  </si>
  <si>
    <t>BBB</t>
  </si>
  <si>
    <t>BBB-</t>
  </si>
  <si>
    <t>BB+</t>
  </si>
  <si>
    <t>Below investment grade</t>
  </si>
  <si>
    <t>BB or below</t>
  </si>
  <si>
    <t>Rate set at availment. Spread of 50 bps over 1Y MCLR is illustrative; rate confirmed at each availment per sanction letter.</t>
  </si>
  <si>
    <t>Rate set at availment. Spread of 75 bps over 1Y MCLR is illustrative; rate confirmed at each availment per sanction letter.</t>
  </si>
  <si>
    <t>Amortised outstanding (TLs net of repayments; WC at cap-basis)</t>
  </si>
  <si>
    <t>Eff. outstanding / sanctioned (Bucket 1)</t>
  </si>
  <si>
    <t>The RBL FDOD (Overdraft backed by 100% Fixed Deposit) is presented separately from working capital debt. RBL sanction letters ring-fence this facility outside the overall exposure cap because it is backed by JCL's own fixed deposit. The net economic exposure is effectively nil. Hedge facilities (LER and Forward Contract) record notional limits for forex hedging and are not debt obligations. The Interest Schedule reports the gross interest expense on the FDOD facility at the all-in rate (FD rate + 0.25% spread). The corresponding FD interest income is earned outside this model. Net economic cost of the FDOD facility to JCL is the spread component only (approx. ₹0.25 Cr p.a. at current outstanding).</t>
  </si>
  <si>
    <t xml:space="preserve">FACILITY MASTER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</si>
</sst>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dd\-mmm\-yyyy"/>
    <numFmt numFmtId="165" formatCode="#,##0.00;[Red]\(#,##0.00\);\-"/>
    <numFmt numFmtId="166" formatCode="0.0%"/>
    <numFmt numFmtId="167" formatCode="dd/mmm/yyyy"/>
    <numFmt numFmtId="168" formatCode="#,##0;\(#,##0\);\-"/>
    <numFmt numFmtId="169" formatCode="#,##0.00;\(#,##0.00\);\-"/>
    <numFmt numFmtId="170" formatCode="#,##0.0;\(#,##0.0\);\-"/>
    <numFmt numFmtId="171" formatCode="0%;\(0%\);\-"/>
    <numFmt numFmtId="172" formatCode="#,##0.0"/>
  </numFmts>
  <fonts count="121" x14ac:knownFonts="1">
    <font>
      <sz val="11"/>
      <color theme="1"/>
      <name val="Calibri"/>
      <family val="2"/>
      <charset val="1"/>
    </font>
    <font>
      <sz val="10"/>
      <color rgb="FF000000"/>
      <name val="Arial"/>
      <family val="2"/>
      <charset val="1"/>
    </font>
    <font>
      <sz val="10"/>
      <color rgb="FF0000C0"/>
      <name val="Arial"/>
      <family val="2"/>
      <charset val="1"/>
    </font>
    <font>
      <sz val="9"/>
      <color rgb="FF000000"/>
      <name val="Arial"/>
      <family val="2"/>
      <charset val="1"/>
    </font>
    <font>
      <b/>
      <sz val="10"/>
      <color rgb="FFFFFFFF"/>
      <name val="Arial"/>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6"/>
      <color rgb="FFFFFFFF"/>
      <name val="Calibri"/>
      <family val="2"/>
      <charset val="1"/>
    </font>
    <font>
      <b/>
      <sz val="9"/>
      <color rgb="FFFFFFFF"/>
      <name val="Calibri"/>
      <family val="2"/>
      <charset val="1"/>
    </font>
    <font>
      <i/>
      <sz val="8"/>
      <color rgb="FF595959"/>
      <name val="Calibri"/>
      <family val="2"/>
      <charset val="1"/>
    </font>
    <font>
      <b/>
      <sz val="12"/>
      <color rgb="FFFFFFFF"/>
      <name val="Calibri"/>
      <family val="2"/>
      <charset val="1"/>
    </font>
    <font>
      <sz val="13"/>
      <color rgb="FFFFFFFF"/>
      <name val="Calibri"/>
      <family val="2"/>
      <charset val="1"/>
    </font>
    <font>
      <b/>
      <sz val="11"/>
      <color rgb="FF1F3864"/>
      <name val="Calibri"/>
      <family val="2"/>
      <charset val="1"/>
    </font>
    <font>
      <b/>
      <sz val="10"/>
      <color rgb="FF1F3864"/>
      <name val="Calibri"/>
      <family val="2"/>
      <charset val="1"/>
    </font>
    <font>
      <b/>
      <sz val="12"/>
      <color rgb="FF1F3864"/>
      <name val="Calibri"/>
      <family val="2"/>
      <charset val="1"/>
    </font>
    <font>
      <sz val="10"/>
      <color rgb="FF222222"/>
      <name val="Calibri"/>
      <family val="2"/>
      <charset val="1"/>
    </font>
    <font>
      <i/>
      <sz val="10"/>
      <color rgb="FFFFFFFF"/>
      <name val="Calibri"/>
      <family val="2"/>
      <charset val="1"/>
    </font>
    <font>
      <b/>
      <sz val="20"/>
      <color rgb="FF1F3864"/>
      <name val="Calibri"/>
      <family val="2"/>
      <charset val="1"/>
    </font>
    <font>
      <b/>
      <sz val="20"/>
      <color rgb="FF2E75B6"/>
      <name val="Calibri"/>
      <family val="2"/>
      <charset val="1"/>
    </font>
    <font>
      <b/>
      <sz val="20"/>
      <color rgb="FF375623"/>
      <name val="Calibri"/>
      <family val="2"/>
      <charset val="1"/>
    </font>
    <font>
      <b/>
      <sz val="20"/>
      <color rgb="FF843C0C"/>
      <name val="Calibri"/>
      <family val="2"/>
      <charset val="1"/>
    </font>
    <font>
      <b/>
      <sz val="20"/>
      <color rgb="FF44546A"/>
      <name val="Calibri"/>
      <family val="2"/>
      <charset val="1"/>
    </font>
    <font>
      <b/>
      <sz val="14"/>
      <color rgb="FF1F3864"/>
      <name val="Calibri"/>
      <family val="2"/>
      <charset val="1"/>
    </font>
    <font>
      <b/>
      <sz val="16"/>
      <color rgb="FF1F3864"/>
      <name val="Calibri"/>
      <family val="2"/>
      <charset val="1"/>
    </font>
    <font>
      <i/>
      <sz val="10"/>
      <color rgb="FF595959"/>
      <name val="Calibri"/>
      <family val="2"/>
      <charset val="1"/>
    </font>
    <font>
      <sz val="9"/>
      <color rgb="FF595959"/>
      <name val="Calibri"/>
      <family val="2"/>
      <charset val="1"/>
    </font>
    <font>
      <b/>
      <sz val="20"/>
      <color rgb="FF70AD47"/>
      <name val="Calibri"/>
      <family val="2"/>
      <charset val="1"/>
    </font>
    <font>
      <i/>
      <sz val="9"/>
      <color rgb="FF595959"/>
      <name val="Calibri"/>
      <family val="2"/>
      <charset val="1"/>
    </font>
    <font>
      <sz val="11"/>
      <color rgb="FF1F3864"/>
      <name val="Calibri"/>
      <family val="2"/>
      <charset val="1"/>
    </font>
    <font>
      <b/>
      <sz val="10"/>
      <color rgb="FF843C0C"/>
      <name val="Calibri"/>
      <family val="2"/>
      <charset val="1"/>
    </font>
    <font>
      <b/>
      <sz val="10"/>
      <color rgb="FF375623"/>
      <name val="Calibri"/>
      <family val="2"/>
      <charset val="1"/>
    </font>
    <font>
      <b/>
      <sz val="9"/>
      <color rgb="FF1F3864"/>
      <name val="Calibri"/>
      <family val="2"/>
      <charset val="1"/>
    </font>
    <font>
      <b/>
      <sz val="10"/>
      <color rgb="FFFFFFFF"/>
      <name val="Calibri"/>
      <family val="2"/>
      <charset val="1"/>
    </font>
    <font>
      <sz val="10"/>
      <color rgb="FF333333"/>
      <name val="Calibri"/>
      <family val="2"/>
      <charset val="1"/>
    </font>
    <font>
      <b/>
      <sz val="24"/>
      <color rgb="FFFFFFFF"/>
      <name val="Calibri"/>
      <family val="2"/>
      <charset val="1"/>
    </font>
    <font>
      <b/>
      <sz val="13"/>
      <color rgb="FF1F3864"/>
      <name val="Calibri"/>
      <family val="2"/>
      <charset val="1"/>
    </font>
    <font>
      <sz val="10"/>
      <color rgb="FF1A1A2E"/>
      <name val="Calibri"/>
      <family val="2"/>
      <charset val="1"/>
    </font>
    <font>
      <sz val="10"/>
      <color rgb="FF1F3864"/>
      <name val="Calibri"/>
      <family val="2"/>
      <charset val="1"/>
    </font>
    <font>
      <b/>
      <sz val="9"/>
      <color rgb="FFF0FFF0"/>
      <name val="Calibri"/>
      <family val="2"/>
      <charset val="1"/>
    </font>
    <font>
      <b/>
      <sz val="10"/>
      <color rgb="FF5C2100"/>
      <name val="Calibri"/>
      <family val="2"/>
      <charset val="1"/>
    </font>
    <font>
      <b/>
      <sz val="10"/>
      <color rgb="FF1A1A2E"/>
      <name val="Calibri"/>
      <family val="2"/>
      <charset val="1"/>
    </font>
    <font>
      <sz val="10"/>
      <color rgb="FF1A1A2E"/>
      <name val="Calibri"/>
      <family val="2"/>
    </font>
    <font>
      <sz val="10"/>
      <color rgb="FFFFFFFF"/>
      <name val="Calibri"/>
      <family val="2"/>
      <charset val="1"/>
    </font>
    <font>
      <b/>
      <sz val="10"/>
      <color rgb="FFFFFFFF"/>
      <name val="Calibri"/>
      <family val="2"/>
    </font>
    <font>
      <b/>
      <i/>
      <sz val="10"/>
      <color rgb="FFFFFFFF"/>
      <name val="Calibri"/>
      <family val="2"/>
      <charset val="1"/>
    </font>
    <font>
      <b/>
      <i/>
      <sz val="10"/>
      <color rgb="FF5C2100"/>
      <name val="Calibri"/>
      <family val="2"/>
      <charset val="1"/>
    </font>
    <font>
      <sz val="9"/>
      <color rgb="FF1A1A2E"/>
      <name val="Calibri"/>
      <family val="2"/>
      <charset val="1"/>
    </font>
    <font>
      <b/>
      <sz val="9"/>
      <color rgb="FF1A1A2E"/>
      <name val="Calibri"/>
      <family val="2"/>
      <charset val="1"/>
    </font>
    <font>
      <b/>
      <sz val="9"/>
      <color rgb="FF375623"/>
      <name val="Calibri"/>
      <family val="2"/>
      <charset val="1"/>
    </font>
    <font>
      <b/>
      <sz val="9"/>
      <color rgb="FF5C2100"/>
      <name val="Calibri"/>
      <family val="2"/>
      <charset val="1"/>
    </font>
    <font>
      <sz val="10"/>
      <color rgb="FF843C0C"/>
      <name val="Calibri"/>
      <family val="2"/>
      <charset val="1"/>
    </font>
    <font>
      <sz val="10"/>
      <color rgb="FFBF8F00"/>
      <name val="Calibri"/>
      <family val="2"/>
      <charset val="1"/>
    </font>
    <font>
      <sz val="11"/>
      <color rgb="FF0070C0"/>
      <name val="Calibri"/>
      <family val="2"/>
      <charset val="1"/>
    </font>
    <font>
      <sz val="10"/>
      <color rgb="FF0070C0"/>
      <name val="Calibri"/>
      <family val="2"/>
      <charset val="1"/>
    </font>
    <font>
      <i/>
      <sz val="10"/>
      <color rgb="FF2F3F50"/>
      <name val="Calibri"/>
      <family val="2"/>
      <charset val="1"/>
    </font>
    <font>
      <sz val="10"/>
      <color rgb="FF666666"/>
      <name val="Calibri"/>
      <family val="2"/>
      <charset val="1"/>
    </font>
    <font>
      <b/>
      <sz val="10"/>
      <color rgb="FF276221"/>
      <name val="Calibri"/>
      <family val="2"/>
      <charset val="1"/>
    </font>
    <font>
      <b/>
      <sz val="10"/>
      <color rgb="FF666666"/>
      <name val="Calibri"/>
      <family val="2"/>
      <charset val="1"/>
    </font>
    <font>
      <sz val="10"/>
      <color rgb="FF375623"/>
      <name val="Calibri"/>
      <family val="2"/>
      <charset val="1"/>
    </font>
    <font>
      <b/>
      <sz val="11"/>
      <color rgb="FF276221"/>
      <name val="Calibri"/>
      <family val="2"/>
      <charset val="1"/>
    </font>
    <font>
      <b/>
      <sz val="10"/>
      <color rgb="FF9C0006"/>
      <name val="Calibri"/>
      <family val="2"/>
      <charset val="1"/>
    </font>
    <font>
      <i/>
      <sz val="10"/>
      <color rgb="FF555555"/>
      <name val="Calibri"/>
      <family val="2"/>
      <charset val="1"/>
    </font>
    <font>
      <b/>
      <sz val="10"/>
      <color theme="0"/>
      <name val="Calibri"/>
      <family val="2"/>
    </font>
    <font>
      <b/>
      <sz val="10"/>
      <color rgb="FF1F3864"/>
      <name val="Calibri"/>
      <family val="2"/>
    </font>
    <font>
      <b/>
      <sz val="10"/>
      <color rgb="FF7E5C11"/>
      <name val="Calibri"/>
      <family val="2"/>
      <charset val="1"/>
    </font>
    <font>
      <sz val="11"/>
      <color rgb="FF0F5463"/>
      <name val="Calibri"/>
      <family val="2"/>
      <charset val="1"/>
    </font>
    <font>
      <b/>
      <sz val="11"/>
      <color rgb="FF0F5463"/>
      <name val="Calibri"/>
      <family val="2"/>
      <charset val="1"/>
    </font>
    <font>
      <sz val="11"/>
      <color rgb="FF5B2C6F"/>
      <name val="Calibri"/>
      <family val="2"/>
      <charset val="1"/>
    </font>
    <font>
      <b/>
      <sz val="11"/>
      <color rgb="FF5B2C6F"/>
      <name val="Calibri"/>
      <family val="2"/>
      <charset val="1"/>
    </font>
    <font>
      <b/>
      <sz val="10"/>
      <color rgb="FF1F497D"/>
      <name val="Calibri"/>
      <family val="2"/>
      <charset val="1"/>
    </font>
    <font>
      <b/>
      <sz val="10"/>
      <color rgb="FF5B4FB5"/>
      <name val="Calibri"/>
      <family val="2"/>
      <charset val="1"/>
    </font>
    <font>
      <b/>
      <sz val="10"/>
      <color rgb="FF7E3B04"/>
      <name val="Calibri"/>
      <family val="2"/>
      <charset val="1"/>
    </font>
    <font>
      <b/>
      <sz val="10"/>
      <color rgb="FF084B8A"/>
      <name val="Calibri"/>
      <family val="2"/>
      <charset val="1"/>
    </font>
    <font>
      <i/>
      <sz val="10"/>
      <color rgb="FF44546A"/>
      <name val="Calibri"/>
      <family val="2"/>
      <charset val="1"/>
    </font>
    <font>
      <b/>
      <sz val="11"/>
      <color rgb="FFFFD966"/>
      <name val="Calibri"/>
      <family val="2"/>
      <charset val="1"/>
    </font>
    <font>
      <sz val="11"/>
      <color rgb="FFF2F5FB"/>
      <name val="Calibri"/>
      <family val="2"/>
      <charset val="1"/>
    </font>
    <font>
      <b/>
      <sz val="11"/>
      <color rgb="FFF2F5FB"/>
      <name val="Calibri"/>
      <family val="2"/>
      <charset val="1"/>
    </font>
    <font>
      <sz val="10"/>
      <color rgb="FFF2F5FB"/>
      <name val="Calibri"/>
      <family val="2"/>
      <charset val="1"/>
    </font>
    <font>
      <b/>
      <sz val="10"/>
      <color rgb="FFF2F5FB"/>
      <name val="Calibri"/>
      <family val="2"/>
      <charset val="1"/>
    </font>
    <font>
      <b/>
      <sz val="10"/>
      <color rgb="FFF2F5FB"/>
      <name val="Calibri"/>
      <family val="2"/>
    </font>
    <font>
      <b/>
      <sz val="11"/>
      <color rgb="FF7E5C11"/>
      <name val="Calibri"/>
      <family val="2"/>
      <charset val="1"/>
    </font>
    <font>
      <b/>
      <sz val="11"/>
      <color rgb="FFFFFFFF"/>
      <name val="Calibri"/>
      <family val="2"/>
    </font>
    <font>
      <b/>
      <sz val="12"/>
      <color rgb="FF1F3864"/>
      <name val="Calibri"/>
      <family val="2"/>
    </font>
    <font>
      <i/>
      <sz val="9"/>
      <color rgb="FF0F5463"/>
      <name val="Calibri"/>
      <family val="2"/>
      <charset val="1"/>
    </font>
    <font>
      <i/>
      <sz val="9"/>
      <color rgb="FFFFFFFF"/>
      <name val="Calibri"/>
      <family val="2"/>
      <charset val="1"/>
    </font>
    <font>
      <i/>
      <sz val="9"/>
      <color rgb="FF1F3864"/>
      <name val="Calibri"/>
      <family val="2"/>
      <charset val="1"/>
    </font>
    <font>
      <b/>
      <sz val="10"/>
      <color rgb="FF888888"/>
      <name val="Calibri"/>
      <family val="2"/>
      <charset val="1"/>
    </font>
    <font>
      <b/>
      <sz val="14"/>
      <color rgb="FF006100"/>
      <name val="Calibri"/>
      <family val="2"/>
      <charset val="1"/>
    </font>
    <font>
      <b/>
      <sz val="14"/>
      <color rgb="FF7E5C11"/>
      <name val="Calibri"/>
      <family val="2"/>
      <charset val="1"/>
    </font>
    <font>
      <b/>
      <sz val="14"/>
      <color rgb="FF9C0006"/>
      <name val="Calibri"/>
      <family val="2"/>
      <charset val="1"/>
    </font>
    <font>
      <b/>
      <sz val="14"/>
      <color rgb="FFFFFFFF"/>
      <name val="Calibri"/>
      <family val="2"/>
    </font>
    <font>
      <b/>
      <sz val="10"/>
      <color rgb="FF006100"/>
      <name val="Calibri"/>
      <family val="2"/>
    </font>
    <font>
      <b/>
      <sz val="10"/>
      <color rgb="FF276221"/>
      <name val="Calibri"/>
      <family val="2"/>
    </font>
    <font>
      <b/>
      <sz val="10"/>
      <color rgb="FF7E5C11"/>
      <name val="Calibri"/>
      <family val="2"/>
    </font>
    <font>
      <i/>
      <sz val="9"/>
      <color rgb="FF595959"/>
      <name val="Calibri"/>
      <family val="2"/>
    </font>
    <font>
      <sz val="6"/>
      <color theme="1"/>
      <name val="Calibri"/>
      <family val="2"/>
      <charset val="1"/>
    </font>
    <font>
      <i/>
      <sz val="10"/>
      <color rgb="FF1A1A2E"/>
      <name val="Calibri"/>
      <family val="2"/>
    </font>
    <font>
      <i/>
      <sz val="10"/>
      <color rgb="FF555555"/>
      <name val="Calibri"/>
      <family val="2"/>
    </font>
    <font>
      <i/>
      <sz val="10"/>
      <color rgb="FF375623"/>
      <name val="Calibri"/>
      <family val="2"/>
    </font>
    <font>
      <b/>
      <sz val="10"/>
      <color rgb="FF006100"/>
      <name val="Calibri"/>
      <family val="2"/>
      <charset val="1"/>
    </font>
    <font>
      <sz val="10"/>
      <color theme="1"/>
      <name val="Calibri"/>
      <family val="2"/>
      <charset val="1"/>
    </font>
    <font>
      <sz val="10"/>
      <color rgb="FF222222"/>
      <name val="Calibri"/>
      <family val="2"/>
    </font>
    <font>
      <b/>
      <sz val="10"/>
      <color rgb="FF9C0006"/>
      <name val="Calibri"/>
      <family val="2"/>
    </font>
    <font>
      <b/>
      <sz val="10"/>
      <color rgb="FF9C6500"/>
      <name val="Calibri"/>
      <family val="2"/>
    </font>
    <font>
      <b/>
      <sz val="10"/>
      <color rgb="FF222222"/>
      <name val="Calibri"/>
      <family val="2"/>
    </font>
    <font>
      <b/>
      <sz val="10"/>
      <color theme="1"/>
      <name val="Calibri"/>
      <family val="2"/>
      <charset val="1"/>
    </font>
    <font>
      <sz val="9"/>
      <color indexed="81"/>
      <name val="Tahoma"/>
      <family val="2"/>
    </font>
    <font>
      <b/>
      <sz val="9"/>
      <color indexed="81"/>
      <name val="Tahoma"/>
      <family val="2"/>
    </font>
    <font>
      <b/>
      <sz val="9"/>
      <color rgb="FF1C1C1C"/>
      <name val="Calibri"/>
      <family val="2"/>
      <charset val="1"/>
    </font>
    <font>
      <sz val="9"/>
      <color rgb="FF1C1C1C"/>
      <name val="Calibri"/>
      <family val="2"/>
      <charset val="1"/>
    </font>
    <font>
      <i/>
      <sz val="9"/>
      <color rgb="FF1C1C1C"/>
      <name val="Calibri"/>
      <family val="2"/>
      <charset val="1"/>
    </font>
    <font>
      <i/>
      <sz val="9"/>
      <color rgb="FF555555"/>
      <name val="Calibri"/>
      <family val="2"/>
      <charset val="1"/>
    </font>
    <font>
      <i/>
      <sz val="9"/>
      <color rgb="FF666666"/>
      <name val="Calibri"/>
      <family val="2"/>
      <charset val="1"/>
    </font>
    <font>
      <i/>
      <sz val="8"/>
      <color rgb="FF1F3864"/>
      <name val="Calibri"/>
      <family val="2"/>
      <charset val="1"/>
    </font>
    <font>
      <sz val="9"/>
      <color rgb="FF0000FF"/>
      <name val="Calibri"/>
      <family val="2"/>
      <charset val="1"/>
    </font>
    <font>
      <b/>
      <i/>
      <sz val="10"/>
      <color rgb="FF7F6000"/>
      <name val="Calibri"/>
      <family val="2"/>
      <charset val="1"/>
    </font>
    <font>
      <i/>
      <sz val="10"/>
      <color rgb="FF7F7F7F"/>
      <name val="Calibri"/>
      <family val="2"/>
      <charset val="1"/>
    </font>
    <font>
      <b/>
      <i/>
      <sz val="10"/>
      <color rgb="FF7F7F7F"/>
      <name val="Calibri"/>
      <family val="2"/>
      <charset val="1"/>
    </font>
    <font>
      <sz val="10"/>
      <color rgb="FF1F3864"/>
      <name val="Calibri"/>
      <family val="2"/>
    </font>
    <font>
      <b/>
      <sz val="10"/>
      <color rgb="FF0070C0"/>
      <name val="Calibri"/>
      <family val="2"/>
    </font>
  </fonts>
  <fills count="123">
    <fill>
      <patternFill patternType="none"/>
    </fill>
    <fill>
      <patternFill patternType="gray125"/>
    </fill>
    <fill>
      <patternFill patternType="solid">
        <fgColor rgb="FFFFFFFF"/>
        <bgColor indexed="64"/>
      </patternFill>
    </fill>
    <fill>
      <patternFill patternType="solid">
        <fgColor rgb="FFE2EFDA"/>
        <bgColor indexed="64"/>
      </patternFill>
    </fill>
    <fill>
      <patternFill patternType="solid">
        <fgColor rgb="FFFFF2CC"/>
        <bgColor indexed="64"/>
      </patternFill>
    </fill>
    <fill>
      <patternFill patternType="solid">
        <fgColor rgb="FFD9E1F2"/>
        <bgColor indexed="64"/>
      </patternFill>
    </fill>
    <fill>
      <patternFill patternType="solid">
        <fgColor rgb="FF1F3864"/>
        <bgColor indexed="64"/>
      </patternFill>
    </fill>
    <fill>
      <patternFill patternType="solid">
        <fgColor rgb="FF2E75B6"/>
        <bgColor indexed="64"/>
      </patternFill>
    </fill>
    <fill>
      <patternFill patternType="solid">
        <fgColor rgb="FFED7D31"/>
        <bgColor indexed="64"/>
      </patternFill>
    </fill>
    <fill>
      <patternFill patternType="solid">
        <fgColor rgb="FFFCE4D6"/>
        <bgColor indexed="64"/>
      </patternFill>
    </fill>
    <fill>
      <patternFill patternType="solid">
        <fgColor rgb="FF70AD47"/>
        <bgColor indexed="64"/>
      </patternFill>
    </fill>
    <fill>
      <patternFill patternType="solid">
        <fgColor rgb="FF44546A"/>
        <bgColor indexed="64"/>
      </patternFill>
    </fill>
    <fill>
      <patternFill patternType="solid">
        <fgColor rgb="FFC6EFCE"/>
        <bgColor indexed="64"/>
      </patternFill>
    </fill>
    <fill>
      <patternFill patternType="solid">
        <fgColor rgb="FFF7F9FC"/>
        <bgColor indexed="64"/>
      </patternFill>
    </fill>
    <fill>
      <patternFill patternType="solid">
        <fgColor rgb="FFF2F5FB"/>
        <bgColor indexed="64"/>
      </patternFill>
    </fill>
    <fill>
      <patternFill patternType="solid">
        <fgColor rgb="FF375623"/>
        <bgColor indexed="64"/>
      </patternFill>
    </fill>
    <fill>
      <patternFill patternType="solid">
        <fgColor rgb="FF843C0C"/>
        <bgColor indexed="64"/>
      </patternFill>
    </fill>
    <fill>
      <patternFill patternType="solid">
        <fgColor rgb="FFFEF3EE"/>
        <bgColor indexed="64"/>
      </patternFill>
    </fill>
    <fill>
      <patternFill patternType="solid">
        <fgColor rgb="FFF0FAF0"/>
        <bgColor indexed="64"/>
      </patternFill>
    </fill>
    <fill>
      <patternFill patternType="solid">
        <fgColor rgb="FFEEF3FB"/>
        <bgColor indexed="64"/>
      </patternFill>
    </fill>
    <fill>
      <patternFill patternType="solid">
        <fgColor rgb="FFBDD7EE"/>
        <bgColor indexed="64"/>
      </patternFill>
    </fill>
    <fill>
      <patternFill patternType="solid">
        <fgColor rgb="FFF0F4FB"/>
        <bgColor indexed="64"/>
      </patternFill>
    </fill>
    <fill>
      <patternFill patternType="solid">
        <fgColor rgb="FFF5F7FC"/>
        <bgColor indexed="64"/>
      </patternFill>
    </fill>
    <fill>
      <patternFill patternType="solid">
        <fgColor rgb="FF344E6E"/>
        <bgColor indexed="64"/>
      </patternFill>
    </fill>
    <fill>
      <patternFill patternType="solid">
        <fgColor rgb="FF2E6099"/>
        <bgColor indexed="64"/>
      </patternFill>
    </fill>
    <fill>
      <patternFill patternType="solid">
        <fgColor rgb="FF7030A0"/>
        <bgColor indexed="64"/>
      </patternFill>
    </fill>
    <fill>
      <patternFill patternType="solid">
        <fgColor rgb="FF833C00"/>
        <bgColor indexed="64"/>
      </patternFill>
    </fill>
    <fill>
      <patternFill patternType="solid">
        <fgColor rgb="FF0070C0"/>
        <bgColor indexed="64"/>
      </patternFill>
    </fill>
    <fill>
      <patternFill patternType="solid">
        <fgColor rgb="FFC6E0B4"/>
        <bgColor indexed="64"/>
      </patternFill>
    </fill>
    <fill>
      <patternFill patternType="solid">
        <fgColor rgb="FFF4CCAC"/>
        <bgColor indexed="64"/>
      </patternFill>
    </fill>
    <fill>
      <patternFill patternType="solid">
        <fgColor rgb="FFD9D9D9"/>
        <bgColor indexed="64"/>
      </patternFill>
    </fill>
    <fill>
      <patternFill patternType="solid">
        <fgColor rgb="FF006FA6"/>
        <bgColor indexed="64"/>
      </patternFill>
    </fill>
    <fill>
      <patternFill patternType="solid">
        <fgColor rgb="FF7E5C11"/>
        <bgColor indexed="64"/>
      </patternFill>
    </fill>
    <fill>
      <patternFill patternType="solid">
        <fgColor rgb="FF822222"/>
        <bgColor indexed="64"/>
      </patternFill>
    </fill>
    <fill>
      <patternFill patternType="solid">
        <fgColor rgb="FFEEF3F9"/>
        <bgColor indexed="64"/>
      </patternFill>
    </fill>
    <fill>
      <patternFill patternType="solid">
        <fgColor rgb="FF0F5463"/>
        <bgColor indexed="64"/>
      </patternFill>
    </fill>
    <fill>
      <patternFill patternType="solid">
        <fgColor rgb="FF5B2C6F"/>
        <bgColor indexed="64"/>
      </patternFill>
    </fill>
    <fill>
      <patternFill patternType="solid">
        <fgColor rgb="FF1F4A82"/>
        <bgColor indexed="64"/>
      </patternFill>
    </fill>
    <fill>
      <patternFill patternType="solid">
        <fgColor rgb="FF3D5C2A"/>
        <bgColor indexed="64"/>
      </patternFill>
    </fill>
    <fill>
      <patternFill patternType="solid">
        <fgColor rgb="FFD6E4F7"/>
        <bgColor indexed="64"/>
      </patternFill>
    </fill>
    <fill>
      <patternFill patternType="solid">
        <fgColor rgb="FFE8E8E8"/>
        <bgColor indexed="64"/>
      </patternFill>
    </fill>
    <fill>
      <patternFill patternType="solid">
        <fgColor rgb="FFEAF7E6"/>
        <bgColor indexed="64"/>
      </patternFill>
    </fill>
    <fill>
      <patternFill patternType="solid">
        <fgColor rgb="FF7B2D8B"/>
        <bgColor indexed="64"/>
      </patternFill>
    </fill>
    <fill>
      <patternFill patternType="solid">
        <fgColor rgb="FFFFCCCC"/>
        <bgColor indexed="64"/>
      </patternFill>
    </fill>
    <fill>
      <patternFill patternType="solid">
        <fgColor rgb="FFFFEB9C"/>
        <bgColor indexed="64"/>
      </patternFill>
    </fill>
    <fill>
      <patternFill patternType="solid">
        <fgColor rgb="FFEAF1FB"/>
        <bgColor indexed="64"/>
      </patternFill>
    </fill>
    <fill>
      <patternFill patternType="solid">
        <fgColor rgb="FFD4DCF0"/>
        <bgColor indexed="64"/>
      </patternFill>
    </fill>
    <fill>
      <patternFill patternType="solid">
        <fgColor rgb="FFE8EEF7"/>
        <bgColor indexed="64"/>
      </patternFill>
    </fill>
    <fill>
      <patternFill patternType="solid">
        <fgColor rgb="FFCCE8ED"/>
        <bgColor indexed="64"/>
      </patternFill>
    </fill>
    <fill>
      <patternFill patternType="solid">
        <fgColor rgb="FFE6F3F6"/>
        <bgColor indexed="64"/>
      </patternFill>
    </fill>
    <fill>
      <patternFill patternType="solid">
        <fgColor rgb="FFF0E8F5"/>
        <bgColor indexed="64"/>
      </patternFill>
    </fill>
    <fill>
      <patternFill patternType="solid">
        <fgColor rgb="FFD2DCF2"/>
        <bgColor indexed="64"/>
      </patternFill>
    </fill>
    <fill>
      <patternFill patternType="solid">
        <fgColor rgb="FFE8EEF9"/>
        <bgColor indexed="64"/>
      </patternFill>
    </fill>
    <fill>
      <patternFill patternType="solid">
        <fgColor rgb="FFD8E9CF"/>
        <bgColor indexed="64"/>
      </patternFill>
    </fill>
    <fill>
      <patternFill patternType="solid">
        <fgColor rgb="FFEBF2E6"/>
        <bgColor indexed="64"/>
      </patternFill>
    </fill>
    <fill>
      <patternFill patternType="solid">
        <fgColor rgb="FFE8ECF0"/>
        <bgColor indexed="64"/>
      </patternFill>
    </fill>
    <fill>
      <patternFill patternType="solid">
        <fgColor rgb="FFD2D8E0"/>
        <bgColor indexed="64"/>
      </patternFill>
    </fill>
    <fill>
      <patternFill patternType="solid">
        <fgColor rgb="FFFFF9E6"/>
        <bgColor indexed="64"/>
      </patternFill>
    </fill>
    <fill>
      <patternFill patternType="solid">
        <fgColor rgb="FFE0E8F5"/>
        <bgColor indexed="64"/>
      </patternFill>
    </fill>
    <fill>
      <patternFill patternType="solid">
        <fgColor rgb="FFB8C9E6"/>
        <bgColor indexed="64"/>
      </patternFill>
    </fill>
    <fill>
      <patternFill patternType="solid">
        <fgColor rgb="FFA8D4DC"/>
        <bgColor indexed="64"/>
      </patternFill>
    </fill>
    <fill>
      <patternFill patternType="solid">
        <fgColor rgb="FFC9B0D8"/>
        <bgColor indexed="64"/>
      </patternFill>
    </fill>
    <fill>
      <patternFill patternType="solid">
        <fgColor rgb="FFB8C2CC"/>
        <bgColor indexed="64"/>
      </patternFill>
    </fill>
    <fill>
      <patternFill patternType="solid">
        <fgColor rgb="FFD8C8E8"/>
        <bgColor indexed="64"/>
      </patternFill>
    </fill>
    <fill>
      <patternFill patternType="solid">
        <fgColor rgb="FFC8D2DA"/>
        <bgColor indexed="64"/>
      </patternFill>
    </fill>
    <fill>
      <patternFill patternType="solid">
        <fgColor rgb="FFDEEAF1"/>
        <bgColor indexed="64"/>
      </patternFill>
    </fill>
    <fill>
      <patternFill patternType="solid">
        <fgColor rgb="FFF0F0F0"/>
        <bgColor indexed="64"/>
      </patternFill>
    </fill>
    <fill>
      <patternFill patternType="solid">
        <fgColor rgb="FFD5E8D4"/>
        <bgColor indexed="64"/>
      </patternFill>
    </fill>
    <fill>
      <patternFill patternType="solid">
        <fgColor rgb="FFFDE8D8"/>
        <bgColor indexed="64"/>
      </patternFill>
    </fill>
    <fill>
      <patternFill patternType="solid">
        <fgColor rgb="FFDAE8FC"/>
        <bgColor indexed="64"/>
      </patternFill>
    </fill>
    <fill>
      <patternFill patternType="solid">
        <fgColor rgb="FFC9D9F2"/>
        <bgColor indexed="64"/>
      </patternFill>
    </fill>
    <fill>
      <patternFill patternType="solid">
        <fgColor rgb="FFFFD966"/>
        <bgColor indexed="64"/>
      </patternFill>
    </fill>
    <fill>
      <patternFill patternType="solid">
        <fgColor rgb="FFC9D4E0"/>
        <bgColor indexed="64"/>
      </patternFill>
    </fill>
    <fill>
      <patternFill patternType="solid">
        <fgColor rgb="FFE0F0F4"/>
        <bgColor indexed="64"/>
      </patternFill>
    </fill>
    <fill>
      <patternFill patternType="solid">
        <fgColor rgb="FFC8E6EC"/>
        <bgColor indexed="64"/>
      </patternFill>
    </fill>
    <fill>
      <patternFill patternType="solid">
        <fgColor rgb="FFEDE5F5"/>
        <bgColor indexed="64"/>
      </patternFill>
    </fill>
    <fill>
      <patternFill patternType="solid">
        <fgColor rgb="FFE0D0EF"/>
        <bgColor indexed="64"/>
      </patternFill>
    </fill>
    <fill>
      <patternFill patternType="solid">
        <fgColor rgb="FFD5DBE5"/>
        <bgColor indexed="64"/>
      </patternFill>
    </fill>
    <fill>
      <patternFill patternType="solid">
        <fgColor rgb="FFEEF7FB"/>
        <bgColor indexed="64"/>
      </patternFill>
    </fill>
    <fill>
      <patternFill patternType="solid">
        <fgColor rgb="FFDCE6F4"/>
        <bgColor indexed="64"/>
      </patternFill>
    </fill>
    <fill>
      <patternFill patternType="solid">
        <fgColor rgb="FFC8D5EC"/>
        <bgColor indexed="64"/>
      </patternFill>
    </fill>
    <fill>
      <patternFill patternType="solid">
        <fgColor rgb="FFC0DDE5"/>
        <bgColor indexed="64"/>
      </patternFill>
    </fill>
    <fill>
      <patternFill patternType="solid">
        <fgColor rgb="FFD4EBF0"/>
        <bgColor indexed="64"/>
      </patternFill>
    </fill>
    <fill>
      <patternFill patternType="solid">
        <fgColor rgb="FFDBC9E8"/>
        <bgColor indexed="64"/>
      </patternFill>
    </fill>
    <fill>
      <patternFill patternType="solid">
        <fgColor rgb="FFD8E6F5"/>
        <bgColor indexed="64"/>
      </patternFill>
    </fill>
    <fill>
      <patternFill patternType="solid">
        <fgColor rgb="FFC4D5EC"/>
        <bgColor indexed="64"/>
      </patternFill>
    </fill>
    <fill>
      <patternFill patternType="solid">
        <fgColor rgb="FFD8EAD0"/>
        <bgColor indexed="64"/>
      </patternFill>
    </fill>
    <fill>
      <patternFill patternType="solid">
        <fgColor rgb="FFC4DDB8"/>
        <bgColor indexed="64"/>
      </patternFill>
    </fill>
    <fill>
      <patternFill patternType="solid">
        <fgColor rgb="FFEBEBEB"/>
        <bgColor indexed="64"/>
      </patternFill>
    </fill>
    <fill>
      <patternFill patternType="solid">
        <fgColor rgb="FFFEE8D5"/>
        <bgColor indexed="64"/>
      </patternFill>
    </fill>
    <fill>
      <patternFill patternType="solid">
        <fgColor rgb="FFC8E4EA"/>
        <bgColor indexed="64"/>
      </patternFill>
    </fill>
    <fill>
      <patternFill patternType="solid">
        <fgColor rgb="FFC8D8EE"/>
        <bgColor indexed="64"/>
      </patternFill>
    </fill>
    <fill>
      <patternFill patternType="solid">
        <fgColor rgb="FFDDE8F5"/>
        <bgColor indexed="64"/>
      </patternFill>
    </fill>
    <fill>
      <patternFill patternType="solid">
        <fgColor rgb="FF276221"/>
        <bgColor indexed="64"/>
      </patternFill>
    </fill>
    <fill>
      <patternFill patternType="solid">
        <fgColor rgb="FFBF8F00"/>
        <bgColor indexed="64"/>
      </patternFill>
    </fill>
    <fill>
      <patternFill patternType="solid">
        <fgColor rgb="FFFFF5F5"/>
        <bgColor indexed="64"/>
      </patternFill>
    </fill>
    <fill>
      <patternFill patternType="solid">
        <fgColor rgb="FF9C0006"/>
        <bgColor indexed="64"/>
      </patternFill>
    </fill>
    <fill>
      <patternFill patternType="solid">
        <fgColor rgb="FFFFC7CE"/>
        <bgColor indexed="64"/>
      </patternFill>
    </fill>
    <fill>
      <patternFill patternType="solid">
        <fgColor rgb="FFFFFDE7"/>
        <bgColor indexed="64"/>
      </patternFill>
    </fill>
    <fill>
      <patternFill patternType="solid">
        <fgColor rgb="FFB8C8E8"/>
        <bgColor indexed="64"/>
      </patternFill>
    </fill>
    <fill>
      <patternFill patternType="solid">
        <fgColor rgb="FFA8D0D8"/>
        <bgColor indexed="64"/>
      </patternFill>
    </fill>
    <fill>
      <patternFill patternType="solid">
        <fgColor rgb="FFC8B8E0"/>
        <bgColor indexed="64"/>
      </patternFill>
    </fill>
    <fill>
      <patternFill patternType="solid">
        <fgColor rgb="FFACC4E0"/>
        <bgColor indexed="64"/>
      </patternFill>
    </fill>
    <fill>
      <patternFill patternType="solid">
        <fgColor rgb="FFA8CC98"/>
        <bgColor indexed="64"/>
      </patternFill>
    </fill>
    <fill>
      <patternFill patternType="solid">
        <fgColor rgb="FF2E5090"/>
        <bgColor indexed="64"/>
      </patternFill>
    </fill>
    <fill>
      <patternFill patternType="solid">
        <fgColor rgb="FFDDEAF7"/>
        <bgColor indexed="64"/>
      </patternFill>
    </fill>
    <fill>
      <patternFill patternType="solid">
        <fgColor rgb="FFE6F4F7"/>
        <bgColor indexed="64"/>
      </patternFill>
    </fill>
    <fill>
      <patternFill patternType="solid">
        <fgColor rgb="FFCCE8EF"/>
        <bgColor indexed="64"/>
      </patternFill>
    </fill>
    <fill>
      <patternFill patternType="solid">
        <fgColor rgb="FFF4EDF9"/>
        <bgColor indexed="64"/>
      </patternFill>
    </fill>
    <fill>
      <patternFill patternType="solid">
        <fgColor rgb="FFEEF5E8"/>
        <bgColor indexed="64"/>
      </patternFill>
    </fill>
    <fill>
      <patternFill patternType="solid">
        <fgColor rgb="FFDCEBD0"/>
        <bgColor indexed="64"/>
      </patternFill>
    </fill>
    <fill>
      <patternFill patternType="solid">
        <fgColor rgb="FFFAFBFD"/>
        <bgColor indexed="64"/>
      </patternFill>
    </fill>
    <fill>
      <patternFill patternType="solid">
        <fgColor rgb="FF385723"/>
        <bgColor indexed="64"/>
      </patternFill>
    </fill>
    <fill>
      <patternFill patternType="solid">
        <fgColor rgb="FFEAF0F8"/>
        <bgColor indexed="64"/>
      </patternFill>
    </fill>
    <fill>
      <patternFill patternType="solid">
        <fgColor rgb="FFC9A227"/>
        <bgColor indexed="64"/>
      </patternFill>
    </fill>
    <fill>
      <patternFill patternType="solid">
        <fgColor rgb="FFE8D5F5"/>
        <bgColor indexed="64"/>
      </patternFill>
    </fill>
    <fill>
      <patternFill patternType="solid">
        <fgColor rgb="FFDDEEFF"/>
        <bgColor indexed="64"/>
      </patternFill>
    </fill>
    <fill>
      <patternFill patternType="solid">
        <fgColor rgb="FFE2EFD9"/>
        <bgColor indexed="64"/>
      </patternFill>
    </fill>
    <fill>
      <patternFill patternType="solid">
        <fgColor rgb="FFEEF2FA"/>
        <bgColor indexed="64"/>
      </patternFill>
    </fill>
    <fill>
      <patternFill patternType="solid">
        <fgColor rgb="FFD1ECF1"/>
        <bgColor indexed="64"/>
      </patternFill>
    </fill>
    <fill>
      <patternFill patternType="solid">
        <fgColor rgb="FFEBF5F8"/>
        <bgColor indexed="64"/>
      </patternFill>
    </fill>
    <fill>
      <patternFill patternType="solid">
        <fgColor rgb="FFEEF5FF"/>
        <bgColor indexed="64"/>
      </patternFill>
    </fill>
    <fill>
      <patternFill patternType="solid">
        <fgColor rgb="FFF0F7EB"/>
        <bgColor indexed="64"/>
      </patternFill>
    </fill>
  </fills>
  <borders count="328">
    <border>
      <left/>
      <right/>
      <top/>
      <bottom/>
      <diagonal/>
    </border>
    <border>
      <left style="thin">
        <color rgb="FFBFBFBF"/>
      </left>
      <right style="thin">
        <color rgb="FFBFBFBF"/>
      </right>
      <top style="thin">
        <color rgb="FFBFBFBF"/>
      </top>
      <bottom style="thin">
        <color rgb="FFBFBFBF"/>
      </bottom>
      <diagonal/>
    </border>
    <border>
      <left/>
      <right/>
      <top style="thin">
        <color rgb="FF1F3864"/>
      </top>
      <bottom/>
      <diagonal/>
    </border>
    <border>
      <left/>
      <right/>
      <top style="thin">
        <color rgb="FF1F3864"/>
      </top>
      <bottom style="thin">
        <color rgb="FF1F3864"/>
      </bottom>
      <diagonal/>
    </border>
    <border>
      <left style="thin">
        <color rgb="FF1F3864"/>
      </left>
      <right/>
      <top style="thin">
        <color rgb="FF1F3864"/>
      </top>
      <bottom/>
      <diagonal/>
    </border>
    <border>
      <left style="thin">
        <color rgb="FF1F3864"/>
      </left>
      <right/>
      <top/>
      <bottom/>
      <diagonal/>
    </border>
    <border>
      <left/>
      <right style="thin">
        <color rgb="FF1F3864"/>
      </right>
      <top/>
      <bottom/>
      <diagonal/>
    </border>
    <border>
      <left style="medium">
        <color rgb="FF1F3864"/>
      </left>
      <right/>
      <top style="medium">
        <color rgb="FF1F3864"/>
      </top>
      <bottom style="thin">
        <color rgb="FFC0CCDD"/>
      </bottom>
      <diagonal/>
    </border>
    <border>
      <left/>
      <right/>
      <top style="medium">
        <color rgb="FF1F3864"/>
      </top>
      <bottom style="thin">
        <color rgb="FFC0CCDD"/>
      </bottom>
      <diagonal/>
    </border>
    <border>
      <left/>
      <right style="medium">
        <color rgb="FF1F3864"/>
      </right>
      <top style="medium">
        <color rgb="FF1F3864"/>
      </top>
      <bottom style="thin">
        <color rgb="FFC0CCDD"/>
      </bottom>
      <diagonal/>
    </border>
    <border>
      <left style="medium">
        <color rgb="FF1F3864"/>
      </left>
      <right/>
      <top style="thin">
        <color rgb="FFC0CCDD"/>
      </top>
      <bottom style="thin">
        <color rgb="FFC0CCDD"/>
      </bottom>
      <diagonal/>
    </border>
    <border>
      <left/>
      <right/>
      <top style="thin">
        <color rgb="FFC0CCDD"/>
      </top>
      <bottom style="thin">
        <color rgb="FFC0CCDD"/>
      </bottom>
      <diagonal/>
    </border>
    <border>
      <left/>
      <right style="medium">
        <color rgb="FF1F3864"/>
      </right>
      <top style="thin">
        <color rgb="FFC0CCDD"/>
      </top>
      <bottom style="thin">
        <color rgb="FFC0CCDD"/>
      </bottom>
      <diagonal/>
    </border>
    <border>
      <left style="medium">
        <color rgb="FF1F3864"/>
      </left>
      <right/>
      <top style="thin">
        <color rgb="FFC0CCDD"/>
      </top>
      <bottom style="medium">
        <color rgb="FF1F3864"/>
      </bottom>
      <diagonal/>
    </border>
    <border>
      <left/>
      <right/>
      <top style="thin">
        <color rgb="FFC0CCDD"/>
      </top>
      <bottom style="medium">
        <color rgb="FF1F3864"/>
      </bottom>
      <diagonal/>
    </border>
    <border>
      <left/>
      <right style="medium">
        <color rgb="FF1F3864"/>
      </right>
      <top style="thin">
        <color rgb="FFC0CCDD"/>
      </top>
      <bottom style="medium">
        <color rgb="FF1F3864"/>
      </bottom>
      <diagonal/>
    </border>
    <border>
      <left style="medium">
        <color rgb="FF1F3864"/>
      </left>
      <right style="thin">
        <color rgb="FFC0CCDD"/>
      </right>
      <top style="medium">
        <color rgb="FF1F3864"/>
      </top>
      <bottom style="thin">
        <color rgb="FFC0CCDD"/>
      </bottom>
      <diagonal/>
    </border>
    <border>
      <left style="thin">
        <color rgb="FFC0CCDD"/>
      </left>
      <right style="thin">
        <color rgb="FFC0CCDD"/>
      </right>
      <top style="medium">
        <color rgb="FF1F3864"/>
      </top>
      <bottom style="thin">
        <color rgb="FFC0CCDD"/>
      </bottom>
      <diagonal/>
    </border>
    <border>
      <left style="thin">
        <color rgb="FFC0CCDD"/>
      </left>
      <right style="medium">
        <color rgb="FF1F3864"/>
      </right>
      <top style="medium">
        <color rgb="FF1F3864"/>
      </top>
      <bottom style="thin">
        <color rgb="FFC0CCDD"/>
      </bottom>
      <diagonal/>
    </border>
    <border>
      <left style="medium">
        <color rgb="FF1F3864"/>
      </left>
      <right style="thin">
        <color rgb="FFC0CCDD"/>
      </right>
      <top style="thin">
        <color rgb="FFC0CCDD"/>
      </top>
      <bottom style="thin">
        <color rgb="FFC0CCDD"/>
      </bottom>
      <diagonal/>
    </border>
    <border>
      <left style="thin">
        <color rgb="FFC0CCDD"/>
      </left>
      <right style="thin">
        <color rgb="FFC0CCDD"/>
      </right>
      <top style="thin">
        <color rgb="FFC0CCDD"/>
      </top>
      <bottom style="thin">
        <color rgb="FFC0CCDD"/>
      </bottom>
      <diagonal/>
    </border>
    <border>
      <left style="thin">
        <color rgb="FFC0CCDD"/>
      </left>
      <right style="medium">
        <color rgb="FF1F3864"/>
      </right>
      <top style="thin">
        <color rgb="FFC0CCDD"/>
      </top>
      <bottom style="thin">
        <color rgb="FFC0CCDD"/>
      </bottom>
      <diagonal/>
    </border>
    <border>
      <left style="medium">
        <color rgb="FF1F3864"/>
      </left>
      <right style="thin">
        <color rgb="FFC0CCDD"/>
      </right>
      <top style="thin">
        <color rgb="FFC0CCDD"/>
      </top>
      <bottom style="medium">
        <color rgb="FF1F3864"/>
      </bottom>
      <diagonal/>
    </border>
    <border>
      <left style="thin">
        <color rgb="FFC0CCDD"/>
      </left>
      <right style="thin">
        <color rgb="FFC0CCDD"/>
      </right>
      <top style="thin">
        <color rgb="FFC0CCDD"/>
      </top>
      <bottom style="medium">
        <color rgb="FF1F3864"/>
      </bottom>
      <diagonal/>
    </border>
    <border>
      <left style="thin">
        <color rgb="FFC0CCDD"/>
      </left>
      <right style="medium">
        <color rgb="FF1F3864"/>
      </right>
      <top style="thin">
        <color rgb="FFC0CCDD"/>
      </top>
      <bottom style="medium">
        <color rgb="FF1F3864"/>
      </bottom>
      <diagonal/>
    </border>
    <border>
      <left style="medium">
        <color rgb="FF44546A"/>
      </left>
      <right style="thin">
        <color rgb="FFC0CCDD"/>
      </right>
      <top style="medium">
        <color rgb="FF44546A"/>
      </top>
      <bottom style="thin">
        <color rgb="FFC0CCDD"/>
      </bottom>
      <diagonal/>
    </border>
    <border>
      <left style="thin">
        <color rgb="FFC0CCDD"/>
      </left>
      <right style="thin">
        <color rgb="FFC0CCDD"/>
      </right>
      <top style="medium">
        <color rgb="FF44546A"/>
      </top>
      <bottom style="thin">
        <color rgb="FFC0CCDD"/>
      </bottom>
      <diagonal/>
    </border>
    <border>
      <left style="thin">
        <color rgb="FFC0CCDD"/>
      </left>
      <right style="medium">
        <color rgb="FF44546A"/>
      </right>
      <top style="medium">
        <color rgb="FF44546A"/>
      </top>
      <bottom style="thin">
        <color rgb="FFC0CCDD"/>
      </bottom>
      <diagonal/>
    </border>
    <border>
      <left style="medium">
        <color rgb="FF44546A"/>
      </left>
      <right style="thin">
        <color rgb="FFC0CCDD"/>
      </right>
      <top style="thin">
        <color rgb="FFC0CCDD"/>
      </top>
      <bottom style="thin">
        <color rgb="FFC0CCDD"/>
      </bottom>
      <diagonal/>
    </border>
    <border>
      <left style="thin">
        <color rgb="FFC0CCDD"/>
      </left>
      <right style="medium">
        <color rgb="FF44546A"/>
      </right>
      <top style="thin">
        <color rgb="FFC0CCDD"/>
      </top>
      <bottom style="thin">
        <color rgb="FFC0CCDD"/>
      </bottom>
      <diagonal/>
    </border>
    <border>
      <left style="medium">
        <color rgb="FF44546A"/>
      </left>
      <right style="thin">
        <color rgb="FFC0CCDD"/>
      </right>
      <top style="thin">
        <color rgb="FFC0CCDD"/>
      </top>
      <bottom style="medium">
        <color rgb="FF44546A"/>
      </bottom>
      <diagonal/>
    </border>
    <border>
      <left style="thin">
        <color rgb="FFC0CCDD"/>
      </left>
      <right style="thin">
        <color rgb="FFC0CCDD"/>
      </right>
      <top style="thin">
        <color rgb="FFC0CCDD"/>
      </top>
      <bottom style="medium">
        <color rgb="FF44546A"/>
      </bottom>
      <diagonal/>
    </border>
    <border>
      <left style="thin">
        <color rgb="FFC0CCDD"/>
      </left>
      <right style="medium">
        <color rgb="FF44546A"/>
      </right>
      <top style="thin">
        <color rgb="FFC0CCDD"/>
      </top>
      <bottom style="medium">
        <color rgb="FF44546A"/>
      </bottom>
      <diagonal/>
    </border>
    <border>
      <left style="medium">
        <color rgb="FF0070C0"/>
      </left>
      <right style="thin">
        <color rgb="FFC0CCDD"/>
      </right>
      <top style="thin">
        <color rgb="FFC0CCDD"/>
      </top>
      <bottom style="medium">
        <color rgb="FF0070C0"/>
      </bottom>
      <diagonal/>
    </border>
    <border>
      <left style="thin">
        <color rgb="FFC0CCDD"/>
      </left>
      <right style="thin">
        <color rgb="FFC0CCDD"/>
      </right>
      <top style="thin">
        <color rgb="FFC0CCDD"/>
      </top>
      <bottom style="medium">
        <color rgb="FF0070C0"/>
      </bottom>
      <diagonal/>
    </border>
    <border>
      <left style="thin">
        <color rgb="FFC0CCDD"/>
      </left>
      <right style="medium">
        <color rgb="FF0070C0"/>
      </right>
      <top style="thin">
        <color rgb="FFC0CCDD"/>
      </top>
      <bottom style="medium">
        <color rgb="FF0070C0"/>
      </bottom>
      <diagonal/>
    </border>
    <border>
      <left style="medium">
        <color rgb="FF1F3864"/>
      </left>
      <right style="thin">
        <color rgb="FFC0CCDD"/>
      </right>
      <top style="thin">
        <color rgb="FFC8D4E8"/>
      </top>
      <bottom style="medium">
        <color rgb="FF1F3864"/>
      </bottom>
      <diagonal/>
    </border>
    <border>
      <left style="thin">
        <color rgb="FFC0CCDD"/>
      </left>
      <right style="thin">
        <color rgb="FFC0CCDD"/>
      </right>
      <top style="thin">
        <color rgb="FFC8D4E8"/>
      </top>
      <bottom style="medium">
        <color rgb="FF1F3864"/>
      </bottom>
      <diagonal/>
    </border>
    <border>
      <left style="thin">
        <color rgb="FFC0CCDD"/>
      </left>
      <right style="medium">
        <color rgb="FF1F3864"/>
      </right>
      <top style="thin">
        <color rgb="FFC8D4E8"/>
      </top>
      <bottom style="medium">
        <color rgb="FF1F3864"/>
      </bottom>
      <diagonal/>
    </border>
    <border>
      <left style="medium">
        <color rgb="FF1F3864"/>
      </left>
      <right style="thin">
        <color rgb="FFC8D4E8"/>
      </right>
      <top style="medium">
        <color rgb="FF1F3864"/>
      </top>
      <bottom style="thin">
        <color rgb="FFC8D4E8"/>
      </bottom>
      <diagonal/>
    </border>
    <border>
      <left style="thin">
        <color rgb="FFC8D4E8"/>
      </left>
      <right style="thin">
        <color rgb="FFC8D4E8"/>
      </right>
      <top style="medium">
        <color rgb="FF1F3864"/>
      </top>
      <bottom style="thin">
        <color rgb="FFC8D4E8"/>
      </bottom>
      <diagonal/>
    </border>
    <border>
      <left style="thin">
        <color rgb="FFC8D4E8"/>
      </left>
      <right style="medium">
        <color rgb="FF1F3864"/>
      </right>
      <top style="medium">
        <color rgb="FF1F3864"/>
      </top>
      <bottom style="thin">
        <color rgb="FFC8D4E8"/>
      </bottom>
      <diagonal/>
    </border>
    <border>
      <left style="medium">
        <color rgb="FF1F3864"/>
      </left>
      <right style="thin">
        <color rgb="FFC8D4E8"/>
      </right>
      <top style="thin">
        <color rgb="FFC8D4E8"/>
      </top>
      <bottom style="thin">
        <color rgb="FFC8D4E8"/>
      </bottom>
      <diagonal/>
    </border>
    <border>
      <left style="thin">
        <color rgb="FFC8D4E8"/>
      </left>
      <right style="thin">
        <color rgb="FFC8D4E8"/>
      </right>
      <top style="thin">
        <color rgb="FFC8D4E8"/>
      </top>
      <bottom style="thin">
        <color rgb="FFC8D4E8"/>
      </bottom>
      <diagonal/>
    </border>
    <border>
      <left style="thin">
        <color rgb="FFC8D4E8"/>
      </left>
      <right style="medium">
        <color rgb="FF1F3864"/>
      </right>
      <top style="thin">
        <color rgb="FFC8D4E8"/>
      </top>
      <bottom style="thin">
        <color rgb="FFC8D4E8"/>
      </bottom>
      <diagonal/>
    </border>
    <border>
      <left style="medium">
        <color rgb="FF1F3864"/>
      </left>
      <right style="thin">
        <color rgb="FFC8D4E8"/>
      </right>
      <top style="thin">
        <color rgb="FFC8D4E8"/>
      </top>
      <bottom style="medium">
        <color rgb="FF1F3864"/>
      </bottom>
      <diagonal/>
    </border>
    <border>
      <left style="thin">
        <color rgb="FFC8D4E8"/>
      </left>
      <right style="thin">
        <color rgb="FFC8D4E8"/>
      </right>
      <top style="thin">
        <color rgb="FFC8D4E8"/>
      </top>
      <bottom style="medium">
        <color rgb="FF1F3864"/>
      </bottom>
      <diagonal/>
    </border>
    <border>
      <left style="thin">
        <color rgb="FFC8D4E8"/>
      </left>
      <right style="medium">
        <color rgb="FF1F3864"/>
      </right>
      <top style="thin">
        <color rgb="FFC8D4E8"/>
      </top>
      <bottom style="medium">
        <color rgb="FF1F3864"/>
      </bottom>
      <diagonal/>
    </border>
    <border>
      <left style="medium">
        <color rgb="FF1F3864"/>
      </left>
      <right style="thin">
        <color rgb="FFC0CCDD"/>
      </right>
      <top/>
      <bottom style="thin">
        <color rgb="FFC0CCDD"/>
      </bottom>
      <diagonal/>
    </border>
    <border>
      <left style="thin">
        <color rgb="FFC0CCDD"/>
      </left>
      <right style="thin">
        <color rgb="FFC0CCDD"/>
      </right>
      <top/>
      <bottom style="thin">
        <color rgb="FFC0CCDD"/>
      </bottom>
      <diagonal/>
    </border>
    <border>
      <left style="thin">
        <color rgb="FFC0CCDD"/>
      </left>
      <right style="medium">
        <color rgb="FF1F3864"/>
      </right>
      <top/>
      <bottom style="thin">
        <color rgb="FFC0CCDD"/>
      </bottom>
      <diagonal/>
    </border>
    <border>
      <left style="medium">
        <color rgb="FF1F3864"/>
      </left>
      <right style="thin">
        <color rgb="FFC0CCDD"/>
      </right>
      <top/>
      <bottom/>
      <diagonal/>
    </border>
    <border>
      <left style="thin">
        <color rgb="FFC0CCDD"/>
      </left>
      <right style="thin">
        <color rgb="FFC0CCDD"/>
      </right>
      <top/>
      <bottom/>
      <diagonal/>
    </border>
    <border>
      <left style="thin">
        <color rgb="FFC0CCDD"/>
      </left>
      <right style="medium">
        <color rgb="FF1F3864"/>
      </right>
      <top/>
      <bottom/>
      <diagonal/>
    </border>
    <border>
      <left style="medium">
        <color rgb="FF843C0C"/>
      </left>
      <right style="thin">
        <color rgb="FFF5C7A8"/>
      </right>
      <top style="medium">
        <color rgb="FF843C0C"/>
      </top>
      <bottom style="thin">
        <color rgb="FFF5C7A8"/>
      </bottom>
      <diagonal/>
    </border>
    <border>
      <left style="thin">
        <color rgb="FFF5C7A8"/>
      </left>
      <right style="thin">
        <color rgb="FFF5C7A8"/>
      </right>
      <top style="medium">
        <color rgb="FF843C0C"/>
      </top>
      <bottom style="thin">
        <color rgb="FFF5C7A8"/>
      </bottom>
      <diagonal/>
    </border>
    <border>
      <left style="thin">
        <color rgb="FFF5C7A8"/>
      </left>
      <right style="medium">
        <color rgb="FF843C0C"/>
      </right>
      <top style="medium">
        <color rgb="FF843C0C"/>
      </top>
      <bottom style="thin">
        <color rgb="FFF5C7A8"/>
      </bottom>
      <diagonal/>
    </border>
    <border>
      <left style="medium">
        <color rgb="FF843C0C"/>
      </left>
      <right style="thin">
        <color rgb="FFF5C7A8"/>
      </right>
      <top style="thin">
        <color rgb="FFF5C7A8"/>
      </top>
      <bottom style="thin">
        <color rgb="FFF5C7A8"/>
      </bottom>
      <diagonal/>
    </border>
    <border>
      <left style="thin">
        <color rgb="FFF5C7A8"/>
      </left>
      <right style="thin">
        <color rgb="FFF5C7A8"/>
      </right>
      <top style="thin">
        <color rgb="FFF5C7A8"/>
      </top>
      <bottom style="thin">
        <color rgb="FFF5C7A8"/>
      </bottom>
      <diagonal/>
    </border>
    <border>
      <left style="thin">
        <color rgb="FFF5C7A8"/>
      </left>
      <right style="medium">
        <color rgb="FF843C0C"/>
      </right>
      <top style="thin">
        <color rgb="FFF5C7A8"/>
      </top>
      <bottom style="thin">
        <color rgb="FFF5C7A8"/>
      </bottom>
      <diagonal/>
    </border>
    <border>
      <left style="medium">
        <color rgb="FF843C0C"/>
      </left>
      <right style="thin">
        <color rgb="FFF5C7A8"/>
      </right>
      <top style="thin">
        <color rgb="FFF5C7A8"/>
      </top>
      <bottom style="medium">
        <color rgb="FF843C0C"/>
      </bottom>
      <diagonal/>
    </border>
    <border>
      <left style="thin">
        <color rgb="FFF5C7A8"/>
      </left>
      <right style="thin">
        <color rgb="FFF5C7A8"/>
      </right>
      <top style="thin">
        <color rgb="FFF5C7A8"/>
      </top>
      <bottom style="medium">
        <color rgb="FF843C0C"/>
      </bottom>
      <diagonal/>
    </border>
    <border>
      <left style="thin">
        <color rgb="FFF5C7A8"/>
      </left>
      <right style="medium">
        <color rgb="FF843C0C"/>
      </right>
      <top style="thin">
        <color rgb="FFF5C7A8"/>
      </top>
      <bottom style="medium">
        <color rgb="FF843C0C"/>
      </bottom>
      <diagonal/>
    </border>
    <border>
      <left style="medium">
        <color rgb="FF375623"/>
      </left>
      <right style="thin">
        <color rgb="FFB8DAAA"/>
      </right>
      <top style="medium">
        <color rgb="FF375623"/>
      </top>
      <bottom style="thin">
        <color rgb="FFB8DAAA"/>
      </bottom>
      <diagonal/>
    </border>
    <border>
      <left style="thin">
        <color rgb="FFB8DAAA"/>
      </left>
      <right style="thin">
        <color rgb="FFB8DAAA"/>
      </right>
      <top style="medium">
        <color rgb="FF375623"/>
      </top>
      <bottom style="thin">
        <color rgb="FFB8DAAA"/>
      </bottom>
      <diagonal/>
    </border>
    <border>
      <left style="thin">
        <color rgb="FFB8DAAA"/>
      </left>
      <right style="medium">
        <color rgb="FF375623"/>
      </right>
      <top style="medium">
        <color rgb="FF375623"/>
      </top>
      <bottom style="thin">
        <color rgb="FFB8DAAA"/>
      </bottom>
      <diagonal/>
    </border>
    <border>
      <left style="medium">
        <color rgb="FF375623"/>
      </left>
      <right style="thin">
        <color rgb="FFB8DAAA"/>
      </right>
      <top style="thin">
        <color rgb="FFB8DAAA"/>
      </top>
      <bottom style="thin">
        <color rgb="FFB8DAAA"/>
      </bottom>
      <diagonal/>
    </border>
    <border>
      <left style="thin">
        <color rgb="FFB8DAAA"/>
      </left>
      <right style="thin">
        <color rgb="FFB8DAAA"/>
      </right>
      <top style="thin">
        <color rgb="FFB8DAAA"/>
      </top>
      <bottom style="thin">
        <color rgb="FFB8DAAA"/>
      </bottom>
      <diagonal/>
    </border>
    <border>
      <left style="thin">
        <color rgb="FFB8DAAA"/>
      </left>
      <right style="medium">
        <color rgb="FF375623"/>
      </right>
      <top style="thin">
        <color rgb="FFB8DAAA"/>
      </top>
      <bottom style="thin">
        <color rgb="FFB8DAAA"/>
      </bottom>
      <diagonal/>
    </border>
    <border>
      <left style="medium">
        <color rgb="FF375623"/>
      </left>
      <right style="thin">
        <color rgb="FFB8DAAA"/>
      </right>
      <top style="thin">
        <color rgb="FFB8DAAA"/>
      </top>
      <bottom style="medium">
        <color rgb="FF375623"/>
      </bottom>
      <diagonal/>
    </border>
    <border>
      <left style="thin">
        <color rgb="FFB8DAAA"/>
      </left>
      <right style="thin">
        <color rgb="FFB8DAAA"/>
      </right>
      <top style="thin">
        <color rgb="FFB8DAAA"/>
      </top>
      <bottom style="medium">
        <color rgb="FF375623"/>
      </bottom>
      <diagonal/>
    </border>
    <border>
      <left style="thin">
        <color rgb="FFB8DAAA"/>
      </left>
      <right style="medium">
        <color rgb="FF375623"/>
      </right>
      <top style="thin">
        <color rgb="FFB8DAAA"/>
      </top>
      <bottom style="medium">
        <color rgb="FF375623"/>
      </bottom>
      <diagonal/>
    </border>
    <border>
      <left style="medium">
        <color rgb="FF44546A"/>
      </left>
      <right style="thin">
        <color rgb="FFC8D4E8"/>
      </right>
      <top style="medium">
        <color rgb="FF44546A"/>
      </top>
      <bottom style="thin">
        <color rgb="FFC8D4E8"/>
      </bottom>
      <diagonal/>
    </border>
    <border>
      <left style="thin">
        <color rgb="FFC8D4E8"/>
      </left>
      <right style="thin">
        <color rgb="FFC8D4E8"/>
      </right>
      <top style="medium">
        <color rgb="FF44546A"/>
      </top>
      <bottom style="thin">
        <color rgb="FFC8D4E8"/>
      </bottom>
      <diagonal/>
    </border>
    <border>
      <left style="thin">
        <color rgb="FFC8D4E8"/>
      </left>
      <right style="medium">
        <color rgb="FF44546A"/>
      </right>
      <top style="medium">
        <color rgb="FF44546A"/>
      </top>
      <bottom style="thin">
        <color rgb="FFC8D4E8"/>
      </bottom>
      <diagonal/>
    </border>
    <border>
      <left style="medium">
        <color rgb="FF44546A"/>
      </left>
      <right style="thin">
        <color rgb="FFC8D4E8"/>
      </right>
      <top style="thin">
        <color rgb="FFC8D4E8"/>
      </top>
      <bottom style="thin">
        <color rgb="FFC8D4E8"/>
      </bottom>
      <diagonal/>
    </border>
    <border>
      <left style="thin">
        <color rgb="FFC8D4E8"/>
      </left>
      <right style="medium">
        <color rgb="FF44546A"/>
      </right>
      <top style="thin">
        <color rgb="FFC8D4E8"/>
      </top>
      <bottom style="thin">
        <color rgb="FFC8D4E8"/>
      </bottom>
      <diagonal/>
    </border>
    <border>
      <left style="medium">
        <color rgb="FF44546A"/>
      </left>
      <right style="thin">
        <color rgb="FFC8D4E8"/>
      </right>
      <top style="thin">
        <color rgb="FFC8D4E8"/>
      </top>
      <bottom style="medium">
        <color rgb="FF44546A"/>
      </bottom>
      <diagonal/>
    </border>
    <border>
      <left style="thin">
        <color rgb="FFC8D4E8"/>
      </left>
      <right style="thin">
        <color rgb="FFC8D4E8"/>
      </right>
      <top style="thin">
        <color rgb="FFC8D4E8"/>
      </top>
      <bottom style="medium">
        <color rgb="FF44546A"/>
      </bottom>
      <diagonal/>
    </border>
    <border>
      <left style="thin">
        <color rgb="FFC8D4E8"/>
      </left>
      <right style="medium">
        <color rgb="FF44546A"/>
      </right>
      <top style="thin">
        <color rgb="FFC8D4E8"/>
      </top>
      <bottom style="medium">
        <color rgb="FF44546A"/>
      </bottom>
      <diagonal/>
    </border>
    <border>
      <left style="medium">
        <color rgb="FF44546A"/>
      </left>
      <right style="thin">
        <color rgb="FFC0CCDD"/>
      </right>
      <top style="medium">
        <color rgb="FF44546A"/>
      </top>
      <bottom/>
      <diagonal/>
    </border>
    <border>
      <left style="thin">
        <color rgb="FFC0CCDD"/>
      </left>
      <right style="thin">
        <color rgb="FFC0CCDD"/>
      </right>
      <top style="medium">
        <color rgb="FF44546A"/>
      </top>
      <bottom/>
      <diagonal/>
    </border>
    <border>
      <left style="thin">
        <color rgb="FFC0CCDD"/>
      </left>
      <right style="medium">
        <color rgb="FF44546A"/>
      </right>
      <top style="medium">
        <color rgb="FF44546A"/>
      </top>
      <bottom/>
      <diagonal/>
    </border>
    <border>
      <left style="medium">
        <color rgb="FF0070C0"/>
      </left>
      <right style="thin">
        <color rgb="FFC0CCDD"/>
      </right>
      <top/>
      <bottom style="thin">
        <color rgb="FFC0CCDD"/>
      </bottom>
      <diagonal/>
    </border>
    <border>
      <left style="thin">
        <color rgb="FFC0CCDD"/>
      </left>
      <right style="medium">
        <color rgb="FF0070C0"/>
      </right>
      <top/>
      <bottom style="thin">
        <color rgb="FFC0CCDD"/>
      </bottom>
      <diagonal/>
    </border>
    <border>
      <left style="medium">
        <color rgb="FF006FA6"/>
      </left>
      <right style="thin">
        <color rgb="FFC8D4E8"/>
      </right>
      <top style="thin">
        <color rgb="FFC8D4E8"/>
      </top>
      <bottom style="thin">
        <color rgb="FFC8D4E8"/>
      </bottom>
      <diagonal/>
    </border>
    <border>
      <left style="thin">
        <color rgb="FFC8D4E8"/>
      </left>
      <right style="medium">
        <color rgb="FF006FA6"/>
      </right>
      <top style="thin">
        <color rgb="FFC8D4E8"/>
      </top>
      <bottom style="thin">
        <color rgb="FFC8D4E8"/>
      </bottom>
      <diagonal/>
    </border>
    <border>
      <left style="medium">
        <color rgb="FF006FA6"/>
      </left>
      <right style="thin">
        <color rgb="FFC8D4E8"/>
      </right>
      <top style="thin">
        <color rgb="FFC8D4E8"/>
      </top>
      <bottom style="medium">
        <color rgb="FF006FA6"/>
      </bottom>
      <diagonal/>
    </border>
    <border>
      <left style="thin">
        <color rgb="FFC8D4E8"/>
      </left>
      <right style="thin">
        <color rgb="FFC8D4E8"/>
      </right>
      <top style="thin">
        <color rgb="FFC8D4E8"/>
      </top>
      <bottom style="medium">
        <color rgb="FF006FA6"/>
      </bottom>
      <diagonal/>
    </border>
    <border>
      <left style="thin">
        <color rgb="FFC8D4E8"/>
      </left>
      <right style="medium">
        <color rgb="FF006FA6"/>
      </right>
      <top style="thin">
        <color rgb="FFC8D4E8"/>
      </top>
      <bottom style="medium">
        <color rgb="FF006FA6"/>
      </bottom>
      <diagonal/>
    </border>
    <border>
      <left style="medium">
        <color rgb="FF0070C0"/>
      </left>
      <right style="thin">
        <color rgb="FFC0CCDD"/>
      </right>
      <top style="thin">
        <color rgb="FFC0CCDD"/>
      </top>
      <bottom/>
      <diagonal/>
    </border>
    <border>
      <left style="thin">
        <color rgb="FFC0CCDD"/>
      </left>
      <right style="thin">
        <color rgb="FFC0CCDD"/>
      </right>
      <top style="thin">
        <color rgb="FFC0CCDD"/>
      </top>
      <bottom/>
      <diagonal/>
    </border>
    <border>
      <left style="thin">
        <color rgb="FFC0CCDD"/>
      </left>
      <right style="medium">
        <color rgb="FF0070C0"/>
      </right>
      <top style="thin">
        <color rgb="FFC0CCDD"/>
      </top>
      <bottom/>
      <diagonal/>
    </border>
    <border>
      <left style="medium">
        <color rgb="FF375623"/>
      </left>
      <right style="thin">
        <color rgb="FFC8D4E8"/>
      </right>
      <top style="medium">
        <color rgb="FF375623"/>
      </top>
      <bottom style="thin">
        <color rgb="FFC8D4E8"/>
      </bottom>
      <diagonal/>
    </border>
    <border>
      <left style="thin">
        <color rgb="FFC8D4E8"/>
      </left>
      <right style="thin">
        <color rgb="FFC8D4E8"/>
      </right>
      <top style="medium">
        <color rgb="FF375623"/>
      </top>
      <bottom style="thin">
        <color rgb="FFC8D4E8"/>
      </bottom>
      <diagonal/>
    </border>
    <border>
      <left style="thin">
        <color rgb="FFC8D4E8"/>
      </left>
      <right style="medium">
        <color rgb="FF375623"/>
      </right>
      <top style="medium">
        <color rgb="FF375623"/>
      </top>
      <bottom style="thin">
        <color rgb="FFC8D4E8"/>
      </bottom>
      <diagonal/>
    </border>
    <border>
      <left style="medium">
        <color rgb="FF375623"/>
      </left>
      <right style="thin">
        <color rgb="FFC8D4E8"/>
      </right>
      <top style="thin">
        <color rgb="FFC8D4E8"/>
      </top>
      <bottom style="thin">
        <color rgb="FFC8D4E8"/>
      </bottom>
      <diagonal/>
    </border>
    <border>
      <left style="thin">
        <color rgb="FFC8D4E8"/>
      </left>
      <right style="medium">
        <color rgb="FF375623"/>
      </right>
      <top style="thin">
        <color rgb="FFC8D4E8"/>
      </top>
      <bottom style="thin">
        <color rgb="FFC8D4E8"/>
      </bottom>
      <diagonal/>
    </border>
    <border>
      <left style="medium">
        <color rgb="FF375623"/>
      </left>
      <right style="thin">
        <color rgb="FFC8D4E8"/>
      </right>
      <top style="thin">
        <color rgb="FFC8D4E8"/>
      </top>
      <bottom style="medium">
        <color rgb="FF375623"/>
      </bottom>
      <diagonal/>
    </border>
    <border>
      <left style="thin">
        <color rgb="FFC8D4E8"/>
      </left>
      <right style="thin">
        <color rgb="FFC8D4E8"/>
      </right>
      <top style="thin">
        <color rgb="FFC8D4E8"/>
      </top>
      <bottom style="medium">
        <color rgb="FF375623"/>
      </bottom>
      <diagonal/>
    </border>
    <border>
      <left style="thin">
        <color rgb="FFC8D4E8"/>
      </left>
      <right style="medium">
        <color rgb="FF375623"/>
      </right>
      <top style="thin">
        <color rgb="FFC8D4E8"/>
      </top>
      <bottom style="medium">
        <color rgb="FF375623"/>
      </bottom>
      <diagonal/>
    </border>
    <border>
      <left style="medium">
        <color rgb="FFED7D31"/>
      </left>
      <right style="thin">
        <color rgb="FFF5C7A8"/>
      </right>
      <top style="medium">
        <color rgb="FFED7D31"/>
      </top>
      <bottom style="thin">
        <color rgb="FFF5C7A8"/>
      </bottom>
      <diagonal/>
    </border>
    <border>
      <left style="thin">
        <color rgb="FFF5C7A8"/>
      </left>
      <right style="thin">
        <color rgb="FFF5C7A8"/>
      </right>
      <top style="medium">
        <color rgb="FFED7D31"/>
      </top>
      <bottom style="thin">
        <color rgb="FFF5C7A8"/>
      </bottom>
      <diagonal/>
    </border>
    <border>
      <left style="thin">
        <color rgb="FFF5C7A8"/>
      </left>
      <right style="medium">
        <color rgb="FFED7D31"/>
      </right>
      <top style="medium">
        <color rgb="FFED7D31"/>
      </top>
      <bottom style="thin">
        <color rgb="FFF5C7A8"/>
      </bottom>
      <diagonal/>
    </border>
    <border>
      <left style="medium">
        <color rgb="FFED7D31"/>
      </left>
      <right style="thin">
        <color rgb="FFF5C7A8"/>
      </right>
      <top style="thin">
        <color rgb="FFF5C7A8"/>
      </top>
      <bottom style="thin">
        <color rgb="FFF5C7A8"/>
      </bottom>
      <diagonal/>
    </border>
    <border>
      <left style="thin">
        <color rgb="FFF5C7A8"/>
      </left>
      <right style="medium">
        <color rgb="FFED7D31"/>
      </right>
      <top style="thin">
        <color rgb="FFF5C7A8"/>
      </top>
      <bottom style="thin">
        <color rgb="FFF5C7A8"/>
      </bottom>
      <diagonal/>
    </border>
    <border>
      <left style="medium">
        <color rgb="FFED7D31"/>
      </left>
      <right style="thin">
        <color rgb="FFF5C7A8"/>
      </right>
      <top style="thin">
        <color rgb="FFF5C7A8"/>
      </top>
      <bottom style="medium">
        <color rgb="FFED7D31"/>
      </bottom>
      <diagonal/>
    </border>
    <border>
      <left style="thin">
        <color rgb="FFF5C7A8"/>
      </left>
      <right style="thin">
        <color rgb="FFF5C7A8"/>
      </right>
      <top style="thin">
        <color rgb="FFF5C7A8"/>
      </top>
      <bottom style="medium">
        <color rgb="FFED7D31"/>
      </bottom>
      <diagonal/>
    </border>
    <border>
      <left style="thin">
        <color rgb="FFF5C7A8"/>
      </left>
      <right style="medium">
        <color rgb="FFED7D31"/>
      </right>
      <top style="thin">
        <color rgb="FFF5C7A8"/>
      </top>
      <bottom style="medium">
        <color rgb="FFED7D31"/>
      </bottom>
      <diagonal/>
    </border>
    <border>
      <left style="medium">
        <color rgb="FF1F3864"/>
      </left>
      <right style="thin">
        <color rgb="FFC0CCDD"/>
      </right>
      <top style="thin">
        <color rgb="FFC0CCDD"/>
      </top>
      <bottom/>
      <diagonal/>
    </border>
    <border>
      <left style="thin">
        <color rgb="FFC0CCDD"/>
      </left>
      <right style="medium">
        <color rgb="FF1F3864"/>
      </right>
      <top style="thin">
        <color rgb="FFC0CCDD"/>
      </top>
      <bottom/>
      <diagonal/>
    </border>
    <border>
      <left style="medium">
        <color rgb="FF1F3864"/>
      </left>
      <right style="thin">
        <color rgb="FFC0CCDD"/>
      </right>
      <top/>
      <bottom style="medium">
        <color rgb="FF1F3864"/>
      </bottom>
      <diagonal/>
    </border>
    <border>
      <left style="thin">
        <color rgb="FFC0CCDD"/>
      </left>
      <right style="thin">
        <color rgb="FFC0CCDD"/>
      </right>
      <top/>
      <bottom style="medium">
        <color rgb="FF1F3864"/>
      </bottom>
      <diagonal/>
    </border>
    <border>
      <left style="thin">
        <color rgb="FFC0CCDD"/>
      </left>
      <right style="medium">
        <color rgb="FF1F3864"/>
      </right>
      <top/>
      <bottom style="medium">
        <color rgb="FF1F3864"/>
      </bottom>
      <diagonal/>
    </border>
    <border>
      <left style="medium">
        <color rgb="FF1F3864"/>
      </left>
      <right style="thin">
        <color rgb="FFC8D4E8"/>
      </right>
      <top/>
      <bottom style="thin">
        <color rgb="FFC8D4E8"/>
      </bottom>
      <diagonal/>
    </border>
    <border>
      <left style="thin">
        <color rgb="FFC8D4E8"/>
      </left>
      <right style="thin">
        <color rgb="FFC8D4E8"/>
      </right>
      <top/>
      <bottom style="thin">
        <color rgb="FFC8D4E8"/>
      </bottom>
      <diagonal/>
    </border>
    <border>
      <left style="thin">
        <color rgb="FFC8D4E8"/>
      </left>
      <right style="medium">
        <color rgb="FF1F3864"/>
      </right>
      <top/>
      <bottom style="thin">
        <color rgb="FFC8D4E8"/>
      </bottom>
      <diagonal/>
    </border>
    <border>
      <left style="medium">
        <color rgb="FF1F3864"/>
      </left>
      <right style="thin">
        <color rgb="FFC8D4E8"/>
      </right>
      <top style="thin">
        <color rgb="FF44546A"/>
      </top>
      <bottom style="thin">
        <color rgb="FFC8D4E8"/>
      </bottom>
      <diagonal/>
    </border>
    <border>
      <left style="thin">
        <color rgb="FFC8D4E8"/>
      </left>
      <right style="thin">
        <color rgb="FFC8D4E8"/>
      </right>
      <top style="thin">
        <color rgb="FF44546A"/>
      </top>
      <bottom style="thin">
        <color rgb="FFC8D4E8"/>
      </bottom>
      <diagonal/>
    </border>
    <border>
      <left style="thin">
        <color rgb="FFC8D4E8"/>
      </left>
      <right style="medium">
        <color rgb="FF1F3864"/>
      </right>
      <top style="thin">
        <color rgb="FF44546A"/>
      </top>
      <bottom style="thin">
        <color rgb="FFC8D4E8"/>
      </bottom>
      <diagonal/>
    </border>
    <border>
      <left style="medium">
        <color rgb="FF1F3864"/>
      </left>
      <right style="thin">
        <color rgb="FFC8D4E8"/>
      </right>
      <top style="thin">
        <color rgb="FFB0B8CC"/>
      </top>
      <bottom style="thin">
        <color rgb="FFC8D4E8"/>
      </bottom>
      <diagonal/>
    </border>
    <border>
      <left style="thin">
        <color rgb="FFC8D4E8"/>
      </left>
      <right style="thin">
        <color rgb="FFC8D4E8"/>
      </right>
      <top style="thin">
        <color rgb="FFB0B8CC"/>
      </top>
      <bottom style="thin">
        <color rgb="FFC8D4E8"/>
      </bottom>
      <diagonal/>
    </border>
    <border>
      <left style="thin">
        <color rgb="FFC8D4E8"/>
      </left>
      <right style="medium">
        <color rgb="FF1F3864"/>
      </right>
      <top style="thin">
        <color rgb="FFB0B8CC"/>
      </top>
      <bottom style="thin">
        <color rgb="FFC8D4E8"/>
      </bottom>
      <diagonal/>
    </border>
    <border>
      <left style="medium">
        <color rgb="FF1F3864"/>
      </left>
      <right style="thin">
        <color rgb="FFC8D4E8"/>
      </right>
      <top style="thin">
        <color rgb="FFB0B8CC"/>
      </top>
      <bottom style="thin">
        <color rgb="FF44546A"/>
      </bottom>
      <diagonal/>
    </border>
    <border>
      <left style="thin">
        <color rgb="FFC8D4E8"/>
      </left>
      <right style="thin">
        <color rgb="FFC8D4E8"/>
      </right>
      <top style="thin">
        <color rgb="FFB0B8CC"/>
      </top>
      <bottom style="thin">
        <color rgb="FF44546A"/>
      </bottom>
      <diagonal/>
    </border>
    <border>
      <left style="thin">
        <color rgb="FFC8D4E8"/>
      </left>
      <right style="medium">
        <color rgb="FF1F3864"/>
      </right>
      <top style="thin">
        <color rgb="FFB0B8CC"/>
      </top>
      <bottom style="thin">
        <color rgb="FF44546A"/>
      </bottom>
      <diagonal/>
    </border>
    <border>
      <left style="medium">
        <color rgb="FF1F3864"/>
      </left>
      <right style="thin">
        <color rgb="FFC8D4E8"/>
      </right>
      <top style="thin">
        <color rgb="FF1F3864"/>
      </top>
      <bottom style="thin">
        <color rgb="FFC8D4E8"/>
      </bottom>
      <diagonal/>
    </border>
    <border>
      <left style="thin">
        <color rgb="FFC8D4E8"/>
      </left>
      <right style="thin">
        <color rgb="FFC8D4E8"/>
      </right>
      <top style="thin">
        <color rgb="FF1F3864"/>
      </top>
      <bottom style="thin">
        <color rgb="FFC8D4E8"/>
      </bottom>
      <diagonal/>
    </border>
    <border>
      <left style="thin">
        <color rgb="FFC8D4E8"/>
      </left>
      <right style="medium">
        <color rgb="FF1F3864"/>
      </right>
      <top style="thin">
        <color rgb="FF1F3864"/>
      </top>
      <bottom style="thin">
        <color rgb="FFC8D4E8"/>
      </bottom>
      <diagonal/>
    </border>
    <border>
      <left style="medium">
        <color rgb="FF1F3864"/>
      </left>
      <right style="thin">
        <color rgb="FFC8D4E8"/>
      </right>
      <top style="medium">
        <color rgb="FF1F3864"/>
      </top>
      <bottom/>
      <diagonal/>
    </border>
    <border>
      <left style="thin">
        <color rgb="FFC8D4E8"/>
      </left>
      <right style="thin">
        <color rgb="FFC8D4E8"/>
      </right>
      <top style="medium">
        <color rgb="FF1F3864"/>
      </top>
      <bottom/>
      <diagonal/>
    </border>
    <border>
      <left style="thin">
        <color rgb="FFC8D4E8"/>
      </left>
      <right style="medium">
        <color rgb="FF1F3864"/>
      </right>
      <top style="medium">
        <color rgb="FF1F3864"/>
      </top>
      <bottom/>
      <diagonal/>
    </border>
    <border>
      <left style="medium">
        <color rgb="FF1F3864"/>
      </left>
      <right style="thin">
        <color rgb="FFC8D4E8"/>
      </right>
      <top style="thin">
        <color rgb="FFC8D4E8"/>
      </top>
      <bottom/>
      <diagonal/>
    </border>
    <border>
      <left style="thin">
        <color rgb="FFC8D4E8"/>
      </left>
      <right style="thin">
        <color rgb="FFC8D4E8"/>
      </right>
      <top style="thin">
        <color rgb="FFC8D4E8"/>
      </top>
      <bottom/>
      <diagonal/>
    </border>
    <border>
      <left style="thin">
        <color rgb="FFC8D4E8"/>
      </left>
      <right style="medium">
        <color rgb="FF1F3864"/>
      </right>
      <top style="thin">
        <color rgb="FFC8D4E8"/>
      </top>
      <bottom/>
      <diagonal/>
    </border>
    <border>
      <left style="medium">
        <color rgb="FF1F3864"/>
      </left>
      <right style="thin">
        <color rgb="FFC8D4E8"/>
      </right>
      <top style="thin">
        <color rgb="FF2E75B6"/>
      </top>
      <bottom style="thin">
        <color rgb="FF2E75B6"/>
      </bottom>
      <diagonal/>
    </border>
    <border>
      <left style="thin">
        <color rgb="FFC8D4E8"/>
      </left>
      <right style="thin">
        <color rgb="FFC8D4E8"/>
      </right>
      <top style="thin">
        <color rgb="FF2E75B6"/>
      </top>
      <bottom style="thin">
        <color rgb="FF2E75B6"/>
      </bottom>
      <diagonal/>
    </border>
    <border>
      <left style="thin">
        <color rgb="FFC8D4E8"/>
      </left>
      <right style="medium">
        <color rgb="FF1F3864"/>
      </right>
      <top style="thin">
        <color rgb="FF2E75B6"/>
      </top>
      <bottom style="thin">
        <color rgb="FF2E75B6"/>
      </bottom>
      <diagonal/>
    </border>
    <border>
      <left style="thin">
        <color rgb="FFC8D4E8"/>
      </left>
      <right/>
      <top style="medium">
        <color rgb="FF1F3864"/>
      </top>
      <bottom style="thin">
        <color rgb="FFC8D4E8"/>
      </bottom>
      <diagonal/>
    </border>
    <border>
      <left style="thin">
        <color rgb="FFC8D4E8"/>
      </left>
      <right/>
      <top style="thin">
        <color rgb="FFC8D4E8"/>
      </top>
      <bottom style="thin">
        <color rgb="FFC8D4E8"/>
      </bottom>
      <diagonal/>
    </border>
    <border>
      <left style="thin">
        <color rgb="FFC8D4E8"/>
      </left>
      <right/>
      <top style="thin">
        <color rgb="FFC8D4E8"/>
      </top>
      <bottom style="medium">
        <color rgb="FF1F3864"/>
      </bottom>
      <diagonal/>
    </border>
    <border>
      <left/>
      <right style="medium">
        <color rgb="FF1F3864"/>
      </right>
      <top style="medium">
        <color rgb="FF1F3864"/>
      </top>
      <bottom style="thin">
        <color rgb="FFC8D4E8"/>
      </bottom>
      <diagonal/>
    </border>
    <border>
      <left/>
      <right style="medium">
        <color rgb="FF1F3864"/>
      </right>
      <top style="thin">
        <color rgb="FFC8D4E8"/>
      </top>
      <bottom style="thin">
        <color rgb="FFC8D4E8"/>
      </bottom>
      <diagonal/>
    </border>
    <border>
      <left/>
      <right style="medium">
        <color rgb="FF1F3864"/>
      </right>
      <top style="thin">
        <color rgb="FFC8D4E8"/>
      </top>
      <bottom style="medium">
        <color rgb="FF1F3864"/>
      </bottom>
      <diagonal/>
    </border>
    <border>
      <left style="thin">
        <color rgb="FFC8D4E8"/>
      </left>
      <right/>
      <top/>
      <bottom style="thin">
        <color rgb="FFC8D4E8"/>
      </bottom>
      <diagonal/>
    </border>
    <border>
      <left style="thin">
        <color rgb="FFC8D4E8"/>
      </left>
      <right/>
      <top style="thin">
        <color rgb="FFC8D4E8"/>
      </top>
      <bottom/>
      <diagonal/>
    </border>
    <border>
      <left style="thin">
        <color rgb="FFC8D4E8"/>
      </left>
      <right/>
      <top style="thin">
        <color rgb="FF1F3864"/>
      </top>
      <bottom style="thin">
        <color rgb="FFC8D4E8"/>
      </bottom>
      <diagonal/>
    </border>
    <border>
      <left/>
      <right style="medium">
        <color rgb="FF1F3864"/>
      </right>
      <top style="thin">
        <color rgb="FF1F3864"/>
      </top>
      <bottom style="thin">
        <color rgb="FFC8D4E8"/>
      </bottom>
      <diagonal/>
    </border>
    <border>
      <left style="medium">
        <color rgb="FF1F3864"/>
      </left>
      <right style="thin">
        <color rgb="FFC8D4E8"/>
      </right>
      <top style="thin">
        <color rgb="FFC8D4E8"/>
      </top>
      <bottom style="thin">
        <color rgb="FF44546A"/>
      </bottom>
      <diagonal/>
    </border>
    <border>
      <left style="thin">
        <color rgb="FFC8D4E8"/>
      </left>
      <right style="thin">
        <color rgb="FFC8D4E8"/>
      </right>
      <top style="thin">
        <color rgb="FFC8D4E8"/>
      </top>
      <bottom style="thin">
        <color rgb="FF44546A"/>
      </bottom>
      <diagonal/>
    </border>
    <border>
      <left style="thin">
        <color rgb="FFC8D4E8"/>
      </left>
      <right/>
      <top style="thin">
        <color rgb="FFC8D4E8"/>
      </top>
      <bottom style="thin">
        <color rgb="FF44546A"/>
      </bottom>
      <diagonal/>
    </border>
    <border>
      <left/>
      <right style="medium">
        <color rgb="FF1F3864"/>
      </right>
      <top style="thin">
        <color rgb="FFC8D4E8"/>
      </top>
      <bottom style="thin">
        <color rgb="FF44546A"/>
      </bottom>
      <diagonal/>
    </border>
    <border>
      <left style="medium">
        <color rgb="FF2E75B6"/>
      </left>
      <right style="thin">
        <color rgb="FFC8D4E8"/>
      </right>
      <top style="thin">
        <color rgb="FFC8D4E8"/>
      </top>
      <bottom style="thin">
        <color rgb="FFC8D4E8"/>
      </bottom>
      <diagonal/>
    </border>
    <border>
      <left style="medium">
        <color rgb="FF2E75B6"/>
      </left>
      <right style="thin">
        <color rgb="FFC8D4E8"/>
      </right>
      <top style="thin">
        <color rgb="FFC8D4E8"/>
      </top>
      <bottom style="medium">
        <color rgb="FF1F3864"/>
      </bottom>
      <diagonal/>
    </border>
    <border>
      <left/>
      <right/>
      <top style="thin">
        <color rgb="FF2E75B6"/>
      </top>
      <bottom/>
      <diagonal/>
    </border>
    <border>
      <left style="medium">
        <color rgb="FF44546A"/>
      </left>
      <right style="thin">
        <color rgb="FFC8D4E8"/>
      </right>
      <top style="thin">
        <color rgb="FFC8D4E8"/>
      </top>
      <bottom style="thin">
        <color rgb="FF44546A"/>
      </bottom>
      <diagonal/>
    </border>
    <border>
      <left style="thin">
        <color rgb="FFC8D4E8"/>
      </left>
      <right style="medium">
        <color rgb="FF44546A"/>
      </right>
      <top style="thin">
        <color rgb="FFC8D4E8"/>
      </top>
      <bottom style="thin">
        <color rgb="FF44546A"/>
      </bottom>
      <diagonal/>
    </border>
    <border>
      <left style="thin">
        <color rgb="FFBFBFBF"/>
      </left>
      <right style="thin">
        <color rgb="FFBFBFBF"/>
      </right>
      <top style="thin">
        <color rgb="FFBFBFBF"/>
      </top>
      <bottom/>
      <diagonal/>
    </border>
    <border>
      <left style="thin">
        <color rgb="FFBFBFBF"/>
      </left>
      <right style="thin">
        <color rgb="FFBFBFBF"/>
      </right>
      <top style="thin">
        <color rgb="FF1F3864"/>
      </top>
      <bottom style="thin">
        <color rgb="FF1F3864"/>
      </bottom>
      <diagonal/>
    </border>
    <border>
      <left style="medium">
        <color rgb="FF006FA6"/>
      </left>
      <right style="thin">
        <color rgb="FFC8D4E8"/>
      </right>
      <top style="medium">
        <color rgb="FF006FA6"/>
      </top>
      <bottom/>
      <diagonal/>
    </border>
    <border>
      <left style="thin">
        <color rgb="FFC8D4E8"/>
      </left>
      <right style="thin">
        <color rgb="FFC8D4E8"/>
      </right>
      <top style="medium">
        <color rgb="FF006FA6"/>
      </top>
      <bottom/>
      <diagonal/>
    </border>
    <border>
      <left style="thin">
        <color rgb="FFC8D4E8"/>
      </left>
      <right style="medium">
        <color rgb="FF006FA6"/>
      </right>
      <top style="medium">
        <color rgb="FF006FA6"/>
      </top>
      <bottom/>
      <diagonal/>
    </border>
    <border>
      <left/>
      <right/>
      <top style="thin">
        <color rgb="FFC8D4E8"/>
      </top>
      <bottom/>
      <diagonal/>
    </border>
    <border>
      <left/>
      <right/>
      <top/>
      <bottom style="medium">
        <color rgb="FF4472C4"/>
      </bottom>
      <diagonal/>
    </border>
    <border>
      <left style="thin">
        <color rgb="FFC0CCDD"/>
      </left>
      <right style="thin">
        <color rgb="FFC0CCDD"/>
      </right>
      <top style="medium">
        <color rgb="FF1F3864"/>
      </top>
      <bottom/>
      <diagonal/>
    </border>
    <border>
      <left style="thin">
        <color rgb="FFC0CCDD"/>
      </left>
      <right style="medium">
        <color rgb="FF1F3864"/>
      </right>
      <top style="medium">
        <color rgb="FF1F3864"/>
      </top>
      <bottom/>
      <diagonal/>
    </border>
    <border>
      <left/>
      <right style="thin">
        <color rgb="FFC0CCDD"/>
      </right>
      <top style="thin">
        <color rgb="FFC8D4E8"/>
      </top>
      <bottom/>
      <diagonal/>
    </border>
    <border>
      <left style="thin">
        <color rgb="FFC0CCDD"/>
      </left>
      <right style="thin">
        <color rgb="FFC0CCDD"/>
      </right>
      <top style="thin">
        <color rgb="FFC8D4E8"/>
      </top>
      <bottom/>
      <diagonal/>
    </border>
    <border>
      <left style="thin">
        <color rgb="FFC0CCDD"/>
      </left>
      <right style="medium">
        <color rgb="FF1F3864"/>
      </right>
      <top style="thin">
        <color rgb="FFC8D4E8"/>
      </top>
      <bottom/>
      <diagonal/>
    </border>
    <border>
      <left style="medium">
        <color rgb="FF1F3864"/>
      </left>
      <right style="thin">
        <color rgb="FFC0CCDD"/>
      </right>
      <top style="thin">
        <color rgb="FFC8D4E8"/>
      </top>
      <bottom/>
      <diagonal/>
    </border>
    <border>
      <left style="medium">
        <color rgb="FF1F3864"/>
      </left>
      <right style="thin">
        <color rgb="FFC0CCDD"/>
      </right>
      <top style="thin">
        <color rgb="FF1F3864"/>
      </top>
      <bottom/>
      <diagonal/>
    </border>
    <border>
      <left style="thin">
        <color rgb="FFC0CCDD"/>
      </left>
      <right style="thin">
        <color rgb="FFC0CCDD"/>
      </right>
      <top style="thin">
        <color rgb="FF1F3864"/>
      </top>
      <bottom/>
      <diagonal/>
    </border>
    <border>
      <left style="thin">
        <color rgb="FFC0CCDD"/>
      </left>
      <right style="medium">
        <color rgb="FF1F3864"/>
      </right>
      <top style="thin">
        <color rgb="FF1F3864"/>
      </top>
      <bottom/>
      <diagonal/>
    </border>
    <border>
      <left/>
      <right style="thin">
        <color rgb="FFC0CCDD"/>
      </right>
      <top/>
      <bottom/>
      <diagonal/>
    </border>
    <border>
      <left/>
      <right style="thin">
        <color rgb="FFC0CCDD"/>
      </right>
      <top style="medium">
        <color rgb="FF4472C4"/>
      </top>
      <bottom/>
      <diagonal/>
    </border>
    <border>
      <left style="thin">
        <color rgb="FFC0CCDD"/>
      </left>
      <right style="thin">
        <color rgb="FFC0CCDD"/>
      </right>
      <top style="medium">
        <color rgb="FF4472C4"/>
      </top>
      <bottom/>
      <diagonal/>
    </border>
    <border>
      <left style="thin">
        <color rgb="FFC0CCDD"/>
      </left>
      <right style="medium">
        <color rgb="FF1F3864"/>
      </right>
      <top style="medium">
        <color rgb="FF4472C4"/>
      </top>
      <bottom/>
      <diagonal/>
    </border>
    <border>
      <left/>
      <right style="thin">
        <color rgb="FFC0CCDD"/>
      </right>
      <top style="thin">
        <color rgb="FFC8D4E8"/>
      </top>
      <bottom style="thin">
        <color rgb="FF4472C4"/>
      </bottom>
      <diagonal/>
    </border>
    <border>
      <left style="thin">
        <color rgb="FFC0CCDD"/>
      </left>
      <right style="thin">
        <color rgb="FFC0CCDD"/>
      </right>
      <top style="thin">
        <color rgb="FFC8D4E8"/>
      </top>
      <bottom style="thin">
        <color rgb="FF4472C4"/>
      </bottom>
      <diagonal/>
    </border>
    <border>
      <left style="thin">
        <color rgb="FFC0CCDD"/>
      </left>
      <right style="medium">
        <color rgb="FF1F3864"/>
      </right>
      <top style="thin">
        <color rgb="FFC8D4E8"/>
      </top>
      <bottom style="thin">
        <color rgb="FF4472C4"/>
      </bottom>
      <diagonal/>
    </border>
    <border>
      <left/>
      <right style="thin">
        <color rgb="FFC0CCDD"/>
      </right>
      <top style="thin">
        <color rgb="FF4472C4"/>
      </top>
      <bottom style="thin">
        <color rgb="FF4472C4"/>
      </bottom>
      <diagonal/>
    </border>
    <border>
      <left style="thin">
        <color rgb="FFC0CCDD"/>
      </left>
      <right style="thin">
        <color rgb="FFC0CCDD"/>
      </right>
      <top style="thin">
        <color rgb="FF4472C4"/>
      </top>
      <bottom style="thin">
        <color rgb="FF4472C4"/>
      </bottom>
      <diagonal/>
    </border>
    <border>
      <left style="thin">
        <color rgb="FFC0CCDD"/>
      </left>
      <right style="medium">
        <color rgb="FF1F3864"/>
      </right>
      <top style="thin">
        <color rgb="FF4472C4"/>
      </top>
      <bottom style="thin">
        <color rgb="FF4472C4"/>
      </bottom>
      <diagonal/>
    </border>
    <border>
      <left/>
      <right style="thin">
        <color rgb="FFC0CCDD"/>
      </right>
      <top style="medium">
        <color rgb="FF1F3864"/>
      </top>
      <bottom/>
      <diagonal/>
    </border>
    <border>
      <left style="medium">
        <color rgb="FF1F3864"/>
      </left>
      <right style="thin">
        <color rgb="FFFFFFFF"/>
      </right>
      <top style="medium">
        <color rgb="FF1F3864"/>
      </top>
      <bottom/>
      <diagonal/>
    </border>
    <border>
      <left style="medium">
        <color rgb="FF1F3864"/>
      </left>
      <right style="thin">
        <color rgb="FFFFFFFF"/>
      </right>
      <top style="medium">
        <color rgb="FF4472C4"/>
      </top>
      <bottom/>
      <diagonal/>
    </border>
    <border>
      <left style="medium">
        <color rgb="FF1F3864"/>
      </left>
      <right style="thin">
        <color rgb="FFFFFFFF"/>
      </right>
      <top/>
      <bottom/>
      <diagonal/>
    </border>
    <border>
      <left style="medium">
        <color rgb="FF1F3864"/>
      </left>
      <right style="thin">
        <color rgb="FFFFFFFF"/>
      </right>
      <top style="thin">
        <color rgb="FFFFFFFF"/>
      </top>
      <bottom/>
      <diagonal/>
    </border>
    <border>
      <left style="medium">
        <color rgb="FF1F3864"/>
      </left>
      <right style="thin">
        <color rgb="FFFFFFFF"/>
      </right>
      <top style="thin">
        <color rgb="FFFFFFFF"/>
      </top>
      <bottom style="thin">
        <color rgb="FF4472C4"/>
      </bottom>
      <diagonal/>
    </border>
    <border>
      <left style="medium">
        <color rgb="FF1F3864"/>
      </left>
      <right style="thin">
        <color rgb="FFFFFFFF"/>
      </right>
      <top style="thin">
        <color rgb="FF4472C4"/>
      </top>
      <bottom style="thin">
        <color rgb="FF4472C4"/>
      </bottom>
      <diagonal/>
    </border>
    <border>
      <left/>
      <right style="thin">
        <color rgb="FFC0CCDD"/>
      </right>
      <top style="thin">
        <color rgb="FFC0CCDD"/>
      </top>
      <bottom style="thin">
        <color rgb="FFC0CCDD"/>
      </bottom>
      <diagonal/>
    </border>
    <border>
      <left/>
      <right/>
      <top/>
      <bottom style="thin">
        <color rgb="FF1F3864"/>
      </bottom>
      <diagonal/>
    </border>
    <border>
      <left style="thin">
        <color rgb="FF1F3864"/>
      </left>
      <right/>
      <top/>
      <bottom style="thin">
        <color rgb="FF1F3864"/>
      </bottom>
      <diagonal/>
    </border>
    <border>
      <left/>
      <right/>
      <top/>
      <bottom style="thin">
        <color rgb="FF2E75B6"/>
      </bottom>
      <diagonal/>
    </border>
    <border>
      <left style="thin">
        <color rgb="FF2E75B6"/>
      </left>
      <right/>
      <top style="thin">
        <color rgb="FF2E75B6"/>
      </top>
      <bottom/>
      <diagonal/>
    </border>
    <border>
      <left style="thin">
        <color rgb="FF2E75B6"/>
      </left>
      <right/>
      <top/>
      <bottom/>
      <diagonal/>
    </border>
    <border>
      <left style="thin">
        <color rgb="FF2E75B6"/>
      </left>
      <right/>
      <top/>
      <bottom style="thin">
        <color rgb="FF2E75B6"/>
      </bottom>
      <diagonal/>
    </border>
    <border>
      <left/>
      <right/>
      <top style="thin">
        <color rgb="FF375623"/>
      </top>
      <bottom/>
      <diagonal/>
    </border>
    <border>
      <left/>
      <right/>
      <top/>
      <bottom style="thin">
        <color rgb="FF375623"/>
      </bottom>
      <diagonal/>
    </border>
    <border>
      <left style="thin">
        <color rgb="FF375623"/>
      </left>
      <right/>
      <top style="thin">
        <color rgb="FF375623"/>
      </top>
      <bottom/>
      <diagonal/>
    </border>
    <border>
      <left style="thin">
        <color rgb="FF375623"/>
      </left>
      <right/>
      <top/>
      <bottom/>
      <diagonal/>
    </border>
    <border>
      <left style="thin">
        <color rgb="FF375623"/>
      </left>
      <right/>
      <top/>
      <bottom style="thin">
        <color rgb="FF375623"/>
      </bottom>
      <diagonal/>
    </border>
    <border>
      <left/>
      <right/>
      <top style="thin">
        <color rgb="FF843C0C"/>
      </top>
      <bottom/>
      <diagonal/>
    </border>
    <border>
      <left/>
      <right/>
      <top/>
      <bottom style="thin">
        <color rgb="FF843C0C"/>
      </bottom>
      <diagonal/>
    </border>
    <border>
      <left style="thin">
        <color rgb="FF843C0C"/>
      </left>
      <right/>
      <top style="thin">
        <color rgb="FF843C0C"/>
      </top>
      <bottom/>
      <diagonal/>
    </border>
    <border>
      <left style="thin">
        <color rgb="FF843C0C"/>
      </left>
      <right/>
      <top/>
      <bottom/>
      <diagonal/>
    </border>
    <border>
      <left style="thin">
        <color rgb="FF843C0C"/>
      </left>
      <right/>
      <top/>
      <bottom style="thin">
        <color rgb="FF843C0C"/>
      </bottom>
      <diagonal/>
    </border>
    <border>
      <left/>
      <right style="thin">
        <color rgb="FF843C0C"/>
      </right>
      <top style="thin">
        <color rgb="FF843C0C"/>
      </top>
      <bottom/>
      <diagonal/>
    </border>
    <border>
      <left/>
      <right style="thin">
        <color rgb="FF843C0C"/>
      </right>
      <top/>
      <bottom/>
      <diagonal/>
    </border>
    <border>
      <left/>
      <right style="thin">
        <color rgb="FF843C0C"/>
      </right>
      <top/>
      <bottom style="thin">
        <color rgb="FF843C0C"/>
      </bottom>
      <diagonal/>
    </border>
    <border>
      <left/>
      <right/>
      <top style="thin">
        <color rgb="FF44546A"/>
      </top>
      <bottom/>
      <diagonal/>
    </border>
    <border>
      <left/>
      <right/>
      <top/>
      <bottom style="thin">
        <color rgb="FF44546A"/>
      </bottom>
      <diagonal/>
    </border>
    <border>
      <left style="thin">
        <color rgb="FF44546A"/>
      </left>
      <right/>
      <top style="thin">
        <color rgb="FF44546A"/>
      </top>
      <bottom/>
      <diagonal/>
    </border>
    <border>
      <left style="thin">
        <color rgb="FF44546A"/>
      </left>
      <right/>
      <top/>
      <bottom/>
      <diagonal/>
    </border>
    <border>
      <left style="thin">
        <color rgb="FF44546A"/>
      </left>
      <right/>
      <top/>
      <bottom style="thin">
        <color rgb="FF44546A"/>
      </bottom>
      <diagonal/>
    </border>
    <border>
      <left/>
      <right style="thin">
        <color rgb="FF44546A"/>
      </right>
      <top style="thin">
        <color rgb="FF44546A"/>
      </top>
      <bottom/>
      <diagonal/>
    </border>
    <border>
      <left/>
      <right style="thin">
        <color rgb="FF44546A"/>
      </right>
      <top/>
      <bottom/>
      <diagonal/>
    </border>
    <border>
      <left/>
      <right style="thin">
        <color rgb="FF44546A"/>
      </right>
      <top/>
      <bottom style="thin">
        <color rgb="FF44546A"/>
      </bottom>
      <diagonal/>
    </border>
    <border>
      <left style="medium">
        <color rgb="FF44546A"/>
      </left>
      <right/>
      <top style="thin">
        <color rgb="FFC0CCDD"/>
      </top>
      <bottom style="thin">
        <color rgb="FFC0CCDD"/>
      </bottom>
      <diagonal/>
    </border>
    <border>
      <left style="medium">
        <color rgb="FF44546A"/>
      </left>
      <right/>
      <top style="thin">
        <color rgb="FFC0CCDD"/>
      </top>
      <bottom style="medium">
        <color rgb="FF44546A"/>
      </bottom>
      <diagonal/>
    </border>
    <border>
      <left/>
      <right style="thin">
        <color rgb="FFC0CCDD"/>
      </right>
      <top style="thin">
        <color rgb="FFC0CCDD"/>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thin">
        <color rgb="FFC0CCDD"/>
      </right>
      <top style="medium">
        <color rgb="FF44546A"/>
      </top>
      <bottom/>
      <diagonal/>
    </border>
    <border>
      <left/>
      <right/>
      <top/>
      <bottom style="medium">
        <color rgb="FF1F3864"/>
      </bottom>
      <diagonal/>
    </border>
    <border>
      <left style="thin">
        <color rgb="FFC8D4E8"/>
      </left>
      <right style="thin">
        <color rgb="FFC8D4E8"/>
      </right>
      <top style="thin">
        <color rgb="FF44546A"/>
      </top>
      <bottom/>
      <diagonal/>
    </border>
    <border>
      <left style="thin">
        <color rgb="FFC8D4E8"/>
      </left>
      <right style="thin">
        <color rgb="FFC8D4E8"/>
      </right>
      <top style="thin">
        <color rgb="FF44546A"/>
      </top>
      <bottom style="thin">
        <color rgb="FF1F3864"/>
      </bottom>
      <diagonal/>
    </border>
    <border>
      <left/>
      <right style="thin">
        <color rgb="FFC8D4E8"/>
      </right>
      <top style="thin">
        <color rgb="FFC8D4E8"/>
      </top>
      <bottom/>
      <diagonal/>
    </border>
    <border>
      <left style="thin">
        <color rgb="FFC8D4E8"/>
      </left>
      <right style="medium">
        <color rgb="FF1F3864"/>
      </right>
      <top style="thin">
        <color rgb="FF0F5463"/>
      </top>
      <bottom style="thin">
        <color rgb="FFC8D4E8"/>
      </bottom>
      <diagonal/>
    </border>
    <border>
      <left/>
      <right style="thin">
        <color rgb="FFC8D4E8"/>
      </right>
      <top style="thin">
        <color rgb="FF5B2C6F"/>
      </top>
      <bottom/>
      <diagonal/>
    </border>
    <border>
      <left style="thin">
        <color rgb="FFC8D4E8"/>
      </left>
      <right style="thin">
        <color rgb="FFC8D4E8"/>
      </right>
      <top style="thin">
        <color rgb="FF5B2C6F"/>
      </top>
      <bottom/>
      <diagonal/>
    </border>
    <border>
      <left style="thin">
        <color rgb="FFC8D4E8"/>
      </left>
      <right style="medium">
        <color rgb="FF1F3864"/>
      </right>
      <top style="thin">
        <color rgb="FF5B2C6F"/>
      </top>
      <bottom/>
      <diagonal/>
    </border>
    <border>
      <left/>
      <right style="thin">
        <color rgb="FFC8D4E8"/>
      </right>
      <top style="thin">
        <color rgb="FFB0B8CC"/>
      </top>
      <bottom/>
      <diagonal/>
    </border>
    <border>
      <left style="thin">
        <color rgb="FFC8D4E8"/>
      </left>
      <right style="thin">
        <color rgb="FFC8D4E8"/>
      </right>
      <top style="thin">
        <color rgb="FFB0B8CC"/>
      </top>
      <bottom/>
      <diagonal/>
    </border>
    <border>
      <left style="thin">
        <color rgb="FFC8D4E8"/>
      </left>
      <right style="medium">
        <color rgb="FF1F3864"/>
      </right>
      <top style="thin">
        <color rgb="FFB0B8CC"/>
      </top>
      <bottom/>
      <diagonal/>
    </border>
    <border>
      <left style="thin">
        <color rgb="FFC8D4E8"/>
      </left>
      <right style="medium">
        <color rgb="FF1F3864"/>
      </right>
      <top style="thin">
        <color rgb="FFC8D4E8"/>
      </top>
      <bottom style="thin">
        <color rgb="FF3D5C2A"/>
      </bottom>
      <diagonal/>
    </border>
    <border>
      <left style="thin">
        <color rgb="FFC8D4E8"/>
      </left>
      <right style="thin">
        <color rgb="FFC8D4E8"/>
      </right>
      <top style="thin">
        <color rgb="FFC8D4E8"/>
      </top>
      <bottom style="thin">
        <color rgb="FF3D5C2A"/>
      </bottom>
      <diagonal/>
    </border>
    <border>
      <left style="thin">
        <color rgb="FFC8D4E8"/>
      </left>
      <right style="thin">
        <color rgb="FFC8D4E8"/>
      </right>
      <top style="thin">
        <color rgb="FF44546A"/>
      </top>
      <bottom style="thin">
        <color rgb="FF3D5C2A"/>
      </bottom>
      <diagonal/>
    </border>
    <border>
      <left/>
      <right style="thin">
        <color rgb="FFC8D4E8"/>
      </right>
      <top style="thin">
        <color rgb="FFC8D4E8"/>
      </top>
      <bottom style="thin">
        <color rgb="FF3D5C2A"/>
      </bottom>
      <diagonal/>
    </border>
    <border>
      <left style="thin">
        <color rgb="FFC8D4E8"/>
      </left>
      <right/>
      <top style="thin">
        <color rgb="FF5B2C6F"/>
      </top>
      <bottom/>
      <diagonal/>
    </border>
    <border>
      <left style="thin">
        <color rgb="FFC8D4E8"/>
      </left>
      <right/>
      <top style="thin">
        <color rgb="FFB0B8CC"/>
      </top>
      <bottom/>
      <diagonal/>
    </border>
    <border>
      <left style="thin">
        <color rgb="FFC8D4E8"/>
      </left>
      <right/>
      <top style="thin">
        <color rgb="FFC8D4E8"/>
      </top>
      <bottom style="thin">
        <color rgb="FF3D5C2A"/>
      </bottom>
      <diagonal/>
    </border>
    <border>
      <left style="thin">
        <color rgb="FF1F3864"/>
      </left>
      <right style="thin">
        <color rgb="FFC8D4E8"/>
      </right>
      <top style="thin">
        <color rgb="FFB0B8CC"/>
      </top>
      <bottom style="thin">
        <color rgb="FFC8D4E8"/>
      </bottom>
      <diagonal/>
    </border>
    <border>
      <left style="thin">
        <color rgb="FF1F3864"/>
      </left>
      <right style="thin">
        <color rgb="FFC8D4E8"/>
      </right>
      <top style="thin">
        <color rgb="FFC8D4E8"/>
      </top>
      <bottom style="thin">
        <color rgb="FFC8D4E8"/>
      </bottom>
      <diagonal/>
    </border>
    <border>
      <left style="thin">
        <color rgb="FF1F3864"/>
      </left>
      <right style="thin">
        <color rgb="FFC8D4E8"/>
      </right>
      <top style="thin">
        <color rgb="FFC8D4E8"/>
      </top>
      <bottom/>
      <diagonal/>
    </border>
    <border>
      <left style="thin">
        <color rgb="FF1F3864"/>
      </left>
      <right style="thin">
        <color rgb="FFC8D4E8"/>
      </right>
      <top style="thin">
        <color rgb="FF0F5463"/>
      </top>
      <bottom style="thin">
        <color rgb="FFC8D4E8"/>
      </bottom>
      <diagonal/>
    </border>
    <border>
      <left style="thin">
        <color rgb="FF1F3864"/>
      </left>
      <right style="thin">
        <color rgb="FFC8D4E8"/>
      </right>
      <top style="thin">
        <color rgb="FF5B2C6F"/>
      </top>
      <bottom/>
      <diagonal/>
    </border>
    <border>
      <left style="thin">
        <color rgb="FF1F3864"/>
      </left>
      <right style="thin">
        <color rgb="FFC8D4E8"/>
      </right>
      <top style="thin">
        <color rgb="FF1F4A82"/>
      </top>
      <bottom style="thin">
        <color rgb="FFB0B8CC"/>
      </bottom>
      <diagonal/>
    </border>
    <border>
      <left style="thin">
        <color rgb="FF1F3864"/>
      </left>
      <right style="thin">
        <color rgb="FFC8D4E8"/>
      </right>
      <top style="thin">
        <color rgb="FFB0B8CC"/>
      </top>
      <bottom/>
      <diagonal/>
    </border>
    <border>
      <left style="thin">
        <color rgb="FF1F3864"/>
      </left>
      <right style="thin">
        <color rgb="FFC8D4E8"/>
      </right>
      <top style="thin">
        <color rgb="FF3D5C2A"/>
      </top>
      <bottom style="thin">
        <color rgb="FFB0B8CC"/>
      </bottom>
      <diagonal/>
    </border>
    <border>
      <left style="thin">
        <color rgb="FF1F3864"/>
      </left>
      <right style="thin">
        <color rgb="FFC8D4E8"/>
      </right>
      <top style="thin">
        <color rgb="FFC8D4E8"/>
      </top>
      <bottom style="thin">
        <color rgb="FF3D5C2A"/>
      </bottom>
      <diagonal/>
    </border>
    <border>
      <left style="thin">
        <color rgb="FF1F3864"/>
      </left>
      <right style="thin">
        <color rgb="FFC8D4E8"/>
      </right>
      <top style="thin">
        <color rgb="FF44546A"/>
      </top>
      <bottom/>
      <diagonal/>
    </border>
    <border>
      <left/>
      <right style="thin">
        <color rgb="FFC8D4E8"/>
      </right>
      <top style="thin">
        <color rgb="FF44546A"/>
      </top>
      <bottom/>
      <diagonal/>
    </border>
    <border>
      <left style="thin">
        <color rgb="FFC8D4E8"/>
      </left>
      <right style="medium">
        <color rgb="FF1F3864"/>
      </right>
      <top style="thin">
        <color rgb="FF44546A"/>
      </top>
      <bottom/>
      <diagonal/>
    </border>
    <border>
      <left style="thin">
        <color rgb="FF1F3864"/>
      </left>
      <right style="thin">
        <color rgb="FFC8D4E8"/>
      </right>
      <top style="thin">
        <color rgb="FF44546A"/>
      </top>
      <bottom style="thin">
        <color rgb="FF1F3864"/>
      </bottom>
      <diagonal/>
    </border>
    <border>
      <left/>
      <right style="thin">
        <color rgb="FFC8D4E8"/>
      </right>
      <top style="thin">
        <color rgb="FF44546A"/>
      </top>
      <bottom style="thin">
        <color rgb="FF1F3864"/>
      </bottom>
      <diagonal/>
    </border>
    <border>
      <left style="thin">
        <color rgb="FFC8D4E8"/>
      </left>
      <right style="medium">
        <color rgb="FF1F3864"/>
      </right>
      <top style="thin">
        <color rgb="FF44546A"/>
      </top>
      <bottom style="thin">
        <color rgb="FF1F3864"/>
      </bottom>
      <diagonal/>
    </border>
    <border>
      <left style="thin">
        <color rgb="FFC8D4E8"/>
      </left>
      <right/>
      <top style="thin">
        <color rgb="FF44546A"/>
      </top>
      <bottom/>
      <diagonal/>
    </border>
    <border>
      <left style="thin">
        <color rgb="FFC8D4E8"/>
      </left>
      <right/>
      <top style="thin">
        <color rgb="FF44546A"/>
      </top>
      <bottom style="thin">
        <color rgb="FF1F3864"/>
      </bottom>
      <diagonal/>
    </border>
    <border>
      <left/>
      <right style="thin">
        <color rgb="FFC8D4E8"/>
      </right>
      <top style="thin">
        <color rgb="FF1F3864"/>
      </top>
      <bottom style="thin">
        <color rgb="FFC8D4E8"/>
      </bottom>
      <diagonal/>
    </border>
    <border>
      <left/>
      <right style="thin">
        <color rgb="FFC8D4E8"/>
      </right>
      <top style="medium">
        <color rgb="FF1F3864"/>
      </top>
      <bottom/>
      <diagonal/>
    </border>
    <border>
      <left style="thin">
        <color rgb="FF1F3864"/>
      </left>
      <right style="thin">
        <color rgb="FFC8D4E8"/>
      </right>
      <top style="medium">
        <color rgb="FF1F3864"/>
      </top>
      <bottom/>
      <diagonal/>
    </border>
    <border>
      <left style="thin">
        <color rgb="FF1F3864"/>
      </left>
      <right style="thin">
        <color rgb="FFC8D4E8"/>
      </right>
      <top/>
      <bottom style="thin">
        <color rgb="FFC8D4E8"/>
      </bottom>
      <diagonal/>
    </border>
    <border>
      <left style="thin">
        <color rgb="FF1F3864"/>
      </left>
      <right style="thin">
        <color rgb="FFC8D4E8"/>
      </right>
      <top style="thin">
        <color rgb="FF1F3864"/>
      </top>
      <bottom style="thin">
        <color rgb="FFB0B8CC"/>
      </bottom>
      <diagonal/>
    </border>
    <border>
      <left/>
      <right style="thin">
        <color rgb="FFC8D4E8"/>
      </right>
      <top/>
      <bottom style="thin">
        <color rgb="FFC8D4E8"/>
      </bottom>
      <diagonal/>
    </border>
    <border>
      <left/>
      <right style="thin">
        <color rgb="FFC8D4E8"/>
      </right>
      <top style="thin">
        <color rgb="FFC8D4E8"/>
      </top>
      <bottom style="thin">
        <color rgb="FFC8D4E8"/>
      </bottom>
      <diagonal/>
    </border>
    <border>
      <left/>
      <right style="thin">
        <color rgb="FFC8D4E8"/>
      </right>
      <top style="thin">
        <color rgb="FFB0B8CC"/>
      </top>
      <bottom style="thin">
        <color rgb="FFC8D4E8"/>
      </bottom>
      <diagonal/>
    </border>
    <border>
      <left style="thin">
        <color rgb="FFC8D4E8"/>
      </left>
      <right/>
      <top style="thin">
        <color rgb="FFB0B8CC"/>
      </top>
      <bottom style="thin">
        <color rgb="FFC8D4E8"/>
      </bottom>
      <diagonal/>
    </border>
    <border>
      <left style="thin">
        <color rgb="FFC8D4E8"/>
      </left>
      <right style="thin">
        <color rgb="FFC8D4E8"/>
      </right>
      <top style="thin">
        <color rgb="FF0F5463"/>
      </top>
      <bottom style="thin">
        <color rgb="FFC8D4E8"/>
      </bottom>
      <diagonal/>
    </border>
    <border>
      <left style="thin">
        <color rgb="FFC8D4E8"/>
      </left>
      <right/>
      <top style="thin">
        <color rgb="FF0F5463"/>
      </top>
      <bottom style="thin">
        <color rgb="FFC8D4E8"/>
      </bottom>
      <diagonal/>
    </border>
    <border>
      <left/>
      <right style="thin">
        <color rgb="FFC8D4E8"/>
      </right>
      <top style="thin">
        <color rgb="FF0F5463"/>
      </top>
      <bottom style="thin">
        <color rgb="FFC8D4E8"/>
      </bottom>
      <diagonal/>
    </border>
    <border>
      <left style="thin">
        <color rgb="FFC8D4E8"/>
      </left>
      <right style="medium">
        <color rgb="FF1F3864"/>
      </right>
      <top style="thin">
        <color rgb="FF1F4A82"/>
      </top>
      <bottom style="thin">
        <color rgb="FFC8D4E8"/>
      </bottom>
      <diagonal/>
    </border>
    <border>
      <left style="thin">
        <color rgb="FFC8D4E8"/>
      </left>
      <right style="thin">
        <color rgb="FFC8D4E8"/>
      </right>
      <top style="thin">
        <color rgb="FF1F4A82"/>
      </top>
      <bottom style="thin">
        <color rgb="FFC8D4E8"/>
      </bottom>
      <diagonal/>
    </border>
    <border>
      <left style="thin">
        <color rgb="FFC8D4E8"/>
      </left>
      <right/>
      <top style="thin">
        <color rgb="FF1F4A82"/>
      </top>
      <bottom style="thin">
        <color rgb="FFC8D4E8"/>
      </bottom>
      <diagonal/>
    </border>
    <border>
      <left/>
      <right style="thin">
        <color rgb="FFC8D4E8"/>
      </right>
      <top style="thin">
        <color rgb="FF1F4A82"/>
      </top>
      <bottom style="thin">
        <color rgb="FFC8D4E8"/>
      </bottom>
      <diagonal/>
    </border>
    <border>
      <left style="thin">
        <color rgb="FFC8D4E8"/>
      </left>
      <right style="medium">
        <color rgb="FF1F3864"/>
      </right>
      <top style="thin">
        <color rgb="FF3D5C2A"/>
      </top>
      <bottom style="thin">
        <color rgb="FFC8D4E8"/>
      </bottom>
      <diagonal/>
    </border>
    <border>
      <left style="thin">
        <color rgb="FFC8D4E8"/>
      </left>
      <right style="thin">
        <color rgb="FFC8D4E8"/>
      </right>
      <top style="thin">
        <color rgb="FF3D5C2A"/>
      </top>
      <bottom style="thin">
        <color rgb="FFC8D4E8"/>
      </bottom>
      <diagonal/>
    </border>
    <border>
      <left style="thin">
        <color rgb="FFC8D4E8"/>
      </left>
      <right/>
      <top style="thin">
        <color rgb="FF3D5C2A"/>
      </top>
      <bottom style="thin">
        <color rgb="FFC8D4E8"/>
      </bottom>
      <diagonal/>
    </border>
    <border>
      <left/>
      <right style="thin">
        <color rgb="FFC8D4E8"/>
      </right>
      <top style="thin">
        <color rgb="FF3D5C2A"/>
      </top>
      <bottom style="thin">
        <color rgb="FFC8D4E8"/>
      </bottom>
      <diagonal/>
    </border>
    <border>
      <left/>
      <right style="medium">
        <color rgb="FF1F3864"/>
      </right>
      <top/>
      <bottom/>
      <diagonal/>
    </border>
    <border>
      <left style="medium">
        <color rgb="FF1F3864"/>
      </left>
      <right/>
      <top style="thin">
        <color rgb="FFC8D4E8"/>
      </top>
      <bottom style="thin">
        <color rgb="FFC8D4E8"/>
      </bottom>
      <diagonal/>
    </border>
    <border>
      <left/>
      <right/>
      <top style="thin">
        <color rgb="FFC8D4E8"/>
      </top>
      <bottom style="thin">
        <color rgb="FFC8D4E8"/>
      </bottom>
      <diagonal/>
    </border>
    <border>
      <left/>
      <right/>
      <top style="medium">
        <color rgb="FF1F3864"/>
      </top>
      <bottom/>
      <diagonal/>
    </border>
    <border>
      <left/>
      <right/>
      <top style="medium">
        <color rgb="FF843C0C"/>
      </top>
      <bottom/>
      <diagonal/>
    </border>
    <border>
      <left/>
      <right/>
      <top style="thin">
        <color rgb="FF4472C4"/>
      </top>
      <bottom/>
      <diagonal/>
    </border>
    <border>
      <left/>
      <right/>
      <top style="medium">
        <color rgb="FF4472C4"/>
      </top>
      <bottom/>
      <diagonal/>
    </border>
    <border>
      <left/>
      <right/>
      <top style="medium">
        <color rgb="FF4472C4"/>
      </top>
      <bottom style="medium">
        <color rgb="FF4472C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4472C4"/>
      </left>
      <right/>
      <top style="thin">
        <color rgb="FF2E75B6"/>
      </top>
      <bottom/>
      <diagonal/>
    </border>
    <border>
      <left/>
      <right style="medium">
        <color rgb="FF4472C4"/>
      </right>
      <top style="thin">
        <color rgb="FF2E75B6"/>
      </top>
      <bottom/>
      <diagonal/>
    </border>
    <border>
      <left style="medium">
        <color rgb="FF4472C4"/>
      </left>
      <right/>
      <top style="thin">
        <color rgb="FF4472C4"/>
      </top>
      <bottom/>
      <diagonal/>
    </border>
    <border>
      <left/>
      <right style="medium">
        <color rgb="FF4472C4"/>
      </right>
      <top style="thin">
        <color rgb="FF4472C4"/>
      </top>
      <bottom/>
      <diagonal/>
    </border>
    <border>
      <left style="medium">
        <color rgb="FF4472C4"/>
      </left>
      <right/>
      <top style="thin">
        <color rgb="FFC8D4E8"/>
      </top>
      <bottom/>
      <diagonal/>
    </border>
    <border>
      <left/>
      <right style="medium">
        <color rgb="FF4472C4"/>
      </right>
      <top style="thin">
        <color rgb="FFC8D4E8"/>
      </top>
      <bottom/>
      <diagonal/>
    </border>
    <border>
      <left style="medium">
        <color rgb="FF4472C4"/>
      </left>
      <right/>
      <top/>
      <bottom/>
      <diagonal/>
    </border>
    <border>
      <left/>
      <right style="medium">
        <color rgb="FF4472C4"/>
      </right>
      <top/>
      <bottom/>
      <diagonal/>
    </border>
    <border>
      <left style="medium">
        <color rgb="FF4472C4"/>
      </left>
      <right/>
      <top style="thin">
        <color rgb="FF1F3864"/>
      </top>
      <bottom/>
      <diagonal/>
    </border>
    <border>
      <left/>
      <right style="medium">
        <color rgb="FF4472C4"/>
      </right>
      <top style="thin">
        <color rgb="FF1F3864"/>
      </top>
      <bottom/>
      <diagonal/>
    </border>
    <border>
      <left style="thin">
        <color rgb="FF4472C4"/>
      </left>
      <right/>
      <top style="thin">
        <color rgb="FF4472C4"/>
      </top>
      <bottom/>
      <diagonal/>
    </border>
    <border>
      <left style="medium">
        <color rgb="FF4472C4"/>
      </left>
      <right style="thin">
        <color rgb="FF4472C4"/>
      </right>
      <top style="thin">
        <color rgb="FF4472C4"/>
      </top>
      <bottom/>
      <diagonal/>
    </border>
    <border>
      <left/>
      <right style="thin">
        <color rgb="FF4472C4"/>
      </right>
      <top style="thin">
        <color rgb="FF4472C4"/>
      </top>
      <bottom/>
      <diagonal/>
    </border>
    <border>
      <left style="medium">
        <color rgb="FF4472C4"/>
      </left>
      <right/>
      <top style="thin">
        <color rgb="FF4472C4"/>
      </top>
      <bottom style="medium">
        <color rgb="FF4472C4"/>
      </bottom>
      <diagonal/>
    </border>
    <border>
      <left/>
      <right/>
      <top style="thin">
        <color rgb="FF4472C4"/>
      </top>
      <bottom style="medium">
        <color rgb="FF4472C4"/>
      </bottom>
      <diagonal/>
    </border>
    <border>
      <left/>
      <right style="medium">
        <color rgb="FF4472C4"/>
      </right>
      <top style="thin">
        <color rgb="FF4472C4"/>
      </top>
      <bottom style="medium">
        <color rgb="FF4472C4"/>
      </bottom>
      <diagonal/>
    </border>
    <border>
      <left style="thin">
        <color rgb="FFC8D4E8"/>
      </left>
      <right style="thin">
        <color rgb="FFC8D4E8"/>
      </right>
      <top style="thin">
        <color rgb="FF4472C4"/>
      </top>
      <bottom style="thin">
        <color rgb="FF4472C4"/>
      </bottom>
      <diagonal/>
    </border>
    <border>
      <left style="medium">
        <color rgb="FF4472C4"/>
      </left>
      <right style="thin">
        <color rgb="FFC8D4E8"/>
      </right>
      <top style="medium">
        <color rgb="FF4472C4"/>
      </top>
      <bottom/>
      <diagonal/>
    </border>
    <border>
      <left style="thin">
        <color rgb="FFC8D4E8"/>
      </left>
      <right style="thin">
        <color rgb="FFC8D4E8"/>
      </right>
      <top style="medium">
        <color rgb="FF4472C4"/>
      </top>
      <bottom/>
      <diagonal/>
    </border>
    <border>
      <left style="thin">
        <color rgb="FFC8D4E8"/>
      </left>
      <right style="medium">
        <color rgb="FF4472C4"/>
      </right>
      <top style="medium">
        <color rgb="FF4472C4"/>
      </top>
      <bottom/>
      <diagonal/>
    </border>
    <border>
      <left style="thin">
        <color rgb="FFC8D4E8"/>
      </left>
      <right style="medium">
        <color rgb="FF4472C4"/>
      </right>
      <top style="thin">
        <color rgb="FF4472C4"/>
      </top>
      <bottom style="thin">
        <color rgb="FF4472C4"/>
      </bottom>
      <diagonal/>
    </border>
    <border>
      <left/>
      <right style="thin">
        <color rgb="FFC8D4E8"/>
      </right>
      <top style="thin">
        <color rgb="FF4472C4"/>
      </top>
      <bottom style="thin">
        <color rgb="FF4472C4"/>
      </bottom>
      <diagonal/>
    </border>
    <border>
      <left style="medium">
        <color rgb="FF4472C4"/>
      </left>
      <right style="thin">
        <color rgb="FF4472C4"/>
      </right>
      <top style="thin">
        <color rgb="FF4472C4"/>
      </top>
      <bottom style="thin">
        <color rgb="FF4472C4"/>
      </bottom>
      <diagonal/>
    </border>
    <border>
      <left/>
      <right style="thin">
        <color rgb="FFC8D4E8"/>
      </right>
      <top style="thin">
        <color rgb="FF4472C4"/>
      </top>
      <bottom/>
      <diagonal/>
    </border>
    <border>
      <left style="thin">
        <color rgb="FFC8D4E8"/>
      </left>
      <right style="thin">
        <color rgb="FFC8D4E8"/>
      </right>
      <top style="thin">
        <color rgb="FF4472C4"/>
      </top>
      <bottom/>
      <diagonal/>
    </border>
    <border>
      <left style="thin">
        <color rgb="FFC8D4E8"/>
      </left>
      <right style="medium">
        <color rgb="FF4472C4"/>
      </right>
      <top style="thin">
        <color rgb="FF4472C4"/>
      </top>
      <bottom/>
      <diagonal/>
    </border>
    <border>
      <left style="medium">
        <color rgb="FF1F3864"/>
      </left>
      <right style="thin">
        <color rgb="FFC8D4E8"/>
      </right>
      <top/>
      <bottom/>
      <diagonal/>
    </border>
    <border>
      <left style="thin">
        <color rgb="FFC8D4E8"/>
      </left>
      <right style="thin">
        <color rgb="FFC8D4E8"/>
      </right>
      <top/>
      <bottom/>
      <diagonal/>
    </border>
    <border>
      <left style="thin">
        <color rgb="FFC8D4E8"/>
      </left>
      <right style="medium">
        <color rgb="FF1F3864"/>
      </right>
      <top/>
      <bottom/>
      <diagonal/>
    </border>
    <border>
      <left style="medium">
        <color rgb="FF4472C4"/>
      </left>
      <right style="thin">
        <color rgb="FFC0CCDD"/>
      </right>
      <top style="medium">
        <color rgb="FF1F3864"/>
      </top>
      <bottom/>
      <diagonal/>
    </border>
    <border>
      <left style="thin">
        <color rgb="FFC0CCDD"/>
      </left>
      <right style="medium">
        <color rgb="FF4472C4"/>
      </right>
      <top style="medium">
        <color rgb="FF1F3864"/>
      </top>
      <bottom/>
      <diagonal/>
    </border>
    <border>
      <left style="medium">
        <color rgb="FF4472C4"/>
      </left>
      <right/>
      <top style="medium">
        <color rgb="FF1F3864"/>
      </top>
      <bottom/>
      <diagonal/>
    </border>
    <border>
      <left/>
      <right style="medium">
        <color rgb="FF4472C4"/>
      </right>
      <top style="medium">
        <color rgb="FF1F3864"/>
      </top>
      <bottom/>
      <diagonal/>
    </border>
    <border>
      <left style="thin">
        <color rgb="FF4472C4"/>
      </left>
      <right style="thin">
        <color rgb="FFC8D4E8"/>
      </right>
      <top style="thin">
        <color rgb="FF4472C4"/>
      </top>
      <bottom/>
      <diagonal/>
    </border>
    <border>
      <left style="thin">
        <color rgb="FFC8D4E8"/>
      </left>
      <right style="thin">
        <color rgb="FF4472C4"/>
      </right>
      <top style="thin">
        <color rgb="FF4472C4"/>
      </top>
      <bottom/>
      <diagonal/>
    </border>
    <border>
      <left style="medium">
        <color rgb="FF4472C4"/>
      </left>
      <right/>
      <top style="medium">
        <color rgb="FF4472C4"/>
      </top>
      <bottom/>
      <diagonal/>
    </border>
    <border>
      <left/>
      <right style="medium">
        <color rgb="FF4472C4"/>
      </right>
      <top style="medium">
        <color rgb="FF4472C4"/>
      </top>
      <bottom/>
      <diagonal/>
    </border>
    <border>
      <left style="thin">
        <color rgb="FF4472C4"/>
      </left>
      <right style="thin">
        <color rgb="FF4472C4"/>
      </right>
      <top style="thin">
        <color rgb="FF4472C4"/>
      </top>
      <bottom/>
      <diagonal/>
    </border>
    <border>
      <left style="thin">
        <color rgb="FF4472C4"/>
      </left>
      <right style="thin">
        <color rgb="FF4472C4"/>
      </right>
      <top style="thin">
        <color rgb="FF4472C4"/>
      </top>
      <bottom style="medium">
        <color rgb="FF4472C4"/>
      </bottom>
      <diagonal/>
    </border>
  </borders>
  <cellStyleXfs count="1">
    <xf numFmtId="0" fontId="0" fillId="0" borderId="0"/>
  </cellStyleXfs>
  <cellXfs count="1519">
    <xf numFmtId="0" fontId="0" fillId="0" borderId="0" xfId="0"/>
    <xf numFmtId="164" fontId="0" fillId="0" borderId="0" xfId="0" applyNumberFormat="1"/>
    <xf numFmtId="0" fontId="0" fillId="2" borderId="0" xfId="0" applyFill="1"/>
    <xf numFmtId="0" fontId="0" fillId="6" borderId="0" xfId="0" applyFill="1"/>
    <xf numFmtId="0" fontId="5" fillId="6" borderId="0" xfId="0" applyFont="1" applyFill="1" applyAlignment="1">
      <alignment horizontal="left" vertical="center"/>
    </xf>
    <xf numFmtId="0" fontId="14" fillId="5" borderId="0" xfId="0" applyFont="1" applyFill="1"/>
    <xf numFmtId="0" fontId="14" fillId="5" borderId="0" xfId="0" applyFont="1" applyFill="1" applyAlignment="1">
      <alignment horizontal="center" vertical="center"/>
    </xf>
    <xf numFmtId="0" fontId="24" fillId="2" borderId="0" xfId="0" applyFont="1" applyFill="1" applyAlignment="1">
      <alignment horizontal="center" vertical="center"/>
    </xf>
    <xf numFmtId="166" fontId="24" fillId="2" borderId="0" xfId="0" applyNumberFormat="1" applyFont="1" applyFill="1" applyAlignment="1">
      <alignment horizontal="center" vertical="center"/>
    </xf>
    <xf numFmtId="0" fontId="5" fillId="7" borderId="0" xfId="0" applyFont="1" applyFill="1" applyAlignment="1">
      <alignment horizontal="left" vertical="center"/>
    </xf>
    <xf numFmtId="0" fontId="14" fillId="5" borderId="16" xfId="0" applyFont="1" applyFill="1" applyBorder="1" applyAlignment="1">
      <alignment horizontal="center" vertical="center"/>
    </xf>
    <xf numFmtId="0" fontId="14" fillId="5" borderId="17" xfId="0" applyFont="1" applyFill="1" applyBorder="1" applyAlignment="1">
      <alignment horizontal="center" vertical="center"/>
    </xf>
    <xf numFmtId="0" fontId="14" fillId="5" borderId="18" xfId="0" applyFont="1" applyFill="1" applyBorder="1" applyAlignment="1">
      <alignment horizontal="center" vertical="center"/>
    </xf>
    <xf numFmtId="0" fontId="16" fillId="14" borderId="19" xfId="0" applyFont="1" applyFill="1" applyBorder="1" applyAlignment="1">
      <alignment horizontal="left" vertical="center"/>
    </xf>
    <xf numFmtId="4" fontId="16" fillId="14" borderId="20" xfId="0" applyNumberFormat="1" applyFont="1" applyFill="1" applyBorder="1" applyAlignment="1">
      <alignment horizontal="right" vertical="center"/>
    </xf>
    <xf numFmtId="166" fontId="16" fillId="14" borderId="20" xfId="0" applyNumberFormat="1" applyFont="1" applyFill="1" applyBorder="1" applyAlignment="1">
      <alignment horizontal="right" vertical="center"/>
    </xf>
    <xf numFmtId="166" fontId="16" fillId="14" borderId="21" xfId="0" applyNumberFormat="1" applyFont="1" applyFill="1" applyBorder="1" applyAlignment="1">
      <alignment horizontal="right" vertical="center"/>
    </xf>
    <xf numFmtId="0" fontId="16" fillId="2" borderId="19" xfId="0" applyFont="1" applyFill="1" applyBorder="1" applyAlignment="1">
      <alignment horizontal="left" vertical="center"/>
    </xf>
    <xf numFmtId="4" fontId="16" fillId="2" borderId="20" xfId="0" applyNumberFormat="1" applyFont="1" applyFill="1" applyBorder="1" applyAlignment="1">
      <alignment horizontal="right" vertical="center"/>
    </xf>
    <xf numFmtId="166" fontId="16" fillId="2" borderId="20" xfId="0" applyNumberFormat="1" applyFont="1" applyFill="1" applyBorder="1" applyAlignment="1">
      <alignment horizontal="right" vertical="center"/>
    </xf>
    <xf numFmtId="166" fontId="16" fillId="2" borderId="21" xfId="0" applyNumberFormat="1" applyFont="1" applyFill="1" applyBorder="1" applyAlignment="1">
      <alignment horizontal="right" vertical="center"/>
    </xf>
    <xf numFmtId="0" fontId="16" fillId="14" borderId="22" xfId="0" applyFont="1" applyFill="1" applyBorder="1" applyAlignment="1">
      <alignment horizontal="left" vertical="center"/>
    </xf>
    <xf numFmtId="4" fontId="16" fillId="14" borderId="23" xfId="0" applyNumberFormat="1" applyFont="1" applyFill="1" applyBorder="1" applyAlignment="1">
      <alignment horizontal="right" vertical="center"/>
    </xf>
    <xf numFmtId="166" fontId="16" fillId="14" borderId="23" xfId="0" applyNumberFormat="1" applyFont="1" applyFill="1" applyBorder="1" applyAlignment="1">
      <alignment horizontal="right" vertical="center"/>
    </xf>
    <xf numFmtId="166" fontId="16" fillId="14" borderId="24" xfId="0" applyNumberFormat="1" applyFont="1" applyFill="1" applyBorder="1" applyAlignment="1">
      <alignment horizontal="right" vertical="center"/>
    </xf>
    <xf numFmtId="167" fontId="16" fillId="14" borderId="20" xfId="0" applyNumberFormat="1" applyFont="1" applyFill="1" applyBorder="1" applyAlignment="1">
      <alignment horizontal="left" vertical="center"/>
    </xf>
    <xf numFmtId="4" fontId="16" fillId="14" borderId="21" xfId="0" applyNumberFormat="1" applyFont="1" applyFill="1" applyBorder="1" applyAlignment="1">
      <alignment horizontal="right" vertical="center"/>
    </xf>
    <xf numFmtId="167" fontId="16" fillId="2" borderId="20" xfId="0" applyNumberFormat="1" applyFont="1" applyFill="1" applyBorder="1" applyAlignment="1">
      <alignment horizontal="left" vertical="center"/>
    </xf>
    <xf numFmtId="4" fontId="16" fillId="2" borderId="21" xfId="0" applyNumberFormat="1" applyFont="1" applyFill="1" applyBorder="1" applyAlignment="1">
      <alignment horizontal="right" vertical="center"/>
    </xf>
    <xf numFmtId="0" fontId="16" fillId="2" borderId="22" xfId="0" applyFont="1" applyFill="1" applyBorder="1" applyAlignment="1">
      <alignment horizontal="left" vertical="center"/>
    </xf>
    <xf numFmtId="167" fontId="16" fillId="2" borderId="23" xfId="0" applyNumberFormat="1" applyFont="1" applyFill="1" applyBorder="1" applyAlignment="1">
      <alignment horizontal="left" vertical="center"/>
    </xf>
    <xf numFmtId="4" fontId="16" fillId="2" borderId="23" xfId="0" applyNumberFormat="1" applyFont="1" applyFill="1" applyBorder="1" applyAlignment="1">
      <alignment horizontal="right" vertical="center"/>
    </xf>
    <xf numFmtId="4" fontId="16" fillId="2" borderId="24" xfId="0" applyNumberFormat="1" applyFont="1" applyFill="1" applyBorder="1" applyAlignment="1">
      <alignment horizontal="right" vertical="center"/>
    </xf>
    <xf numFmtId="0" fontId="14" fillId="5" borderId="16" xfId="0" applyFont="1" applyFill="1" applyBorder="1" applyAlignment="1">
      <alignment horizontal="left" vertical="center"/>
    </xf>
    <xf numFmtId="0" fontId="14" fillId="5" borderId="18" xfId="0" applyFont="1" applyFill="1" applyBorder="1" applyAlignment="1">
      <alignment horizontal="left" vertical="center"/>
    </xf>
    <xf numFmtId="4" fontId="16" fillId="14" borderId="24" xfId="0" applyNumberFormat="1" applyFont="1" applyFill="1" applyBorder="1" applyAlignment="1">
      <alignment horizontal="right" vertical="center"/>
    </xf>
    <xf numFmtId="0" fontId="5" fillId="11" borderId="0" xfId="0" applyFont="1" applyFill="1" applyAlignment="1">
      <alignment horizontal="left" vertical="center"/>
    </xf>
    <xf numFmtId="0" fontId="16" fillId="14" borderId="19" xfId="0" applyFont="1" applyFill="1" applyBorder="1" applyAlignment="1">
      <alignment vertical="center"/>
    </xf>
    <xf numFmtId="4" fontId="16" fillId="14" borderId="20" xfId="0" applyNumberFormat="1" applyFont="1" applyFill="1" applyBorder="1" applyAlignment="1">
      <alignment vertical="center"/>
    </xf>
    <xf numFmtId="0" fontId="16" fillId="14" borderId="20" xfId="0" applyFont="1" applyFill="1" applyBorder="1" applyAlignment="1">
      <alignment vertical="center"/>
    </xf>
    <xf numFmtId="0" fontId="16" fillId="14" borderId="21" xfId="0" applyFont="1" applyFill="1" applyBorder="1" applyAlignment="1">
      <alignment vertical="center"/>
    </xf>
    <xf numFmtId="0" fontId="16" fillId="2" borderId="19" xfId="0" applyFont="1" applyFill="1" applyBorder="1" applyAlignment="1">
      <alignment vertical="center"/>
    </xf>
    <xf numFmtId="4" fontId="16" fillId="2" borderId="20" xfId="0" applyNumberFormat="1" applyFont="1" applyFill="1" applyBorder="1" applyAlignment="1">
      <alignment vertical="center"/>
    </xf>
    <xf numFmtId="0" fontId="16" fillId="2" borderId="20" xfId="0" applyFont="1" applyFill="1" applyBorder="1" applyAlignment="1">
      <alignment vertical="center"/>
    </xf>
    <xf numFmtId="0" fontId="7" fillId="11" borderId="0" xfId="0" applyFont="1" applyFill="1" applyAlignment="1">
      <alignment horizontal="center" vertical="center"/>
    </xf>
    <xf numFmtId="0" fontId="16" fillId="2" borderId="28" xfId="0" applyFont="1" applyFill="1" applyBorder="1" applyAlignment="1">
      <alignment vertical="center"/>
    </xf>
    <xf numFmtId="0" fontId="16" fillId="14" borderId="28" xfId="0" applyFont="1" applyFill="1" applyBorder="1" applyAlignment="1">
      <alignment vertical="center"/>
    </xf>
    <xf numFmtId="0" fontId="16" fillId="2" borderId="30" xfId="0" applyFont="1" applyFill="1" applyBorder="1" applyAlignment="1">
      <alignment vertical="center"/>
    </xf>
    <xf numFmtId="0" fontId="16" fillId="2" borderId="31" xfId="0" applyFont="1" applyFill="1" applyBorder="1" applyAlignment="1">
      <alignment vertical="center"/>
    </xf>
    <xf numFmtId="2" fontId="16" fillId="14" borderId="20" xfId="0" applyNumberFormat="1" applyFont="1" applyFill="1" applyBorder="1" applyAlignment="1">
      <alignment vertical="center"/>
    </xf>
    <xf numFmtId="2" fontId="16" fillId="2" borderId="20" xfId="0" applyNumberFormat="1" applyFont="1" applyFill="1" applyBorder="1" applyAlignment="1">
      <alignment vertical="center"/>
    </xf>
    <xf numFmtId="0" fontId="5" fillId="10" borderId="26" xfId="0" applyFont="1" applyFill="1" applyBorder="1"/>
    <xf numFmtId="0" fontId="5" fillId="10" borderId="27" xfId="0" applyFont="1" applyFill="1" applyBorder="1"/>
    <xf numFmtId="0" fontId="0" fillId="0" borderId="28" xfId="0" applyBorder="1"/>
    <xf numFmtId="0" fontId="0" fillId="0" borderId="20" xfId="0" applyBorder="1"/>
    <xf numFmtId="0" fontId="0" fillId="0" borderId="29" xfId="0" applyBorder="1"/>
    <xf numFmtId="0" fontId="16" fillId="2" borderId="29" xfId="0" applyFont="1" applyFill="1" applyBorder="1" applyAlignment="1">
      <alignment vertical="center"/>
    </xf>
    <xf numFmtId="0" fontId="16" fillId="14" borderId="29" xfId="0" applyFont="1" applyFill="1" applyBorder="1" applyAlignment="1">
      <alignment vertical="center"/>
    </xf>
    <xf numFmtId="4" fontId="16" fillId="2" borderId="31" xfId="0" applyNumberFormat="1" applyFont="1" applyFill="1" applyBorder="1" applyAlignment="1">
      <alignment vertical="center"/>
    </xf>
    <xf numFmtId="0" fontId="16" fillId="2" borderId="32" xfId="0" applyFont="1" applyFill="1" applyBorder="1" applyAlignment="1">
      <alignment vertical="center"/>
    </xf>
    <xf numFmtId="0" fontId="14" fillId="21" borderId="39" xfId="0" applyFont="1" applyFill="1" applyBorder="1" applyAlignment="1">
      <alignment horizontal="left" vertical="center"/>
    </xf>
    <xf numFmtId="0" fontId="0" fillId="5" borderId="40" xfId="0" applyFill="1" applyBorder="1" applyAlignment="1">
      <alignment horizontal="center" vertical="center"/>
    </xf>
    <xf numFmtId="1" fontId="36" fillId="2" borderId="41" xfId="0" applyNumberFormat="1" applyFont="1" applyFill="1" applyBorder="1" applyAlignment="1">
      <alignment horizontal="right" vertical="center"/>
    </xf>
    <xf numFmtId="0" fontId="14" fillId="21" borderId="42" xfId="0" applyFont="1" applyFill="1" applyBorder="1" applyAlignment="1">
      <alignment horizontal="left" vertical="center"/>
    </xf>
    <xf numFmtId="0" fontId="0" fillId="5" borderId="43" xfId="0" applyFill="1" applyBorder="1" applyAlignment="1">
      <alignment horizontal="center" vertical="center"/>
    </xf>
    <xf numFmtId="0" fontId="36" fillId="2" borderId="44" xfId="0" applyFont="1" applyFill="1" applyBorder="1" applyAlignment="1">
      <alignment horizontal="right" vertical="center"/>
    </xf>
    <xf numFmtId="4" fontId="36" fillId="2" borderId="44" xfId="0" applyNumberFormat="1" applyFont="1" applyFill="1" applyBorder="1" applyAlignment="1">
      <alignment horizontal="right" vertical="center"/>
    </xf>
    <xf numFmtId="0" fontId="14" fillId="21" borderId="45" xfId="0" applyFont="1" applyFill="1" applyBorder="1" applyAlignment="1">
      <alignment horizontal="left" vertical="center"/>
    </xf>
    <xf numFmtId="0" fontId="0" fillId="5" borderId="46" xfId="0" applyFill="1" applyBorder="1" applyAlignment="1">
      <alignment horizontal="center" vertical="center"/>
    </xf>
    <xf numFmtId="167" fontId="36" fillId="2" borderId="47" xfId="0" applyNumberFormat="1" applyFont="1" applyFill="1" applyBorder="1" applyAlignment="1">
      <alignment horizontal="right" vertical="center"/>
    </xf>
    <xf numFmtId="0" fontId="37" fillId="2" borderId="43" xfId="0" applyFont="1" applyFill="1" applyBorder="1" applyAlignment="1">
      <alignment horizontal="left" vertical="center"/>
    </xf>
    <xf numFmtId="0" fontId="14" fillId="2" borderId="42" xfId="0" applyFont="1" applyFill="1" applyBorder="1" applyAlignment="1">
      <alignment horizontal="left" vertical="center"/>
    </xf>
    <xf numFmtId="0" fontId="16" fillId="2" borderId="48" xfId="0" applyFont="1" applyFill="1" applyBorder="1" applyAlignment="1">
      <alignment vertical="center"/>
    </xf>
    <xf numFmtId="0" fontId="16" fillId="2" borderId="49" xfId="0" applyFont="1" applyFill="1" applyBorder="1" applyAlignment="1">
      <alignment vertical="center"/>
    </xf>
    <xf numFmtId="0" fontId="16" fillId="2" borderId="50" xfId="0" applyFont="1" applyFill="1" applyBorder="1" applyAlignment="1">
      <alignment vertical="center"/>
    </xf>
    <xf numFmtId="0" fontId="14" fillId="5" borderId="40" xfId="0" applyFont="1" applyFill="1" applyBorder="1" applyAlignment="1">
      <alignment horizontal="center" vertical="center"/>
    </xf>
    <xf numFmtId="0" fontId="9" fillId="23" borderId="0" xfId="0" applyFont="1" applyFill="1" applyAlignment="1">
      <alignment horizontal="center" vertical="center"/>
    </xf>
    <xf numFmtId="0" fontId="9" fillId="24" borderId="0" xfId="0" applyFont="1" applyFill="1" applyAlignment="1">
      <alignment horizontal="center" vertical="center"/>
    </xf>
    <xf numFmtId="0" fontId="39" fillId="15" borderId="0" xfId="0" applyFont="1" applyFill="1" applyAlignment="1">
      <alignment horizontal="center" vertical="center"/>
    </xf>
    <xf numFmtId="0" fontId="9" fillId="25" borderId="0" xfId="0" applyFont="1" applyFill="1" applyAlignment="1">
      <alignment horizontal="center" vertical="center"/>
    </xf>
    <xf numFmtId="0" fontId="9" fillId="26" borderId="0" xfId="0" applyFont="1" applyFill="1" applyAlignment="1">
      <alignment horizontal="center" vertical="center"/>
    </xf>
    <xf numFmtId="0" fontId="9" fillId="27" borderId="0" xfId="0" applyFont="1" applyFill="1" applyAlignment="1">
      <alignment horizontal="center" vertical="center"/>
    </xf>
    <xf numFmtId="0" fontId="37" fillId="2" borderId="43" xfId="0" applyFont="1" applyFill="1" applyBorder="1" applyAlignment="1">
      <alignment vertical="center"/>
    </xf>
    <xf numFmtId="0" fontId="37" fillId="2" borderId="43" xfId="0" applyFont="1" applyFill="1" applyBorder="1" applyAlignment="1">
      <alignment horizontal="center" vertical="center"/>
    </xf>
    <xf numFmtId="4" fontId="37" fillId="2" borderId="43" xfId="0" applyNumberFormat="1" applyFont="1" applyFill="1" applyBorder="1" applyAlignment="1">
      <alignment horizontal="right" vertical="center"/>
    </xf>
    <xf numFmtId="166" fontId="37" fillId="2" borderId="43" xfId="0" applyNumberFormat="1" applyFont="1" applyFill="1" applyBorder="1" applyAlignment="1">
      <alignment horizontal="right" vertical="center"/>
    </xf>
    <xf numFmtId="0" fontId="37" fillId="2" borderId="43" xfId="0" applyFont="1" applyFill="1" applyBorder="1" applyAlignment="1">
      <alignment horizontal="right" vertical="center"/>
    </xf>
    <xf numFmtId="0" fontId="37" fillId="19" borderId="43" xfId="0" applyFont="1" applyFill="1" applyBorder="1" applyAlignment="1">
      <alignment vertical="center"/>
    </xf>
    <xf numFmtId="0" fontId="37" fillId="19" borderId="43" xfId="0" applyFont="1" applyFill="1" applyBorder="1" applyAlignment="1">
      <alignment horizontal="center" vertical="center"/>
    </xf>
    <xf numFmtId="4" fontId="37" fillId="19" borderId="43" xfId="0" applyNumberFormat="1" applyFont="1" applyFill="1" applyBorder="1" applyAlignment="1">
      <alignment horizontal="right" vertical="center"/>
    </xf>
    <xf numFmtId="166" fontId="37" fillId="19" borderId="43" xfId="0" applyNumberFormat="1" applyFont="1" applyFill="1" applyBorder="1" applyAlignment="1">
      <alignment horizontal="right" vertical="center"/>
    </xf>
    <xf numFmtId="10" fontId="37" fillId="19" borderId="43" xfId="0" applyNumberFormat="1" applyFont="1" applyFill="1" applyBorder="1" applyAlignment="1">
      <alignment horizontal="right" vertical="center"/>
    </xf>
    <xf numFmtId="0" fontId="37" fillId="19" borderId="43" xfId="0" applyFont="1" applyFill="1" applyBorder="1" applyAlignment="1">
      <alignment horizontal="right" vertical="center"/>
    </xf>
    <xf numFmtId="0" fontId="37" fillId="19" borderId="46" xfId="0" applyFont="1" applyFill="1" applyBorder="1" applyAlignment="1">
      <alignment horizontal="right" vertical="center"/>
    </xf>
    <xf numFmtId="0" fontId="37" fillId="19" borderId="46" xfId="0" applyFont="1" applyFill="1" applyBorder="1" applyAlignment="1">
      <alignment vertical="center"/>
    </xf>
    <xf numFmtId="0" fontId="37" fillId="19" borderId="46" xfId="0" applyFont="1" applyFill="1" applyBorder="1" applyAlignment="1">
      <alignment horizontal="center" vertical="center"/>
    </xf>
    <xf numFmtId="0" fontId="37" fillId="19" borderId="47" xfId="0" applyFont="1" applyFill="1" applyBorder="1" applyAlignment="1">
      <alignment vertical="center"/>
    </xf>
    <xf numFmtId="0" fontId="37" fillId="2" borderId="43" xfId="0" applyFont="1" applyFill="1" applyBorder="1" applyAlignment="1">
      <alignment vertical="center" wrapText="1"/>
    </xf>
    <xf numFmtId="0" fontId="37" fillId="19" borderId="43" xfId="0" applyFont="1" applyFill="1" applyBorder="1" applyAlignment="1">
      <alignment vertical="center" wrapText="1"/>
    </xf>
    <xf numFmtId="0" fontId="37" fillId="2" borderId="44" xfId="0" applyFont="1" applyFill="1" applyBorder="1" applyAlignment="1">
      <alignment vertical="top" wrapText="1"/>
    </xf>
    <xf numFmtId="0" fontId="37" fillId="19" borderId="44" xfId="0" applyFont="1" applyFill="1" applyBorder="1" applyAlignment="1">
      <alignment vertical="top" wrapText="1"/>
    </xf>
    <xf numFmtId="0" fontId="37" fillId="19" borderId="47" xfId="0" applyFont="1" applyFill="1" applyBorder="1" applyAlignment="1">
      <alignment vertical="top" wrapText="1"/>
    </xf>
    <xf numFmtId="0" fontId="5" fillId="2" borderId="0" xfId="0" applyFont="1" applyFill="1" applyAlignment="1">
      <alignment horizontal="left" vertical="center"/>
    </xf>
    <xf numFmtId="0" fontId="5" fillId="16" borderId="0" xfId="0" applyFont="1" applyFill="1" applyAlignment="1">
      <alignment horizontal="left" vertical="center"/>
    </xf>
    <xf numFmtId="0" fontId="5" fillId="15" borderId="0" xfId="0" applyFont="1" applyFill="1" applyAlignment="1">
      <alignment horizontal="left" vertical="center"/>
    </xf>
    <xf numFmtId="0" fontId="14" fillId="5" borderId="39" xfId="0" applyFont="1" applyFill="1" applyBorder="1" applyAlignment="1">
      <alignment horizontal="center" vertical="center"/>
    </xf>
    <xf numFmtId="0" fontId="14" fillId="5" borderId="41" xfId="0" applyFont="1" applyFill="1" applyBorder="1" applyAlignment="1">
      <alignment horizontal="center" vertical="center"/>
    </xf>
    <xf numFmtId="0" fontId="41" fillId="2" borderId="42" xfId="0" applyFont="1" applyFill="1" applyBorder="1" applyAlignment="1">
      <alignment horizontal="left" vertical="center"/>
    </xf>
    <xf numFmtId="0" fontId="37" fillId="2" borderId="44" xfId="0" applyFont="1" applyFill="1" applyBorder="1" applyAlignment="1">
      <alignment horizontal="right" vertical="center"/>
    </xf>
    <xf numFmtId="0" fontId="41" fillId="19" borderId="42" xfId="0" applyFont="1" applyFill="1" applyBorder="1" applyAlignment="1">
      <alignment horizontal="left" vertical="center"/>
    </xf>
    <xf numFmtId="0" fontId="37" fillId="19" borderId="44" xfId="0" applyFont="1" applyFill="1" applyBorder="1" applyAlignment="1">
      <alignment horizontal="right" vertical="center"/>
    </xf>
    <xf numFmtId="0" fontId="14" fillId="5" borderId="45" xfId="0" applyFont="1" applyFill="1" applyBorder="1" applyAlignment="1">
      <alignment horizontal="left" vertical="center"/>
    </xf>
    <xf numFmtId="4" fontId="14" fillId="5" borderId="46" xfId="0" applyNumberFormat="1" applyFont="1" applyFill="1" applyBorder="1" applyAlignment="1">
      <alignment horizontal="right" vertical="center"/>
    </xf>
    <xf numFmtId="166" fontId="14" fillId="5" borderId="46" xfId="0" applyNumberFormat="1" applyFont="1" applyFill="1" applyBorder="1" applyAlignment="1">
      <alignment horizontal="right" vertical="center"/>
    </xf>
    <xf numFmtId="0" fontId="14" fillId="5" borderId="46" xfId="0" applyFont="1" applyFill="1" applyBorder="1" applyAlignment="1">
      <alignment horizontal="right" vertical="center"/>
    </xf>
    <xf numFmtId="0" fontId="14" fillId="5" borderId="47" xfId="0" applyFont="1" applyFill="1" applyBorder="1" applyAlignment="1">
      <alignment horizontal="right" vertical="center"/>
    </xf>
    <xf numFmtId="0" fontId="40" fillId="9" borderId="54" xfId="0" applyFont="1" applyFill="1" applyBorder="1" applyAlignment="1">
      <alignment horizontal="center" vertical="center"/>
    </xf>
    <xf numFmtId="0" fontId="40" fillId="9" borderId="55" xfId="0" applyFont="1" applyFill="1" applyBorder="1" applyAlignment="1">
      <alignment horizontal="center" vertical="center"/>
    </xf>
    <xf numFmtId="0" fontId="40" fillId="9" borderId="56" xfId="0" applyFont="1" applyFill="1" applyBorder="1" applyAlignment="1">
      <alignment horizontal="center" vertical="center"/>
    </xf>
    <xf numFmtId="0" fontId="41" fillId="2" borderId="57" xfId="0" applyFont="1" applyFill="1" applyBorder="1" applyAlignment="1">
      <alignment horizontal="left" vertical="center"/>
    </xf>
    <xf numFmtId="4" fontId="37" fillId="2" borderId="58" xfId="0" applyNumberFormat="1" applyFont="1" applyFill="1" applyBorder="1" applyAlignment="1">
      <alignment horizontal="right" vertical="center"/>
    </xf>
    <xf numFmtId="0" fontId="37" fillId="2" borderId="58" xfId="0" applyFont="1" applyFill="1" applyBorder="1" applyAlignment="1">
      <alignment horizontal="right" vertical="center"/>
    </xf>
    <xf numFmtId="0" fontId="37" fillId="2" borderId="59" xfId="0" applyFont="1" applyFill="1" applyBorder="1" applyAlignment="1">
      <alignment horizontal="right" vertical="center"/>
    </xf>
    <xf numFmtId="0" fontId="41" fillId="17" borderId="57" xfId="0" applyFont="1" applyFill="1" applyBorder="1" applyAlignment="1">
      <alignment horizontal="left" vertical="center"/>
    </xf>
    <xf numFmtId="4" fontId="37" fillId="17" borderId="58" xfId="0" applyNumberFormat="1" applyFont="1" applyFill="1" applyBorder="1" applyAlignment="1">
      <alignment horizontal="right" vertical="center"/>
    </xf>
    <xf numFmtId="0" fontId="37" fillId="17" borderId="58" xfId="0" applyFont="1" applyFill="1" applyBorder="1" applyAlignment="1">
      <alignment horizontal="right" vertical="center"/>
    </xf>
    <xf numFmtId="0" fontId="37" fillId="17" borderId="59" xfId="0" applyFont="1" applyFill="1" applyBorder="1" applyAlignment="1">
      <alignment horizontal="right" vertical="center"/>
    </xf>
    <xf numFmtId="0" fontId="40" fillId="9" borderId="60" xfId="0" applyFont="1" applyFill="1" applyBorder="1" applyAlignment="1">
      <alignment horizontal="left" vertical="center"/>
    </xf>
    <xf numFmtId="4" fontId="40" fillId="9" borderId="61" xfId="0" applyNumberFormat="1" applyFont="1" applyFill="1" applyBorder="1" applyAlignment="1">
      <alignment horizontal="right" vertical="center"/>
    </xf>
    <xf numFmtId="0" fontId="40" fillId="9" borderId="61" xfId="0" applyFont="1" applyFill="1" applyBorder="1" applyAlignment="1">
      <alignment horizontal="right" vertical="center"/>
    </xf>
    <xf numFmtId="0" fontId="40" fillId="9" borderId="62" xfId="0" applyFont="1" applyFill="1" applyBorder="1" applyAlignment="1">
      <alignment horizontal="right" vertical="center"/>
    </xf>
    <xf numFmtId="0" fontId="31" fillId="3" borderId="63" xfId="0" applyFont="1" applyFill="1" applyBorder="1" applyAlignment="1">
      <alignment horizontal="center" vertical="center"/>
    </xf>
    <xf numFmtId="0" fontId="31" fillId="3" borderId="64" xfId="0" applyFont="1" applyFill="1" applyBorder="1" applyAlignment="1">
      <alignment horizontal="center" vertical="center"/>
    </xf>
    <xf numFmtId="0" fontId="31" fillId="3" borderId="65" xfId="0" applyFont="1" applyFill="1" applyBorder="1" applyAlignment="1">
      <alignment horizontal="center" vertical="center"/>
    </xf>
    <xf numFmtId="0" fontId="41" fillId="2" borderId="66" xfId="0" applyFont="1" applyFill="1" applyBorder="1" applyAlignment="1">
      <alignment horizontal="left" vertical="center"/>
    </xf>
    <xf numFmtId="4" fontId="37" fillId="2" borderId="67" xfId="0" applyNumberFormat="1" applyFont="1" applyFill="1" applyBorder="1" applyAlignment="1">
      <alignment horizontal="right" vertical="center"/>
    </xf>
    <xf numFmtId="0" fontId="37" fillId="2" borderId="67" xfId="0" applyFont="1" applyFill="1" applyBorder="1" applyAlignment="1">
      <alignment horizontal="right" vertical="center"/>
    </xf>
    <xf numFmtId="0" fontId="37" fillId="2" borderId="68" xfId="0" applyFont="1" applyFill="1" applyBorder="1" applyAlignment="1">
      <alignment horizontal="right" vertical="center"/>
    </xf>
    <xf numFmtId="0" fontId="41" fillId="18" borderId="66" xfId="0" applyFont="1" applyFill="1" applyBorder="1" applyAlignment="1">
      <alignment horizontal="left" vertical="center"/>
    </xf>
    <xf numFmtId="4" fontId="37" fillId="18" borderId="67" xfId="0" applyNumberFormat="1" applyFont="1" applyFill="1" applyBorder="1" applyAlignment="1">
      <alignment horizontal="right" vertical="center"/>
    </xf>
    <xf numFmtId="0" fontId="37" fillId="18" borderId="67" xfId="0" applyFont="1" applyFill="1" applyBorder="1" applyAlignment="1">
      <alignment horizontal="right" vertical="center"/>
    </xf>
    <xf numFmtId="0" fontId="37" fillId="18" borderId="68" xfId="0" applyFont="1" applyFill="1" applyBorder="1" applyAlignment="1">
      <alignment horizontal="right" vertical="center"/>
    </xf>
    <xf numFmtId="0" fontId="31" fillId="3" borderId="69" xfId="0" applyFont="1" applyFill="1" applyBorder="1" applyAlignment="1">
      <alignment horizontal="left" vertical="center"/>
    </xf>
    <xf numFmtId="4" fontId="31" fillId="3" borderId="70" xfId="0" applyNumberFormat="1" applyFont="1" applyFill="1" applyBorder="1" applyAlignment="1">
      <alignment horizontal="right" vertical="center"/>
    </xf>
    <xf numFmtId="0" fontId="31" fillId="3" borderId="70" xfId="0" applyFont="1" applyFill="1" applyBorder="1" applyAlignment="1">
      <alignment horizontal="right" vertical="center"/>
    </xf>
    <xf numFmtId="0" fontId="31" fillId="3" borderId="71" xfId="0" applyFont="1" applyFill="1" applyBorder="1" applyAlignment="1">
      <alignment horizontal="right" vertical="center"/>
    </xf>
    <xf numFmtId="0" fontId="41" fillId="19" borderId="39" xfId="0" applyFont="1" applyFill="1" applyBorder="1" applyAlignment="1">
      <alignment horizontal="left" vertical="center"/>
    </xf>
    <xf numFmtId="0" fontId="37" fillId="19" borderId="40" xfId="0" applyFont="1" applyFill="1" applyBorder="1" applyAlignment="1">
      <alignment horizontal="right" vertical="center"/>
    </xf>
    <xf numFmtId="4" fontId="37" fillId="19" borderId="40" xfId="0" applyNumberFormat="1" applyFont="1" applyFill="1" applyBorder="1" applyAlignment="1">
      <alignment horizontal="right" vertical="center"/>
    </xf>
    <xf numFmtId="0" fontId="37" fillId="19" borderId="41" xfId="0" applyFont="1" applyFill="1" applyBorder="1" applyAlignment="1">
      <alignment horizontal="right" vertical="center"/>
    </xf>
    <xf numFmtId="0" fontId="14" fillId="4" borderId="45" xfId="0" applyFont="1" applyFill="1" applyBorder="1" applyAlignment="1">
      <alignment horizontal="left" vertical="center"/>
    </xf>
    <xf numFmtId="0" fontId="14" fillId="4" borderId="46" xfId="0" applyFont="1" applyFill="1" applyBorder="1" applyAlignment="1">
      <alignment horizontal="right" vertical="center"/>
    </xf>
    <xf numFmtId="4" fontId="14" fillId="4" borderId="46" xfId="0" applyNumberFormat="1" applyFont="1" applyFill="1" applyBorder="1" applyAlignment="1">
      <alignment horizontal="right" vertical="center"/>
    </xf>
    <xf numFmtId="0" fontId="14" fillId="4" borderId="47" xfId="0" applyFont="1" applyFill="1" applyBorder="1" applyAlignment="1">
      <alignment horizontal="right" vertical="center"/>
    </xf>
    <xf numFmtId="0" fontId="14" fillId="5" borderId="72" xfId="0" applyFont="1" applyFill="1" applyBorder="1" applyAlignment="1">
      <alignment horizontal="center" vertical="center"/>
    </xf>
    <xf numFmtId="0" fontId="14" fillId="5" borderId="73" xfId="0" applyFont="1" applyFill="1" applyBorder="1" applyAlignment="1">
      <alignment horizontal="center" vertical="center"/>
    </xf>
    <xf numFmtId="0" fontId="14" fillId="5" borderId="74" xfId="0" applyFont="1" applyFill="1" applyBorder="1" applyAlignment="1">
      <alignment horizontal="center" vertical="center"/>
    </xf>
    <xf numFmtId="0" fontId="41" fillId="19" borderId="75" xfId="0" applyFont="1" applyFill="1" applyBorder="1" applyAlignment="1">
      <alignment horizontal="left" vertical="center"/>
    </xf>
    <xf numFmtId="0" fontId="37" fillId="19" borderId="76" xfId="0" applyFont="1" applyFill="1" applyBorder="1" applyAlignment="1">
      <alignment horizontal="right" vertical="center"/>
    </xf>
    <xf numFmtId="0" fontId="41" fillId="2" borderId="75" xfId="0" applyFont="1" applyFill="1" applyBorder="1" applyAlignment="1">
      <alignment horizontal="left" vertical="center"/>
    </xf>
    <xf numFmtId="0" fontId="37" fillId="2" borderId="76" xfId="0" applyFont="1" applyFill="1" applyBorder="1" applyAlignment="1">
      <alignment horizontal="right" vertical="center"/>
    </xf>
    <xf numFmtId="0" fontId="41" fillId="19" borderId="77" xfId="0" applyFont="1" applyFill="1" applyBorder="1" applyAlignment="1">
      <alignment horizontal="left" vertical="center"/>
    </xf>
    <xf numFmtId="4" fontId="37" fillId="19" borderId="78" xfId="0" applyNumberFormat="1" applyFont="1" applyFill="1" applyBorder="1" applyAlignment="1">
      <alignment horizontal="right" vertical="center"/>
    </xf>
    <xf numFmtId="166" fontId="37" fillId="19" borderId="78" xfId="0" applyNumberFormat="1" applyFont="1" applyFill="1" applyBorder="1" applyAlignment="1">
      <alignment horizontal="right" vertical="center"/>
    </xf>
    <xf numFmtId="0" fontId="37" fillId="19" borderId="78" xfId="0" applyFont="1" applyFill="1" applyBorder="1" applyAlignment="1">
      <alignment horizontal="right" vertical="center"/>
    </xf>
    <xf numFmtId="0" fontId="37" fillId="19" borderId="79" xfId="0" applyFont="1" applyFill="1" applyBorder="1" applyAlignment="1">
      <alignment horizontal="right" vertical="center"/>
    </xf>
    <xf numFmtId="0" fontId="14" fillId="5" borderId="39" xfId="0" applyFont="1" applyFill="1" applyBorder="1" applyAlignment="1">
      <alignment horizontal="center" vertical="center" wrapText="1"/>
    </xf>
    <xf numFmtId="0" fontId="14" fillId="5" borderId="40" xfId="0" applyFont="1" applyFill="1" applyBorder="1" applyAlignment="1">
      <alignment horizontal="center" vertical="center" wrapText="1"/>
    </xf>
    <xf numFmtId="0" fontId="14" fillId="5" borderId="41" xfId="0" applyFont="1" applyFill="1" applyBorder="1" applyAlignment="1">
      <alignment horizontal="center" vertical="center" wrapText="1"/>
    </xf>
    <xf numFmtId="0" fontId="41" fillId="19" borderId="42" xfId="0" applyFont="1" applyFill="1" applyBorder="1" applyAlignment="1">
      <alignment horizontal="center" vertical="center"/>
    </xf>
    <xf numFmtId="0" fontId="41" fillId="2" borderId="42" xfId="0" applyFont="1" applyFill="1" applyBorder="1" applyAlignment="1">
      <alignment horizontal="center" vertical="center"/>
    </xf>
    <xf numFmtId="0" fontId="5" fillId="7" borderId="39" xfId="0" applyFont="1" applyFill="1" applyBorder="1" applyAlignment="1">
      <alignment horizontal="center" vertical="center"/>
    </xf>
    <xf numFmtId="0" fontId="40" fillId="9" borderId="54" xfId="0" applyFont="1" applyFill="1" applyBorder="1" applyAlignment="1">
      <alignment horizontal="center" vertical="center" wrapText="1"/>
    </xf>
    <xf numFmtId="0" fontId="40" fillId="9" borderId="55" xfId="0" applyFont="1" applyFill="1" applyBorder="1" applyAlignment="1">
      <alignment horizontal="center" vertical="center" wrapText="1"/>
    </xf>
    <xf numFmtId="0" fontId="40" fillId="9" borderId="56" xfId="0" applyFont="1" applyFill="1" applyBorder="1" applyAlignment="1">
      <alignment horizontal="center" vertical="center" wrapText="1"/>
    </xf>
    <xf numFmtId="0" fontId="41" fillId="17" borderId="57" xfId="0" applyFont="1" applyFill="1" applyBorder="1" applyAlignment="1">
      <alignment horizontal="center" vertical="center"/>
    </xf>
    <xf numFmtId="0" fontId="37" fillId="17" borderId="58" xfId="0" applyFont="1" applyFill="1" applyBorder="1" applyAlignment="1">
      <alignment vertical="center"/>
    </xf>
    <xf numFmtId="0" fontId="37" fillId="17" borderId="58" xfId="0" applyFont="1" applyFill="1" applyBorder="1" applyAlignment="1">
      <alignment vertical="center" wrapText="1"/>
    </xf>
    <xf numFmtId="166" fontId="37" fillId="17" borderId="58" xfId="0" applyNumberFormat="1" applyFont="1" applyFill="1" applyBorder="1" applyAlignment="1">
      <alignment horizontal="right" vertical="center"/>
    </xf>
    <xf numFmtId="10" fontId="37" fillId="17" borderId="58" xfId="0" applyNumberFormat="1" applyFont="1" applyFill="1" applyBorder="1" applyAlignment="1">
      <alignment horizontal="right" vertical="center"/>
    </xf>
    <xf numFmtId="167" fontId="37" fillId="17" borderId="58" xfId="0" applyNumberFormat="1" applyFont="1" applyFill="1" applyBorder="1" applyAlignment="1">
      <alignment vertical="center"/>
    </xf>
    <xf numFmtId="0" fontId="37" fillId="17" borderId="59" xfId="0" applyFont="1" applyFill="1" applyBorder="1" applyAlignment="1">
      <alignment vertical="center"/>
    </xf>
    <xf numFmtId="0" fontId="41" fillId="2" borderId="57" xfId="0" applyFont="1" applyFill="1" applyBorder="1" applyAlignment="1">
      <alignment horizontal="center" vertical="center"/>
    </xf>
    <xf numFmtId="0" fontId="37" fillId="2" borderId="58" xfId="0" applyFont="1" applyFill="1" applyBorder="1" applyAlignment="1">
      <alignment vertical="center"/>
    </xf>
    <xf numFmtId="0" fontId="37" fillId="2" borderId="58" xfId="0" applyFont="1" applyFill="1" applyBorder="1" applyAlignment="1">
      <alignment vertical="center" wrapText="1"/>
    </xf>
    <xf numFmtId="166" fontId="37" fillId="2" borderId="58" xfId="0" applyNumberFormat="1" applyFont="1" applyFill="1" applyBorder="1" applyAlignment="1">
      <alignment horizontal="right" vertical="center"/>
    </xf>
    <xf numFmtId="10" fontId="37" fillId="2" borderId="58" xfId="0" applyNumberFormat="1" applyFont="1" applyFill="1" applyBorder="1" applyAlignment="1">
      <alignment horizontal="right" vertical="center"/>
    </xf>
    <xf numFmtId="167" fontId="37" fillId="2" borderId="58" xfId="0" applyNumberFormat="1" applyFont="1" applyFill="1" applyBorder="1" applyAlignment="1">
      <alignment vertical="center"/>
    </xf>
    <xf numFmtId="0" fontId="37" fillId="2" borderId="59" xfId="0" applyFont="1" applyFill="1" applyBorder="1" applyAlignment="1">
      <alignment vertical="center"/>
    </xf>
    <xf numFmtId="0" fontId="3" fillId="2" borderId="1" xfId="0" applyFont="1" applyFill="1" applyBorder="1" applyAlignment="1">
      <alignment horizontal="center" vertical="center"/>
    </xf>
    <xf numFmtId="164" fontId="2" fillId="2" borderId="1" xfId="0" applyNumberFormat="1" applyFont="1" applyFill="1" applyBorder="1" applyAlignment="1">
      <alignment horizontal="center" vertical="center"/>
    </xf>
    <xf numFmtId="165" fontId="1" fillId="2" borderId="1" xfId="0" applyNumberFormat="1" applyFont="1" applyFill="1" applyBorder="1" applyAlignment="1">
      <alignment horizontal="right" vertical="center"/>
    </xf>
    <xf numFmtId="0" fontId="32" fillId="5" borderId="72" xfId="0" applyFont="1" applyFill="1" applyBorder="1" applyAlignment="1">
      <alignment horizontal="center" vertical="center" wrapText="1"/>
    </xf>
    <xf numFmtId="0" fontId="32" fillId="5" borderId="73" xfId="0" applyFont="1" applyFill="1" applyBorder="1" applyAlignment="1">
      <alignment horizontal="center" vertical="center" wrapText="1"/>
    </xf>
    <xf numFmtId="0" fontId="32" fillId="20" borderId="73" xfId="0" applyFont="1" applyFill="1" applyBorder="1" applyAlignment="1">
      <alignment horizontal="center" vertical="center" wrapText="1"/>
    </xf>
    <xf numFmtId="0" fontId="49" fillId="28" borderId="73" xfId="0" applyFont="1" applyFill="1" applyBorder="1" applyAlignment="1">
      <alignment horizontal="center" vertical="center" wrapText="1"/>
    </xf>
    <xf numFmtId="0" fontId="50" fillId="29" borderId="73" xfId="0" applyFont="1" applyFill="1" applyBorder="1" applyAlignment="1">
      <alignment horizontal="center" vertical="center" wrapText="1"/>
    </xf>
    <xf numFmtId="0" fontId="32" fillId="30" borderId="74" xfId="0" applyFont="1" applyFill="1" applyBorder="1" applyAlignment="1">
      <alignment horizontal="center" vertical="center" wrapText="1"/>
    </xf>
    <xf numFmtId="0" fontId="48" fillId="2" borderId="75" xfId="0" applyFont="1" applyFill="1" applyBorder="1" applyAlignment="1">
      <alignment horizontal="center" vertical="center"/>
    </xf>
    <xf numFmtId="167" fontId="47" fillId="2" borderId="43" xfId="0" applyNumberFormat="1" applyFont="1" applyFill="1" applyBorder="1" applyAlignment="1">
      <alignment horizontal="center" vertical="center"/>
    </xf>
    <xf numFmtId="0" fontId="47" fillId="2" borderId="43" xfId="0" applyFont="1" applyFill="1" applyBorder="1" applyAlignment="1">
      <alignment horizontal="center" vertical="center"/>
    </xf>
    <xf numFmtId="0" fontId="48" fillId="19" borderId="75" xfId="0" applyFont="1" applyFill="1" applyBorder="1" applyAlignment="1">
      <alignment horizontal="center" vertical="center"/>
    </xf>
    <xf numFmtId="167" fontId="47" fillId="19" borderId="43" xfId="0" applyNumberFormat="1" applyFont="1" applyFill="1" applyBorder="1" applyAlignment="1">
      <alignment horizontal="center" vertical="center"/>
    </xf>
    <xf numFmtId="0" fontId="47" fillId="19" borderId="43" xfId="0" applyFont="1" applyFill="1" applyBorder="1" applyAlignment="1">
      <alignment horizontal="center" vertical="center"/>
    </xf>
    <xf numFmtId="0" fontId="41" fillId="19" borderId="45" xfId="0" applyFont="1" applyFill="1" applyBorder="1" applyAlignment="1">
      <alignment horizontal="center" vertical="center"/>
    </xf>
    <xf numFmtId="0" fontId="38" fillId="19" borderId="40" xfId="0" applyFont="1" applyFill="1" applyBorder="1" applyAlignment="1">
      <alignment horizontal="left" vertical="center"/>
    </xf>
    <xf numFmtId="0" fontId="38" fillId="19" borderId="41" xfId="0" applyFont="1" applyFill="1" applyBorder="1" applyAlignment="1">
      <alignment horizontal="left" vertical="center"/>
    </xf>
    <xf numFmtId="0" fontId="13" fillId="4" borderId="43" xfId="0" applyFont="1" applyFill="1" applyBorder="1" applyAlignment="1">
      <alignment horizontal="left" vertical="center"/>
    </xf>
    <xf numFmtId="0" fontId="13" fillId="4" borderId="44" xfId="0" applyFont="1" applyFill="1" applyBorder="1" applyAlignment="1">
      <alignment horizontal="left" vertical="center"/>
    </xf>
    <xf numFmtId="0" fontId="14" fillId="5" borderId="20" xfId="0" applyFont="1" applyFill="1" applyBorder="1" applyAlignment="1">
      <alignment vertical="center"/>
    </xf>
    <xf numFmtId="0" fontId="16" fillId="2" borderId="83" xfId="0" applyFont="1" applyFill="1" applyBorder="1" applyAlignment="1">
      <alignment vertical="center"/>
    </xf>
    <xf numFmtId="0" fontId="16" fillId="2" borderId="84" xfId="0" applyFont="1" applyFill="1" applyBorder="1" applyAlignment="1">
      <alignment vertical="center"/>
    </xf>
    <xf numFmtId="0" fontId="37" fillId="19" borderId="43" xfId="0" applyFont="1" applyFill="1" applyBorder="1" applyAlignment="1">
      <alignment horizontal="left" vertical="center"/>
    </xf>
    <xf numFmtId="0" fontId="41" fillId="19" borderId="43" xfId="0" applyFont="1" applyFill="1" applyBorder="1" applyAlignment="1">
      <alignment horizontal="center" vertical="center"/>
    </xf>
    <xf numFmtId="0" fontId="41" fillId="2" borderId="43" xfId="0" applyFont="1" applyFill="1" applyBorder="1" applyAlignment="1">
      <alignment horizontal="center" vertical="center"/>
    </xf>
    <xf numFmtId="0" fontId="41" fillId="19" borderId="45" xfId="0" applyFont="1" applyFill="1" applyBorder="1" applyAlignment="1">
      <alignment horizontal="left" vertical="center"/>
    </xf>
    <xf numFmtId="4" fontId="37" fillId="19" borderId="46" xfId="0" applyNumberFormat="1" applyFont="1" applyFill="1" applyBorder="1" applyAlignment="1">
      <alignment horizontal="right" vertical="center"/>
    </xf>
    <xf numFmtId="0" fontId="41" fillId="19" borderId="46" xfId="0" applyFont="1" applyFill="1" applyBorder="1" applyAlignment="1">
      <alignment horizontal="center" vertical="center"/>
    </xf>
    <xf numFmtId="0" fontId="31" fillId="3" borderId="93" xfId="0" applyFont="1" applyFill="1" applyBorder="1" applyAlignment="1">
      <alignment horizontal="center" vertical="center"/>
    </xf>
    <xf numFmtId="0" fontId="31" fillId="3" borderId="94" xfId="0" applyFont="1" applyFill="1" applyBorder="1" applyAlignment="1">
      <alignment horizontal="center" vertical="center"/>
    </xf>
    <xf numFmtId="0" fontId="31" fillId="3" borderId="95" xfId="0" applyFont="1" applyFill="1" applyBorder="1" applyAlignment="1">
      <alignment horizontal="center" vertical="center"/>
    </xf>
    <xf numFmtId="0" fontId="41" fillId="19" borderId="96" xfId="0" applyFont="1" applyFill="1" applyBorder="1" applyAlignment="1">
      <alignment horizontal="left" vertical="center"/>
    </xf>
    <xf numFmtId="0" fontId="37" fillId="19" borderId="43" xfId="0" applyFont="1" applyFill="1" applyBorder="1" applyAlignment="1">
      <alignment horizontal="left" vertical="center" wrapText="1"/>
    </xf>
    <xf numFmtId="3" fontId="37" fillId="19" borderId="43" xfId="0" applyNumberFormat="1" applyFont="1" applyFill="1" applyBorder="1" applyAlignment="1">
      <alignment horizontal="center" vertical="center"/>
    </xf>
    <xf numFmtId="0" fontId="37" fillId="19" borderId="97" xfId="0" applyFont="1" applyFill="1" applyBorder="1" applyAlignment="1">
      <alignment horizontal="center" vertical="center"/>
    </xf>
    <xf numFmtId="0" fontId="41" fillId="2" borderId="96" xfId="0" applyFont="1" applyFill="1" applyBorder="1" applyAlignment="1">
      <alignment horizontal="left" vertical="center"/>
    </xf>
    <xf numFmtId="0" fontId="37" fillId="2" borderId="43" xfId="0" applyFont="1" applyFill="1" applyBorder="1" applyAlignment="1">
      <alignment horizontal="left" vertical="center" wrapText="1"/>
    </xf>
    <xf numFmtId="3" fontId="37" fillId="2" borderId="43" xfId="0" applyNumberFormat="1" applyFont="1" applyFill="1" applyBorder="1" applyAlignment="1">
      <alignment horizontal="center" vertical="center"/>
    </xf>
    <xf numFmtId="0" fontId="37" fillId="2" borderId="97" xfId="0" applyFont="1" applyFill="1" applyBorder="1" applyAlignment="1">
      <alignment horizontal="center" vertical="center"/>
    </xf>
    <xf numFmtId="0" fontId="41" fillId="2" borderId="98" xfId="0" applyFont="1" applyFill="1" applyBorder="1" applyAlignment="1">
      <alignment horizontal="left" vertical="center"/>
    </xf>
    <xf numFmtId="0" fontId="37" fillId="2" borderId="99" xfId="0" applyFont="1" applyFill="1" applyBorder="1" applyAlignment="1">
      <alignment horizontal="left" vertical="center"/>
    </xf>
    <xf numFmtId="0" fontId="37" fillId="2" borderId="99" xfId="0" applyFont="1" applyFill="1" applyBorder="1" applyAlignment="1">
      <alignment horizontal="left" vertical="center" wrapText="1"/>
    </xf>
    <xf numFmtId="4" fontId="37" fillId="2" borderId="99" xfId="0" applyNumberFormat="1" applyFont="1" applyFill="1" applyBorder="1" applyAlignment="1">
      <alignment horizontal="right" vertical="center"/>
    </xf>
    <xf numFmtId="166" fontId="37" fillId="2" borderId="99" xfId="0" applyNumberFormat="1" applyFont="1" applyFill="1" applyBorder="1" applyAlignment="1">
      <alignment horizontal="right" vertical="center"/>
    </xf>
    <xf numFmtId="0" fontId="41" fillId="2" borderId="99" xfId="0" applyFont="1" applyFill="1" applyBorder="1" applyAlignment="1">
      <alignment horizontal="center" vertical="center"/>
    </xf>
    <xf numFmtId="3" fontId="37" fillId="2" borderId="99" xfId="0" applyNumberFormat="1" applyFont="1" applyFill="1" applyBorder="1" applyAlignment="1">
      <alignment horizontal="center" vertical="center"/>
    </xf>
    <xf numFmtId="0" fontId="37" fillId="2" borderId="100" xfId="0" applyFont="1" applyFill="1" applyBorder="1" applyAlignment="1">
      <alignment horizontal="center" vertical="center"/>
    </xf>
    <xf numFmtId="0" fontId="40" fillId="9" borderId="101" xfId="0" applyFont="1" applyFill="1" applyBorder="1" applyAlignment="1">
      <alignment horizontal="center" vertical="center"/>
    </xf>
    <xf numFmtId="0" fontId="40" fillId="9" borderId="102" xfId="0" applyFont="1" applyFill="1" applyBorder="1" applyAlignment="1">
      <alignment horizontal="center" vertical="center"/>
    </xf>
    <xf numFmtId="0" fontId="40" fillId="9" borderId="103" xfId="0" applyFont="1" applyFill="1" applyBorder="1" applyAlignment="1">
      <alignment horizontal="center" vertical="center"/>
    </xf>
    <xf numFmtId="0" fontId="41" fillId="19" borderId="104" xfId="0" applyFont="1" applyFill="1" applyBorder="1" applyAlignment="1">
      <alignment horizontal="left" vertical="center"/>
    </xf>
    <xf numFmtId="0" fontId="37" fillId="19" borderId="58" xfId="0" applyFont="1" applyFill="1" applyBorder="1" applyAlignment="1">
      <alignment horizontal="left" vertical="center"/>
    </xf>
    <xf numFmtId="0" fontId="37" fillId="19" borderId="58" xfId="0" applyFont="1" applyFill="1" applyBorder="1" applyAlignment="1">
      <alignment horizontal="left" vertical="center" wrapText="1"/>
    </xf>
    <xf numFmtId="167" fontId="37" fillId="19" borderId="58" xfId="0" applyNumberFormat="1" applyFont="1" applyFill="1" applyBorder="1" applyAlignment="1">
      <alignment horizontal="center" vertical="center"/>
    </xf>
    <xf numFmtId="3" fontId="37" fillId="19" borderId="58" xfId="0" applyNumberFormat="1" applyFont="1" applyFill="1" applyBorder="1" applyAlignment="1">
      <alignment horizontal="center" vertical="center"/>
    </xf>
    <xf numFmtId="0" fontId="41" fillId="19" borderId="58" xfId="0" applyFont="1" applyFill="1" applyBorder="1" applyAlignment="1">
      <alignment horizontal="center" vertical="center"/>
    </xf>
    <xf numFmtId="0" fontId="37" fillId="19" borderId="105" xfId="0" applyFont="1" applyFill="1" applyBorder="1" applyAlignment="1">
      <alignment horizontal="center" vertical="center"/>
    </xf>
    <xf numFmtId="0" fontId="41" fillId="2" borderId="104" xfId="0" applyFont="1" applyFill="1" applyBorder="1" applyAlignment="1">
      <alignment horizontal="left" vertical="center"/>
    </xf>
    <xf numFmtId="0" fontId="37" fillId="2" borderId="58" xfId="0" applyFont="1" applyFill="1" applyBorder="1" applyAlignment="1">
      <alignment horizontal="left" vertical="center"/>
    </xf>
    <xf numFmtId="0" fontId="37" fillId="2" borderId="58" xfId="0" applyFont="1" applyFill="1" applyBorder="1" applyAlignment="1">
      <alignment horizontal="left" vertical="center" wrapText="1"/>
    </xf>
    <xf numFmtId="167" fontId="37" fillId="2" borderId="58" xfId="0" applyNumberFormat="1" applyFont="1" applyFill="1" applyBorder="1" applyAlignment="1">
      <alignment horizontal="center" vertical="center"/>
    </xf>
    <xf numFmtId="3" fontId="37" fillId="2" borderId="58" xfId="0" applyNumberFormat="1" applyFont="1" applyFill="1" applyBorder="1" applyAlignment="1">
      <alignment horizontal="center" vertical="center"/>
    </xf>
    <xf numFmtId="0" fontId="41" fillId="2" borderId="58" xfId="0" applyFont="1" applyFill="1" applyBorder="1" applyAlignment="1">
      <alignment horizontal="center" vertical="center"/>
    </xf>
    <xf numFmtId="0" fontId="37" fillId="2" borderId="105" xfId="0" applyFont="1" applyFill="1" applyBorder="1" applyAlignment="1">
      <alignment horizontal="center" vertical="center"/>
    </xf>
    <xf numFmtId="0" fontId="41" fillId="2" borderId="106" xfId="0" applyFont="1" applyFill="1" applyBorder="1" applyAlignment="1">
      <alignment horizontal="left" vertical="center"/>
    </xf>
    <xf numFmtId="0" fontId="37" fillId="2" borderId="107" xfId="0" applyFont="1" applyFill="1" applyBorder="1" applyAlignment="1">
      <alignment horizontal="left" vertical="center"/>
    </xf>
    <xf numFmtId="0" fontId="37" fillId="2" borderId="107" xfId="0" applyFont="1" applyFill="1" applyBorder="1" applyAlignment="1">
      <alignment horizontal="left" vertical="center" wrapText="1"/>
    </xf>
    <xf numFmtId="167" fontId="37" fillId="2" borderId="107" xfId="0" applyNumberFormat="1" applyFont="1" applyFill="1" applyBorder="1" applyAlignment="1">
      <alignment horizontal="center" vertical="center"/>
    </xf>
    <xf numFmtId="3" fontId="37" fillId="2" borderId="107" xfId="0" applyNumberFormat="1" applyFont="1" applyFill="1" applyBorder="1" applyAlignment="1">
      <alignment horizontal="center" vertical="center"/>
    </xf>
    <xf numFmtId="0" fontId="41" fillId="2" borderId="107" xfId="0" applyFont="1" applyFill="1" applyBorder="1" applyAlignment="1">
      <alignment horizontal="center" vertical="center"/>
    </xf>
    <xf numFmtId="0" fontId="37" fillId="2" borderId="108" xfId="0" applyFont="1" applyFill="1" applyBorder="1" applyAlignment="1">
      <alignment horizontal="center" vertical="center"/>
    </xf>
    <xf numFmtId="0" fontId="40" fillId="9" borderId="101" xfId="0" applyFont="1" applyFill="1" applyBorder="1" applyAlignment="1">
      <alignment horizontal="left" vertical="center"/>
    </xf>
    <xf numFmtId="0" fontId="40" fillId="9" borderId="102" xfId="0" applyFont="1" applyFill="1" applyBorder="1" applyAlignment="1">
      <alignment horizontal="left" vertical="center"/>
    </xf>
    <xf numFmtId="0" fontId="40" fillId="9" borderId="103" xfId="0" applyFont="1" applyFill="1" applyBorder="1" applyAlignment="1">
      <alignment horizontal="left" vertical="center"/>
    </xf>
    <xf numFmtId="0" fontId="41" fillId="17" borderId="104" xfId="0" applyFont="1" applyFill="1" applyBorder="1" applyAlignment="1">
      <alignment horizontal="left" vertical="center"/>
    </xf>
    <xf numFmtId="0" fontId="37" fillId="17" borderId="58" xfId="0" applyFont="1" applyFill="1" applyBorder="1" applyAlignment="1">
      <alignment horizontal="left" vertical="center"/>
    </xf>
    <xf numFmtId="0" fontId="37" fillId="17" borderId="105" xfId="0" applyFont="1" applyFill="1" applyBorder="1" applyAlignment="1">
      <alignment horizontal="left" vertical="center"/>
    </xf>
    <xf numFmtId="0" fontId="37" fillId="2" borderId="105" xfId="0" applyFont="1" applyFill="1" applyBorder="1" applyAlignment="1">
      <alignment horizontal="left" vertical="center"/>
    </xf>
    <xf numFmtId="0" fontId="41" fillId="17" borderId="106" xfId="0" applyFont="1" applyFill="1" applyBorder="1" applyAlignment="1">
      <alignment horizontal="left" vertical="center"/>
    </xf>
    <xf numFmtId="0" fontId="37" fillId="17" borderId="107" xfId="0" applyFont="1" applyFill="1" applyBorder="1" applyAlignment="1">
      <alignment horizontal="right" vertical="center"/>
    </xf>
    <xf numFmtId="0" fontId="37" fillId="17" borderId="107" xfId="0" applyFont="1" applyFill="1" applyBorder="1" applyAlignment="1">
      <alignment horizontal="left" vertical="center"/>
    </xf>
    <xf numFmtId="0" fontId="37" fillId="17" borderId="108" xfId="0" applyFont="1" applyFill="1" applyBorder="1" applyAlignment="1">
      <alignment horizontal="left" vertical="center"/>
    </xf>
    <xf numFmtId="0" fontId="5" fillId="15" borderId="26" xfId="0" applyFont="1" applyFill="1" applyBorder="1"/>
    <xf numFmtId="0" fontId="5" fillId="32" borderId="26" xfId="0" applyFont="1" applyFill="1" applyBorder="1"/>
    <xf numFmtId="0" fontId="5" fillId="33" borderId="26" xfId="0" applyFont="1" applyFill="1" applyBorder="1"/>
    <xf numFmtId="0" fontId="33" fillId="15" borderId="20" xfId="0" applyFont="1" applyFill="1" applyBorder="1" applyAlignment="1">
      <alignment vertical="center"/>
    </xf>
    <xf numFmtId="0" fontId="33" fillId="32" borderId="20" xfId="0" applyFont="1" applyFill="1" applyBorder="1" applyAlignment="1">
      <alignment vertical="center"/>
    </xf>
    <xf numFmtId="0" fontId="33" fillId="33" borderId="20" xfId="0" applyFont="1" applyFill="1" applyBorder="1" applyAlignment="1">
      <alignment vertical="center"/>
    </xf>
    <xf numFmtId="10" fontId="53" fillId="4" borderId="20" xfId="0" applyNumberFormat="1" applyFont="1" applyFill="1" applyBorder="1"/>
    <xf numFmtId="166" fontId="53" fillId="4" borderId="20" xfId="0" applyNumberFormat="1" applyFont="1" applyFill="1" applyBorder="1"/>
    <xf numFmtId="166" fontId="54" fillId="4" borderId="20" xfId="0" applyNumberFormat="1" applyFont="1" applyFill="1" applyBorder="1" applyAlignment="1">
      <alignment vertical="center"/>
    </xf>
    <xf numFmtId="0" fontId="5" fillId="11" borderId="25" xfId="0" applyFont="1" applyFill="1" applyBorder="1"/>
    <xf numFmtId="0" fontId="33" fillId="11" borderId="28" xfId="0" applyFont="1" applyFill="1" applyBorder="1" applyAlignment="1">
      <alignment vertical="center"/>
    </xf>
    <xf numFmtId="0" fontId="14" fillId="5" borderId="28" xfId="0" applyFont="1" applyFill="1" applyBorder="1" applyAlignment="1">
      <alignment vertical="center"/>
    </xf>
    <xf numFmtId="0" fontId="33" fillId="6" borderId="19" xfId="0" applyFont="1" applyFill="1" applyBorder="1" applyAlignment="1">
      <alignment horizontal="left" vertical="center"/>
    </xf>
    <xf numFmtId="0" fontId="33" fillId="35" borderId="19" xfId="0" applyFont="1" applyFill="1" applyBorder="1" applyAlignment="1">
      <alignment horizontal="left" vertical="center"/>
    </xf>
    <xf numFmtId="0" fontId="33" fillId="36" borderId="19" xfId="0" applyFont="1" applyFill="1" applyBorder="1" applyAlignment="1">
      <alignment horizontal="left" vertical="center"/>
    </xf>
    <xf numFmtId="0" fontId="33" fillId="37" borderId="19" xfId="0" applyFont="1" applyFill="1" applyBorder="1" applyAlignment="1">
      <alignment horizontal="left" vertical="center"/>
    </xf>
    <xf numFmtId="0" fontId="33" fillId="38" borderId="22" xfId="0" applyFont="1" applyFill="1" applyBorder="1" applyAlignment="1">
      <alignment horizontal="left" vertical="center"/>
    </xf>
    <xf numFmtId="0" fontId="33" fillId="6" borderId="21" xfId="0" applyFont="1" applyFill="1" applyBorder="1" applyAlignment="1">
      <alignment horizontal="center" vertical="center"/>
    </xf>
    <xf numFmtId="0" fontId="33" fillId="7" borderId="21" xfId="0" applyFont="1" applyFill="1" applyBorder="1" applyAlignment="1">
      <alignment horizontal="center" vertical="center"/>
    </xf>
    <xf numFmtId="0" fontId="33" fillId="15" borderId="21" xfId="0" applyFont="1" applyFill="1" applyBorder="1" applyAlignment="1">
      <alignment horizontal="center" vertical="center"/>
    </xf>
    <xf numFmtId="0" fontId="33" fillId="42" borderId="21" xfId="0" applyFont="1" applyFill="1" applyBorder="1" applyAlignment="1">
      <alignment horizontal="center" vertical="center"/>
    </xf>
    <xf numFmtId="0" fontId="33" fillId="32" borderId="21" xfId="0" applyFont="1" applyFill="1" applyBorder="1" applyAlignment="1">
      <alignment horizontal="center" vertical="center"/>
    </xf>
    <xf numFmtId="0" fontId="33" fillId="11" borderId="21" xfId="0" applyFont="1" applyFill="1" applyBorder="1" applyAlignment="1">
      <alignment horizontal="center" vertical="center"/>
    </xf>
    <xf numFmtId="0" fontId="33" fillId="16" borderId="21" xfId="0" applyFont="1" applyFill="1" applyBorder="1" applyAlignment="1">
      <alignment horizontal="center" vertical="center"/>
    </xf>
    <xf numFmtId="0" fontId="33" fillId="6" borderId="117" xfId="0" applyFont="1" applyFill="1" applyBorder="1" applyAlignment="1">
      <alignment horizontal="center" vertical="center"/>
    </xf>
    <xf numFmtId="0" fontId="33" fillId="6" borderId="42" xfId="0" applyFont="1" applyFill="1" applyBorder="1" applyAlignment="1">
      <alignment horizontal="center" vertical="center"/>
    </xf>
    <xf numFmtId="0" fontId="33" fillId="6" borderId="118" xfId="0" applyFont="1" applyFill="1" applyBorder="1" applyAlignment="1">
      <alignment vertical="center"/>
    </xf>
    <xf numFmtId="0" fontId="37" fillId="46" borderId="43" xfId="0" applyFont="1" applyFill="1" applyBorder="1" applyAlignment="1">
      <alignment vertical="center"/>
    </xf>
    <xf numFmtId="0" fontId="37" fillId="47" borderId="43" xfId="0" applyFont="1" applyFill="1" applyBorder="1" applyAlignment="1">
      <alignment vertical="center"/>
    </xf>
    <xf numFmtId="4" fontId="37" fillId="47" borderId="118" xfId="0" applyNumberFormat="1" applyFont="1" applyFill="1" applyBorder="1" applyAlignment="1">
      <alignment horizontal="right" vertical="center"/>
    </xf>
    <xf numFmtId="166" fontId="37" fillId="47" borderId="118" xfId="0" applyNumberFormat="1" applyFont="1" applyFill="1" applyBorder="1" applyAlignment="1">
      <alignment horizontal="right" vertical="center"/>
    </xf>
    <xf numFmtId="0" fontId="37" fillId="47" borderId="118" xfId="0" applyFont="1" applyFill="1" applyBorder="1" applyAlignment="1">
      <alignment vertical="center"/>
    </xf>
    <xf numFmtId="10" fontId="37" fillId="47" borderId="118" xfId="0" applyNumberFormat="1" applyFont="1" applyFill="1" applyBorder="1" applyAlignment="1">
      <alignment horizontal="right" vertical="center"/>
    </xf>
    <xf numFmtId="4" fontId="37" fillId="46" borderId="43" xfId="0" applyNumberFormat="1" applyFont="1" applyFill="1" applyBorder="1" applyAlignment="1">
      <alignment horizontal="right" vertical="center"/>
    </xf>
    <xf numFmtId="166" fontId="37" fillId="46" borderId="43" xfId="0" applyNumberFormat="1" applyFont="1" applyFill="1" applyBorder="1" applyAlignment="1">
      <alignment horizontal="right" vertical="center"/>
    </xf>
    <xf numFmtId="10" fontId="37" fillId="46" borderId="43" xfId="0" applyNumberFormat="1" applyFont="1" applyFill="1" applyBorder="1" applyAlignment="1">
      <alignment horizontal="right" vertical="center"/>
    </xf>
    <xf numFmtId="0" fontId="37" fillId="46" borderId="43" xfId="0" applyFont="1" applyFill="1" applyBorder="1" applyAlignment="1">
      <alignment horizontal="right" vertical="center"/>
    </xf>
    <xf numFmtId="4" fontId="37" fillId="47" borderId="43" xfId="0" applyNumberFormat="1" applyFont="1" applyFill="1" applyBorder="1" applyAlignment="1">
      <alignment horizontal="right" vertical="center"/>
    </xf>
    <xf numFmtId="166" fontId="37" fillId="47" borderId="43" xfId="0" applyNumberFormat="1" applyFont="1" applyFill="1" applyBorder="1" applyAlignment="1">
      <alignment horizontal="right" vertical="center"/>
    </xf>
    <xf numFmtId="10" fontId="37" fillId="47" borderId="43" xfId="0" applyNumberFormat="1" applyFont="1" applyFill="1" applyBorder="1" applyAlignment="1">
      <alignment horizontal="right" vertical="center"/>
    </xf>
    <xf numFmtId="0" fontId="37" fillId="47" borderId="43" xfId="0" applyFont="1" applyFill="1" applyBorder="1" applyAlignment="1">
      <alignment horizontal="right" vertical="center"/>
    </xf>
    <xf numFmtId="0" fontId="33" fillId="35" borderId="117" xfId="0" applyFont="1" applyFill="1" applyBorder="1" applyAlignment="1">
      <alignment horizontal="center" vertical="center"/>
    </xf>
    <xf numFmtId="0" fontId="33" fillId="35" borderId="42" xfId="0" applyFont="1" applyFill="1" applyBorder="1" applyAlignment="1">
      <alignment horizontal="center" vertical="center"/>
    </xf>
    <xf numFmtId="0" fontId="33" fillId="35" borderId="118" xfId="0" applyFont="1" applyFill="1" applyBorder="1" applyAlignment="1">
      <alignment vertical="center"/>
    </xf>
    <xf numFmtId="0" fontId="37" fillId="48" borderId="43" xfId="0" applyFont="1" applyFill="1" applyBorder="1" applyAlignment="1">
      <alignment vertical="center"/>
    </xf>
    <xf numFmtId="0" fontId="37" fillId="49" borderId="43" xfId="0" applyFont="1" applyFill="1" applyBorder="1" applyAlignment="1">
      <alignment vertical="center"/>
    </xf>
    <xf numFmtId="4" fontId="37" fillId="49" borderId="118" xfId="0" applyNumberFormat="1" applyFont="1" applyFill="1" applyBorder="1" applyAlignment="1">
      <alignment horizontal="right" vertical="center"/>
    </xf>
    <xf numFmtId="166" fontId="37" fillId="49" borderId="118" xfId="0" applyNumberFormat="1" applyFont="1" applyFill="1" applyBorder="1" applyAlignment="1">
      <alignment horizontal="right" vertical="center"/>
    </xf>
    <xf numFmtId="0" fontId="37" fillId="49" borderId="118" xfId="0" applyFont="1" applyFill="1" applyBorder="1" applyAlignment="1">
      <alignment vertical="center"/>
    </xf>
    <xf numFmtId="10" fontId="37" fillId="49" borderId="118" xfId="0" applyNumberFormat="1" applyFont="1" applyFill="1" applyBorder="1" applyAlignment="1">
      <alignment horizontal="right" vertical="center"/>
    </xf>
    <xf numFmtId="4" fontId="37" fillId="48" borderId="43" xfId="0" applyNumberFormat="1" applyFont="1" applyFill="1" applyBorder="1" applyAlignment="1">
      <alignment horizontal="right" vertical="center"/>
    </xf>
    <xf numFmtId="166" fontId="37" fillId="48" borderId="43" xfId="0" applyNumberFormat="1" applyFont="1" applyFill="1" applyBorder="1" applyAlignment="1">
      <alignment horizontal="right" vertical="center"/>
    </xf>
    <xf numFmtId="10" fontId="37" fillId="48" borderId="43" xfId="0" applyNumberFormat="1" applyFont="1" applyFill="1" applyBorder="1" applyAlignment="1">
      <alignment horizontal="right" vertical="center"/>
    </xf>
    <xf numFmtId="4" fontId="37" fillId="49" borderId="43" xfId="0" applyNumberFormat="1" applyFont="1" applyFill="1" applyBorder="1" applyAlignment="1">
      <alignment horizontal="right" vertical="center"/>
    </xf>
    <xf numFmtId="166" fontId="37" fillId="49" borderId="43" xfId="0" applyNumberFormat="1" applyFont="1" applyFill="1" applyBorder="1" applyAlignment="1">
      <alignment horizontal="right" vertical="center"/>
    </xf>
    <xf numFmtId="10" fontId="37" fillId="49" borderId="43" xfId="0" applyNumberFormat="1" applyFont="1" applyFill="1" applyBorder="1" applyAlignment="1">
      <alignment horizontal="right" vertical="center"/>
    </xf>
    <xf numFmtId="0" fontId="33" fillId="37" borderId="117" xfId="0" applyFont="1" applyFill="1" applyBorder="1" applyAlignment="1">
      <alignment horizontal="center" vertical="center"/>
    </xf>
    <xf numFmtId="0" fontId="33" fillId="37" borderId="42" xfId="0" applyFont="1" applyFill="1" applyBorder="1" applyAlignment="1">
      <alignment horizontal="center" vertical="center"/>
    </xf>
    <xf numFmtId="0" fontId="33" fillId="37" borderId="118" xfId="0" applyFont="1" applyFill="1" applyBorder="1" applyAlignment="1">
      <alignment vertical="center"/>
    </xf>
    <xf numFmtId="4" fontId="37" fillId="52" borderId="118" xfId="0" applyNumberFormat="1" applyFont="1" applyFill="1" applyBorder="1" applyAlignment="1">
      <alignment horizontal="right" vertical="center"/>
    </xf>
    <xf numFmtId="166" fontId="37" fillId="52" borderId="118" xfId="0" applyNumberFormat="1" applyFont="1" applyFill="1" applyBorder="1" applyAlignment="1">
      <alignment horizontal="right" vertical="center"/>
    </xf>
    <xf numFmtId="0" fontId="37" fillId="52" borderId="118" xfId="0" applyFont="1" applyFill="1" applyBorder="1" applyAlignment="1">
      <alignment vertical="center"/>
    </xf>
    <xf numFmtId="10" fontId="37" fillId="52" borderId="118" xfId="0" applyNumberFormat="1" applyFont="1" applyFill="1" applyBorder="1" applyAlignment="1">
      <alignment horizontal="right" vertical="center"/>
    </xf>
    <xf numFmtId="0" fontId="33" fillId="38" borderId="42" xfId="0" applyFont="1" applyFill="1" applyBorder="1" applyAlignment="1">
      <alignment horizontal="center" vertical="center"/>
    </xf>
    <xf numFmtId="0" fontId="33" fillId="6" borderId="120" xfId="0" applyFont="1" applyFill="1" applyBorder="1" applyAlignment="1">
      <alignment horizontal="center" vertical="center"/>
    </xf>
    <xf numFmtId="0" fontId="62" fillId="46" borderId="121" xfId="0" applyFont="1" applyFill="1" applyBorder="1" applyAlignment="1">
      <alignment vertical="center" indent="2"/>
    </xf>
    <xf numFmtId="0" fontId="33" fillId="37" borderId="123" xfId="0" applyFont="1" applyFill="1" applyBorder="1" applyAlignment="1">
      <alignment horizontal="center" vertical="center"/>
    </xf>
    <xf numFmtId="0" fontId="62" fillId="51" borderId="124" xfId="0" applyFont="1" applyFill="1" applyBorder="1" applyAlignment="1">
      <alignment vertical="center" indent="2"/>
    </xf>
    <xf numFmtId="0" fontId="33" fillId="38" borderId="120" xfId="0" applyFont="1" applyFill="1" applyBorder="1" applyAlignment="1">
      <alignment horizontal="center" vertical="center"/>
    </xf>
    <xf numFmtId="0" fontId="62" fillId="53" borderId="121" xfId="0" applyFont="1" applyFill="1" applyBorder="1" applyAlignment="1">
      <alignment vertical="center" indent="2"/>
    </xf>
    <xf numFmtId="0" fontId="33" fillId="6" borderId="43" xfId="0" applyFont="1" applyFill="1" applyBorder="1" applyAlignment="1">
      <alignment horizontal="center" vertical="center"/>
    </xf>
    <xf numFmtId="0" fontId="33" fillId="35" borderId="43" xfId="0" applyFont="1" applyFill="1" applyBorder="1" applyAlignment="1">
      <alignment horizontal="center" vertical="center"/>
    </xf>
    <xf numFmtId="0" fontId="33" fillId="38" borderId="43" xfId="0" applyFont="1" applyFill="1" applyBorder="1" applyAlignment="1">
      <alignment horizontal="center" vertical="center"/>
    </xf>
    <xf numFmtId="0" fontId="14" fillId="5" borderId="129" xfId="0" applyFont="1" applyFill="1" applyBorder="1" applyAlignment="1">
      <alignment horizontal="center" vertical="center" wrapText="1"/>
    </xf>
    <xf numFmtId="0" fontId="14" fillId="5" borderId="130" xfId="0" applyFont="1" applyFill="1" applyBorder="1" applyAlignment="1">
      <alignment horizontal="center" vertical="center" wrapText="1"/>
    </xf>
    <xf numFmtId="0" fontId="14" fillId="5" borderId="131" xfId="0" applyFont="1" applyFill="1" applyBorder="1" applyAlignment="1">
      <alignment horizontal="center" vertical="center" wrapText="1"/>
    </xf>
    <xf numFmtId="0" fontId="37" fillId="47" borderId="118" xfId="0" applyFont="1" applyFill="1" applyBorder="1" applyAlignment="1">
      <alignment vertical="center" wrapText="1"/>
    </xf>
    <xf numFmtId="10" fontId="37" fillId="47" borderId="119" xfId="0" applyNumberFormat="1" applyFont="1" applyFill="1" applyBorder="1" applyAlignment="1">
      <alignment horizontal="right" vertical="center"/>
    </xf>
    <xf numFmtId="0" fontId="33" fillId="6" borderId="114" xfId="0" applyFont="1" applyFill="1" applyBorder="1" applyAlignment="1">
      <alignment horizontal="center" vertical="center"/>
    </xf>
    <xf numFmtId="0" fontId="37" fillId="46" borderId="115" xfId="0" applyFont="1" applyFill="1" applyBorder="1" applyAlignment="1">
      <alignment vertical="center"/>
    </xf>
    <xf numFmtId="0" fontId="37" fillId="46" borderId="115" xfId="0" applyFont="1" applyFill="1" applyBorder="1" applyAlignment="1">
      <alignment vertical="center" wrapText="1"/>
    </xf>
    <xf numFmtId="4" fontId="37" fillId="46" borderId="115" xfId="0" applyNumberFormat="1" applyFont="1" applyFill="1" applyBorder="1" applyAlignment="1">
      <alignment horizontal="right" vertical="center"/>
    </xf>
    <xf numFmtId="166" fontId="37" fillId="46" borderId="115" xfId="0" applyNumberFormat="1" applyFont="1" applyFill="1" applyBorder="1" applyAlignment="1">
      <alignment horizontal="right" vertical="center"/>
    </xf>
    <xf numFmtId="10" fontId="37" fillId="46" borderId="115" xfId="0" applyNumberFormat="1" applyFont="1" applyFill="1" applyBorder="1" applyAlignment="1">
      <alignment horizontal="right" vertical="center"/>
    </xf>
    <xf numFmtId="10" fontId="37" fillId="46" borderId="116" xfId="0" applyNumberFormat="1" applyFont="1" applyFill="1" applyBorder="1" applyAlignment="1">
      <alignment horizontal="right" vertical="center"/>
    </xf>
    <xf numFmtId="0" fontId="37" fillId="47" borderId="43" xfId="0" applyFont="1" applyFill="1" applyBorder="1" applyAlignment="1">
      <alignment vertical="center" wrapText="1"/>
    </xf>
    <xf numFmtId="10" fontId="37" fillId="47" borderId="44" xfId="0" applyNumberFormat="1" applyFont="1" applyFill="1" applyBorder="1" applyAlignment="1">
      <alignment horizontal="right" vertical="center"/>
    </xf>
    <xf numFmtId="0" fontId="37" fillId="46" borderId="43" xfId="0" applyFont="1" applyFill="1" applyBorder="1" applyAlignment="1">
      <alignment vertical="center" wrapText="1"/>
    </xf>
    <xf numFmtId="10" fontId="37" fillId="46" borderId="44" xfId="0" applyNumberFormat="1" applyFont="1" applyFill="1" applyBorder="1" applyAlignment="1">
      <alignment horizontal="right" vertical="center"/>
    </xf>
    <xf numFmtId="0" fontId="37" fillId="49" borderId="118" xfId="0" applyFont="1" applyFill="1" applyBorder="1" applyAlignment="1">
      <alignment vertical="center" wrapText="1"/>
    </xf>
    <xf numFmtId="10" fontId="37" fillId="49" borderId="119" xfId="0" applyNumberFormat="1" applyFont="1" applyFill="1" applyBorder="1" applyAlignment="1">
      <alignment horizontal="right" vertical="center"/>
    </xf>
    <xf numFmtId="0" fontId="37" fillId="48" borderId="43" xfId="0" applyFont="1" applyFill="1" applyBorder="1" applyAlignment="1">
      <alignment vertical="center" wrapText="1"/>
    </xf>
    <xf numFmtId="10" fontId="37" fillId="48" borderId="44" xfId="0" applyNumberFormat="1" applyFont="1" applyFill="1" applyBorder="1" applyAlignment="1">
      <alignment horizontal="right" vertical="center"/>
    </xf>
    <xf numFmtId="0" fontId="37" fillId="49" borderId="43" xfId="0" applyFont="1" applyFill="1" applyBorder="1" applyAlignment="1">
      <alignment vertical="center" wrapText="1"/>
    </xf>
    <xf numFmtId="10" fontId="37" fillId="49" borderId="44" xfId="0" applyNumberFormat="1" applyFont="1" applyFill="1" applyBorder="1" applyAlignment="1">
      <alignment horizontal="right" vertical="center"/>
    </xf>
    <xf numFmtId="0" fontId="37" fillId="52" borderId="118" xfId="0" applyFont="1" applyFill="1" applyBorder="1" applyAlignment="1">
      <alignment vertical="center" wrapText="1"/>
    </xf>
    <xf numFmtId="10" fontId="37" fillId="52" borderId="119" xfId="0" applyNumberFormat="1" applyFont="1" applyFill="1" applyBorder="1" applyAlignment="1">
      <alignment horizontal="right" vertical="center"/>
    </xf>
    <xf numFmtId="0" fontId="62" fillId="46" borderId="121" xfId="0" applyFont="1" applyFill="1" applyBorder="1" applyAlignment="1">
      <alignment vertical="center" wrapText="1"/>
    </xf>
    <xf numFmtId="0" fontId="62" fillId="46" borderId="121" xfId="0" applyFont="1" applyFill="1" applyBorder="1" applyAlignment="1">
      <alignment vertical="center"/>
    </xf>
    <xf numFmtId="4" fontId="62" fillId="46" borderId="121" xfId="0" applyNumberFormat="1" applyFont="1" applyFill="1" applyBorder="1" applyAlignment="1">
      <alignment horizontal="right" vertical="center"/>
    </xf>
    <xf numFmtId="166" fontId="62" fillId="46" borderId="121" xfId="0" applyNumberFormat="1" applyFont="1" applyFill="1" applyBorder="1" applyAlignment="1">
      <alignment horizontal="right" vertical="center"/>
    </xf>
    <xf numFmtId="10" fontId="62" fillId="46" borderId="121" xfId="0" applyNumberFormat="1" applyFont="1" applyFill="1" applyBorder="1" applyAlignment="1">
      <alignment horizontal="right" vertical="center"/>
    </xf>
    <xf numFmtId="10" fontId="62" fillId="46" borderId="122" xfId="0" applyNumberFormat="1" applyFont="1" applyFill="1" applyBorder="1" applyAlignment="1">
      <alignment horizontal="right" vertical="center"/>
    </xf>
    <xf numFmtId="0" fontId="62" fillId="51" borderId="124" xfId="0" applyFont="1" applyFill="1" applyBorder="1" applyAlignment="1">
      <alignment vertical="center" wrapText="1"/>
    </xf>
    <xf numFmtId="0" fontId="62" fillId="51" borderId="124" xfId="0" applyFont="1" applyFill="1" applyBorder="1" applyAlignment="1">
      <alignment vertical="center"/>
    </xf>
    <xf numFmtId="4" fontId="62" fillId="51" borderId="124" xfId="0" applyNumberFormat="1" applyFont="1" applyFill="1" applyBorder="1" applyAlignment="1">
      <alignment horizontal="right" vertical="center"/>
    </xf>
    <xf numFmtId="166" fontId="62" fillId="51" borderId="124" xfId="0" applyNumberFormat="1" applyFont="1" applyFill="1" applyBorder="1" applyAlignment="1">
      <alignment horizontal="right" vertical="center"/>
    </xf>
    <xf numFmtId="10" fontId="62" fillId="51" borderId="124" xfId="0" applyNumberFormat="1" applyFont="1" applyFill="1" applyBorder="1" applyAlignment="1">
      <alignment horizontal="right" vertical="center"/>
    </xf>
    <xf numFmtId="10" fontId="62" fillId="51" borderId="125" xfId="0" applyNumberFormat="1" applyFont="1" applyFill="1" applyBorder="1" applyAlignment="1">
      <alignment horizontal="right" vertical="center"/>
    </xf>
    <xf numFmtId="0" fontId="62" fillId="54" borderId="121" xfId="0" applyFont="1" applyFill="1" applyBorder="1" applyAlignment="1">
      <alignment vertical="center" wrapText="1"/>
    </xf>
    <xf numFmtId="0" fontId="62" fillId="54" borderId="121" xfId="0" applyFont="1" applyFill="1" applyBorder="1" applyAlignment="1">
      <alignment vertical="center"/>
    </xf>
    <xf numFmtId="4" fontId="62" fillId="54" borderId="121" xfId="0" applyNumberFormat="1" applyFont="1" applyFill="1" applyBorder="1" applyAlignment="1">
      <alignment horizontal="right" vertical="center"/>
    </xf>
    <xf numFmtId="166" fontId="62" fillId="54" borderId="121" xfId="0" applyNumberFormat="1" applyFont="1" applyFill="1" applyBorder="1" applyAlignment="1">
      <alignment horizontal="right" vertical="center"/>
    </xf>
    <xf numFmtId="10" fontId="62" fillId="54" borderId="121" xfId="0" applyNumberFormat="1" applyFont="1" applyFill="1" applyBorder="1" applyAlignment="1">
      <alignment horizontal="right" vertical="center"/>
    </xf>
    <xf numFmtId="10" fontId="62" fillId="54" borderId="122" xfId="0" applyNumberFormat="1" applyFont="1" applyFill="1" applyBorder="1" applyAlignment="1">
      <alignment horizontal="right" vertical="center"/>
    </xf>
    <xf numFmtId="0" fontId="62" fillId="53" borderId="121" xfId="0" applyFont="1" applyFill="1" applyBorder="1" applyAlignment="1">
      <alignment vertical="center" wrapText="1"/>
    </xf>
    <xf numFmtId="0" fontId="62" fillId="53" borderId="121" xfId="0" applyFont="1" applyFill="1" applyBorder="1" applyAlignment="1">
      <alignment vertical="center"/>
    </xf>
    <xf numFmtId="4" fontId="62" fillId="53" borderId="121" xfId="0" applyNumberFormat="1" applyFont="1" applyFill="1" applyBorder="1" applyAlignment="1">
      <alignment horizontal="right" vertical="center"/>
    </xf>
    <xf numFmtId="166" fontId="62" fillId="53" borderId="121" xfId="0" applyNumberFormat="1" applyFont="1" applyFill="1" applyBorder="1" applyAlignment="1">
      <alignment horizontal="right" vertical="center"/>
    </xf>
    <xf numFmtId="10" fontId="62" fillId="53" borderId="121" xfId="0" applyNumberFormat="1" applyFont="1" applyFill="1" applyBorder="1" applyAlignment="1">
      <alignment horizontal="right" vertical="center"/>
    </xf>
    <xf numFmtId="10" fontId="62" fillId="53" borderId="122" xfId="0" applyNumberFormat="1" applyFont="1" applyFill="1" applyBorder="1" applyAlignment="1">
      <alignment horizontal="right" vertical="center"/>
    </xf>
    <xf numFmtId="0" fontId="41" fillId="19" borderId="132" xfId="0" applyFont="1" applyFill="1" applyBorder="1" applyAlignment="1">
      <alignment horizontal="center" vertical="center"/>
    </xf>
    <xf numFmtId="0" fontId="37" fillId="19" borderId="133" xfId="0" applyFont="1" applyFill="1" applyBorder="1" applyAlignment="1">
      <alignment vertical="center"/>
    </xf>
    <xf numFmtId="0" fontId="37" fillId="19" borderId="133" xfId="0" applyFont="1" applyFill="1" applyBorder="1" applyAlignment="1">
      <alignment vertical="center" wrapText="1"/>
    </xf>
    <xf numFmtId="4" fontId="37" fillId="19" borderId="133" xfId="0" applyNumberFormat="1" applyFont="1" applyFill="1" applyBorder="1" applyAlignment="1">
      <alignment horizontal="right" vertical="center"/>
    </xf>
    <xf numFmtId="0" fontId="37" fillId="19" borderId="133" xfId="0" applyFont="1" applyFill="1" applyBorder="1" applyAlignment="1">
      <alignment horizontal="right" vertical="center"/>
    </xf>
    <xf numFmtId="0" fontId="37" fillId="19" borderId="134" xfId="0" applyFont="1" applyFill="1" applyBorder="1" applyAlignment="1">
      <alignment horizontal="right" vertical="center"/>
    </xf>
    <xf numFmtId="0" fontId="41" fillId="19" borderId="114" xfId="0" applyFont="1" applyFill="1" applyBorder="1" applyAlignment="1">
      <alignment horizontal="center" vertical="center"/>
    </xf>
    <xf numFmtId="0" fontId="37" fillId="19" borderId="115" xfId="0" applyFont="1" applyFill="1" applyBorder="1" applyAlignment="1">
      <alignment vertical="center"/>
    </xf>
    <xf numFmtId="0" fontId="37" fillId="19" borderId="115" xfId="0" applyFont="1" applyFill="1" applyBorder="1" applyAlignment="1">
      <alignment vertical="center" wrapText="1"/>
    </xf>
    <xf numFmtId="4" fontId="37" fillId="19" borderId="115" xfId="0" applyNumberFormat="1" applyFont="1" applyFill="1" applyBorder="1" applyAlignment="1">
      <alignment horizontal="right" vertical="center"/>
    </xf>
    <xf numFmtId="0" fontId="37" fillId="19" borderId="115" xfId="0" applyFont="1" applyFill="1" applyBorder="1" applyAlignment="1">
      <alignment horizontal="right" vertical="center"/>
    </xf>
    <xf numFmtId="0" fontId="37" fillId="19" borderId="116" xfId="0" applyFont="1" applyFill="1" applyBorder="1" applyAlignment="1">
      <alignment horizontal="right" vertical="center"/>
    </xf>
    <xf numFmtId="0" fontId="14" fillId="39" borderId="135" xfId="0" applyFont="1" applyFill="1" applyBorder="1" applyAlignment="1">
      <alignment horizontal="center" vertical="center"/>
    </xf>
    <xf numFmtId="0" fontId="14" fillId="39" borderId="136" xfId="0" applyFont="1" applyFill="1" applyBorder="1" applyAlignment="1">
      <alignment vertical="center"/>
    </xf>
    <xf numFmtId="0" fontId="14" fillId="39" borderId="136" xfId="0" applyFont="1" applyFill="1" applyBorder="1" applyAlignment="1">
      <alignment vertical="center" wrapText="1"/>
    </xf>
    <xf numFmtId="4" fontId="14" fillId="39" borderId="136" xfId="0" applyNumberFormat="1" applyFont="1" applyFill="1" applyBorder="1" applyAlignment="1">
      <alignment horizontal="right" vertical="center"/>
    </xf>
    <xf numFmtId="0" fontId="14" fillId="39" borderId="136" xfId="0" applyFont="1" applyFill="1" applyBorder="1" applyAlignment="1">
      <alignment horizontal="right" vertical="center"/>
    </xf>
    <xf numFmtId="0" fontId="14" fillId="39" borderId="137" xfId="0" applyFont="1" applyFill="1" applyBorder="1" applyAlignment="1">
      <alignment horizontal="right" vertical="center"/>
    </xf>
    <xf numFmtId="0" fontId="45" fillId="11" borderId="45" xfId="0" applyFont="1" applyFill="1" applyBorder="1" applyAlignment="1">
      <alignment horizontal="center" vertical="center"/>
    </xf>
    <xf numFmtId="0" fontId="45" fillId="11" borderId="46" xfId="0" applyFont="1" applyFill="1" applyBorder="1" applyAlignment="1">
      <alignment vertical="center"/>
    </xf>
    <xf numFmtId="0" fontId="45" fillId="11" borderId="46" xfId="0" applyFont="1" applyFill="1" applyBorder="1" applyAlignment="1">
      <alignment vertical="center" wrapText="1"/>
    </xf>
    <xf numFmtId="4" fontId="45" fillId="11" borderId="46" xfId="0" applyNumberFormat="1" applyFont="1" applyFill="1" applyBorder="1" applyAlignment="1">
      <alignment horizontal="right" vertical="center"/>
    </xf>
    <xf numFmtId="0" fontId="45" fillId="11" borderId="46" xfId="0" applyFont="1" applyFill="1" applyBorder="1" applyAlignment="1">
      <alignment horizontal="right" vertical="center"/>
    </xf>
    <xf numFmtId="0" fontId="45" fillId="11" borderId="47" xfId="0" applyFont="1" applyFill="1" applyBorder="1" applyAlignment="1">
      <alignment horizontal="right" vertical="center"/>
    </xf>
    <xf numFmtId="0" fontId="63" fillId="38" borderId="121" xfId="0" applyFont="1" applyFill="1" applyBorder="1" applyAlignment="1">
      <alignment vertical="center"/>
    </xf>
    <xf numFmtId="0" fontId="37" fillId="2" borderId="139" xfId="0" applyFont="1" applyFill="1" applyBorder="1" applyAlignment="1">
      <alignment horizontal="right" vertical="center"/>
    </xf>
    <xf numFmtId="167" fontId="37" fillId="46" borderId="43" xfId="0" applyNumberFormat="1" applyFont="1" applyFill="1" applyBorder="1" applyAlignment="1">
      <alignment horizontal="right" vertical="center"/>
    </xf>
    <xf numFmtId="0" fontId="14" fillId="55" borderId="142" xfId="0" applyFont="1" applyFill="1" applyBorder="1" applyAlignment="1">
      <alignment horizontal="right" vertical="center"/>
    </xf>
    <xf numFmtId="167" fontId="37" fillId="47" borderId="43" xfId="0" applyNumberFormat="1" applyFont="1" applyFill="1" applyBorder="1" applyAlignment="1">
      <alignment horizontal="right" vertical="center"/>
    </xf>
    <xf numFmtId="4" fontId="37" fillId="47" borderId="127" xfId="0" applyNumberFormat="1" applyFont="1" applyFill="1" applyBorder="1" applyAlignment="1">
      <alignment horizontal="right" vertical="center"/>
    </xf>
    <xf numFmtId="4" fontId="14" fillId="55" borderId="147" xfId="0" applyNumberFormat="1" applyFont="1" applyFill="1" applyBorder="1" applyAlignment="1">
      <alignment horizontal="right" vertical="center"/>
    </xf>
    <xf numFmtId="0" fontId="33" fillId="2" borderId="142" xfId="0" applyFont="1" applyFill="1" applyBorder="1" applyAlignment="1">
      <alignment horizontal="right" vertical="center"/>
    </xf>
    <xf numFmtId="169" fontId="47" fillId="46" borderId="43" xfId="0" applyNumberFormat="1" applyFont="1" applyFill="1" applyBorder="1" applyAlignment="1">
      <alignment horizontal="right" vertical="center"/>
    </xf>
    <xf numFmtId="169" fontId="47" fillId="56" borderId="43" xfId="0" applyNumberFormat="1" applyFont="1" applyFill="1" applyBorder="1" applyAlignment="1">
      <alignment horizontal="right" vertical="center"/>
    </xf>
    <xf numFmtId="169" fontId="47" fillId="47" borderId="43" xfId="0" applyNumberFormat="1" applyFont="1" applyFill="1" applyBorder="1" applyAlignment="1">
      <alignment horizontal="right" vertical="center"/>
    </xf>
    <xf numFmtId="169" fontId="47" fillId="55" borderId="43" xfId="0" applyNumberFormat="1" applyFont="1" applyFill="1" applyBorder="1" applyAlignment="1">
      <alignment horizontal="right" vertical="center"/>
    </xf>
    <xf numFmtId="0" fontId="32" fillId="58" borderId="155" xfId="0" applyFont="1" applyFill="1" applyBorder="1" applyAlignment="1">
      <alignment horizontal="center" vertical="center"/>
    </xf>
    <xf numFmtId="167" fontId="32" fillId="58" borderId="149" xfId="0" applyNumberFormat="1" applyFont="1" applyFill="1" applyBorder="1" applyAlignment="1">
      <alignment horizontal="center" vertical="center"/>
    </xf>
    <xf numFmtId="0" fontId="32" fillId="58" borderId="149" xfId="0" applyFont="1" applyFill="1" applyBorder="1" applyAlignment="1">
      <alignment horizontal="center" vertical="center"/>
    </xf>
    <xf numFmtId="169" fontId="48" fillId="59" borderId="149" xfId="0" applyNumberFormat="1" applyFont="1" applyFill="1" applyBorder="1" applyAlignment="1">
      <alignment horizontal="right" vertical="center"/>
    </xf>
    <xf numFmtId="169" fontId="48" fillId="60" borderId="149" xfId="0" applyNumberFormat="1" applyFont="1" applyFill="1" applyBorder="1" applyAlignment="1">
      <alignment horizontal="right" vertical="center"/>
    </xf>
    <xf numFmtId="169" fontId="48" fillId="61" borderId="149" xfId="0" applyNumberFormat="1" applyFont="1" applyFill="1" applyBorder="1" applyAlignment="1">
      <alignment horizontal="right" vertical="center"/>
    </xf>
    <xf numFmtId="169" fontId="48" fillId="62" borderId="149" xfId="0" applyNumberFormat="1" applyFont="1" applyFill="1" applyBorder="1" applyAlignment="1">
      <alignment horizontal="right" vertical="center"/>
    </xf>
    <xf numFmtId="169" fontId="48" fillId="62" borderId="156" xfId="0" applyNumberFormat="1" applyFont="1" applyFill="1" applyBorder="1" applyAlignment="1">
      <alignment horizontal="right" vertical="center"/>
    </xf>
    <xf numFmtId="0" fontId="32" fillId="58" borderId="77" xfId="0" applyFont="1" applyFill="1" applyBorder="1" applyAlignment="1">
      <alignment horizontal="center" vertical="center"/>
    </xf>
    <xf numFmtId="167" fontId="32" fillId="58" borderId="78" xfId="0" applyNumberFormat="1" applyFont="1" applyFill="1" applyBorder="1" applyAlignment="1">
      <alignment horizontal="center" vertical="center"/>
    </xf>
    <xf numFmtId="0" fontId="32" fillId="58" borderId="78" xfId="0" applyFont="1" applyFill="1" applyBorder="1" applyAlignment="1">
      <alignment horizontal="center" vertical="center"/>
    </xf>
    <xf numFmtId="169" fontId="48" fillId="59" borderId="78" xfId="0" applyNumberFormat="1" applyFont="1" applyFill="1" applyBorder="1" applyAlignment="1">
      <alignment horizontal="right" vertical="center"/>
    </xf>
    <xf numFmtId="169" fontId="48" fillId="61" borderId="78" xfId="0" applyNumberFormat="1" applyFont="1" applyFill="1" applyBorder="1" applyAlignment="1">
      <alignment horizontal="right" vertical="center"/>
    </xf>
    <xf numFmtId="169" fontId="48" fillId="62" borderId="78" xfId="0" applyNumberFormat="1" applyFont="1" applyFill="1" applyBorder="1" applyAlignment="1">
      <alignment horizontal="right" vertical="center"/>
    </xf>
    <xf numFmtId="169" fontId="48" fillId="62" borderId="79" xfId="0" applyNumberFormat="1" applyFont="1" applyFill="1" applyBorder="1" applyAlignment="1">
      <alignment horizontal="right" vertical="center"/>
    </xf>
    <xf numFmtId="169" fontId="47" fillId="63" borderId="43" xfId="0" applyNumberFormat="1" applyFont="1" applyFill="1" applyBorder="1" applyAlignment="1">
      <alignment horizontal="right" vertical="center"/>
    </xf>
    <xf numFmtId="169" fontId="48" fillId="64" borderId="76" xfId="0" applyNumberFormat="1" applyFont="1" applyFill="1" applyBorder="1" applyAlignment="1">
      <alignment horizontal="right" vertical="center"/>
    </xf>
    <xf numFmtId="4" fontId="29" fillId="47" borderId="0" xfId="0" applyNumberFormat="1" applyFont="1" applyFill="1"/>
    <xf numFmtId="10" fontId="29" fillId="47" borderId="0" xfId="0" applyNumberFormat="1" applyFont="1" applyFill="1"/>
    <xf numFmtId="0" fontId="13" fillId="47" borderId="0" xfId="0" applyFont="1" applyFill="1"/>
    <xf numFmtId="4" fontId="66" fillId="49" borderId="0" xfId="0" applyNumberFormat="1" applyFont="1" applyFill="1"/>
    <xf numFmtId="10" fontId="66" fillId="49" borderId="0" xfId="0" applyNumberFormat="1" applyFont="1" applyFill="1"/>
    <xf numFmtId="0" fontId="67" fillId="49" borderId="0" xfId="0" applyFont="1" applyFill="1"/>
    <xf numFmtId="4" fontId="68" fillId="50" borderId="0" xfId="0" applyNumberFormat="1" applyFont="1" applyFill="1"/>
    <xf numFmtId="10" fontId="68" fillId="50" borderId="0" xfId="0" applyNumberFormat="1" applyFont="1" applyFill="1"/>
    <xf numFmtId="0" fontId="69" fillId="50" borderId="0" xfId="0" applyFont="1" applyFill="1"/>
    <xf numFmtId="0" fontId="5" fillId="6" borderId="3" xfId="0" applyFont="1" applyFill="1" applyBorder="1"/>
    <xf numFmtId="4" fontId="5" fillId="6" borderId="3" xfId="0" applyNumberFormat="1" applyFont="1" applyFill="1" applyBorder="1"/>
    <xf numFmtId="10" fontId="5" fillId="6" borderId="3" xfId="0" applyNumberFormat="1" applyFont="1" applyFill="1" applyBorder="1"/>
    <xf numFmtId="0" fontId="3" fillId="2" borderId="157" xfId="0" applyFont="1" applyFill="1" applyBorder="1" applyAlignment="1">
      <alignment horizontal="center" vertical="center"/>
    </xf>
    <xf numFmtId="164" fontId="2" fillId="2" borderId="157" xfId="0" applyNumberFormat="1" applyFont="1" applyFill="1" applyBorder="1" applyAlignment="1">
      <alignment horizontal="center" vertical="center"/>
    </xf>
    <xf numFmtId="165" fontId="1" fillId="2" borderId="157" xfId="0" applyNumberFormat="1" applyFont="1" applyFill="1" applyBorder="1" applyAlignment="1">
      <alignment horizontal="right" vertical="center"/>
    </xf>
    <xf numFmtId="0" fontId="33" fillId="6" borderId="3" xfId="0" applyFont="1" applyFill="1" applyBorder="1"/>
    <xf numFmtId="165" fontId="4" fillId="6" borderId="158" xfId="0" applyNumberFormat="1" applyFont="1" applyFill="1" applyBorder="1" applyAlignment="1">
      <alignment horizontal="right" vertical="center"/>
    </xf>
    <xf numFmtId="0" fontId="33" fillId="6" borderId="158" xfId="0" applyFont="1" applyFill="1" applyBorder="1"/>
    <xf numFmtId="0" fontId="33" fillId="36" borderId="42" xfId="0" applyFont="1" applyFill="1" applyBorder="1" applyAlignment="1">
      <alignment horizontal="center" vertical="center"/>
    </xf>
    <xf numFmtId="0" fontId="33" fillId="36" borderId="43" xfId="0" applyFont="1" applyFill="1" applyBorder="1" applyAlignment="1">
      <alignment horizontal="center" vertical="center"/>
    </xf>
    <xf numFmtId="0" fontId="33" fillId="37" borderId="43" xfId="0" applyFont="1" applyFill="1" applyBorder="1" applyAlignment="1">
      <alignment horizontal="center" vertical="center"/>
    </xf>
    <xf numFmtId="0" fontId="30" fillId="9" borderId="43" xfId="0" applyFont="1" applyFill="1" applyBorder="1" applyAlignment="1">
      <alignment horizontal="center" vertical="center"/>
    </xf>
    <xf numFmtId="0" fontId="70" fillId="65" borderId="43" xfId="0" applyFont="1" applyFill="1" applyBorder="1" applyAlignment="1">
      <alignment horizontal="center" vertical="center"/>
    </xf>
    <xf numFmtId="0" fontId="31" fillId="3" borderId="43" xfId="0" applyFont="1" applyFill="1" applyBorder="1" applyAlignment="1">
      <alignment horizontal="center" vertical="center"/>
    </xf>
    <xf numFmtId="0" fontId="58" fillId="66" borderId="43" xfId="0" applyFont="1" applyFill="1" applyBorder="1" applyAlignment="1">
      <alignment horizontal="center" vertical="center"/>
    </xf>
    <xf numFmtId="0" fontId="57" fillId="67" borderId="43" xfId="0" applyFont="1" applyFill="1" applyBorder="1" applyAlignment="1">
      <alignment horizontal="center" vertical="center"/>
    </xf>
    <xf numFmtId="0" fontId="72" fillId="68" borderId="43" xfId="0" applyFont="1" applyFill="1" applyBorder="1" applyAlignment="1">
      <alignment horizontal="center" vertical="center"/>
    </xf>
    <xf numFmtId="0" fontId="73" fillId="69" borderId="43" xfId="0" applyFont="1" applyFill="1" applyBorder="1" applyAlignment="1">
      <alignment horizontal="center" vertical="center"/>
    </xf>
    <xf numFmtId="4" fontId="14" fillId="70" borderId="40" xfId="0" applyNumberFormat="1" applyFont="1" applyFill="1" applyBorder="1" applyAlignment="1">
      <alignment horizontal="right" vertical="center"/>
    </xf>
    <xf numFmtId="0" fontId="51" fillId="17" borderId="43" xfId="0" applyFont="1" applyFill="1" applyBorder="1" applyAlignment="1">
      <alignment horizontal="left" vertical="center"/>
    </xf>
    <xf numFmtId="0" fontId="51" fillId="17" borderId="44" xfId="0" applyFont="1" applyFill="1" applyBorder="1" applyAlignment="1">
      <alignment horizontal="left" vertical="center"/>
    </xf>
    <xf numFmtId="4" fontId="30" fillId="9" borderId="43" xfId="0" applyNumberFormat="1" applyFont="1" applyFill="1" applyBorder="1" applyAlignment="1">
      <alignment horizontal="right" vertical="center"/>
    </xf>
    <xf numFmtId="0" fontId="59" fillId="18" borderId="43" xfId="0" applyFont="1" applyFill="1" applyBorder="1" applyAlignment="1">
      <alignment horizontal="left" vertical="center"/>
    </xf>
    <xf numFmtId="0" fontId="59" fillId="18" borderId="44" xfId="0" applyFont="1" applyFill="1" applyBorder="1" applyAlignment="1">
      <alignment horizontal="left" vertical="center"/>
    </xf>
    <xf numFmtId="4" fontId="31" fillId="3" borderId="43" xfId="0" applyNumberFormat="1" applyFont="1" applyFill="1" applyBorder="1" applyAlignment="1">
      <alignment horizontal="right" vertical="center"/>
    </xf>
    <xf numFmtId="4" fontId="15" fillId="71" borderId="43" xfId="0" applyNumberFormat="1" applyFont="1" applyFill="1" applyBorder="1" applyAlignment="1">
      <alignment horizontal="right" vertical="center"/>
    </xf>
    <xf numFmtId="0" fontId="74" fillId="13" borderId="46" xfId="0" applyFont="1" applyFill="1" applyBorder="1" applyAlignment="1">
      <alignment horizontal="left" vertical="center"/>
    </xf>
    <xf numFmtId="0" fontId="74" fillId="13" borderId="47" xfId="0" applyFont="1" applyFill="1" applyBorder="1" applyAlignment="1">
      <alignment horizontal="left" vertical="center"/>
    </xf>
    <xf numFmtId="10" fontId="14" fillId="13" borderId="46" xfId="0" applyNumberFormat="1" applyFont="1" applyFill="1" applyBorder="1" applyAlignment="1">
      <alignment horizontal="right" vertical="center"/>
    </xf>
    <xf numFmtId="0" fontId="33" fillId="7" borderId="39" xfId="0" applyFont="1" applyFill="1" applyBorder="1" applyAlignment="1">
      <alignment horizontal="left" vertical="center"/>
    </xf>
    <xf numFmtId="0" fontId="33" fillId="16" borderId="42" xfId="0" applyFont="1" applyFill="1" applyBorder="1" applyAlignment="1">
      <alignment horizontal="left" vertical="center"/>
    </xf>
    <xf numFmtId="0" fontId="33" fillId="15" borderId="42" xfId="0" applyFont="1" applyFill="1" applyBorder="1" applyAlignment="1">
      <alignment horizontal="left" vertical="center"/>
    </xf>
    <xf numFmtId="0" fontId="75" fillId="6" borderId="42" xfId="0" applyFont="1" applyFill="1" applyBorder="1" applyAlignment="1">
      <alignment horizontal="left" vertical="center"/>
    </xf>
    <xf numFmtId="0" fontId="17" fillId="11" borderId="45" xfId="0" applyFont="1" applyFill="1" applyBorder="1" applyAlignment="1">
      <alignment horizontal="left" vertical="center"/>
    </xf>
    <xf numFmtId="0" fontId="76" fillId="14" borderId="0" xfId="0" applyFont="1" applyFill="1"/>
    <xf numFmtId="0" fontId="77" fillId="14" borderId="144" xfId="0" applyFont="1" applyFill="1" applyBorder="1" applyAlignment="1">
      <alignment horizontal="center" vertical="center"/>
    </xf>
    <xf numFmtId="4" fontId="78" fillId="14" borderId="146" xfId="0" applyNumberFormat="1" applyFont="1" applyFill="1" applyBorder="1" applyAlignment="1">
      <alignment horizontal="right" vertical="center"/>
    </xf>
    <xf numFmtId="0" fontId="78" fillId="14" borderId="139" xfId="0" applyFont="1" applyFill="1" applyBorder="1" applyAlignment="1">
      <alignment horizontal="right" vertical="center"/>
    </xf>
    <xf numFmtId="0" fontId="79" fillId="14" borderId="146" xfId="0" applyFont="1" applyFill="1" applyBorder="1" applyAlignment="1">
      <alignment horizontal="right" vertical="center"/>
    </xf>
    <xf numFmtId="0" fontId="80" fillId="14" borderId="150" xfId="0" applyFont="1" applyFill="1" applyBorder="1" applyAlignment="1">
      <alignment horizontal="right" vertical="center"/>
    </xf>
    <xf numFmtId="0" fontId="11" fillId="6" borderId="40" xfId="0" applyFont="1" applyFill="1" applyBorder="1" applyAlignment="1">
      <alignment horizontal="center" vertical="center"/>
    </xf>
    <xf numFmtId="0" fontId="11" fillId="35" borderId="40" xfId="0" applyFont="1" applyFill="1" applyBorder="1" applyAlignment="1">
      <alignment horizontal="center" vertical="center"/>
    </xf>
    <xf numFmtId="0" fontId="11" fillId="36" borderId="138" xfId="0" applyFont="1" applyFill="1" applyBorder="1" applyAlignment="1">
      <alignment horizontal="center" vertical="center"/>
    </xf>
    <xf numFmtId="0" fontId="11" fillId="11" borderId="141" xfId="0" applyFont="1" applyFill="1" applyBorder="1" applyAlignment="1">
      <alignment horizontal="center" vertical="center"/>
    </xf>
    <xf numFmtId="0" fontId="14" fillId="21" borderId="126" xfId="0" applyFont="1" applyFill="1" applyBorder="1" applyAlignment="1">
      <alignment horizontal="left" vertical="center"/>
    </xf>
    <xf numFmtId="0" fontId="65" fillId="4" borderId="42" xfId="0" applyFont="1" applyFill="1" applyBorder="1" applyAlignment="1">
      <alignment horizontal="left" vertical="center"/>
    </xf>
    <xf numFmtId="0" fontId="57" fillId="3" borderId="42" xfId="0" applyFont="1" applyFill="1" applyBorder="1" applyAlignment="1">
      <alignment horizontal="left" vertical="center"/>
    </xf>
    <xf numFmtId="0" fontId="5" fillId="6" borderId="126" xfId="0" applyFont="1" applyFill="1" applyBorder="1" applyAlignment="1">
      <alignment horizontal="left" vertical="center"/>
    </xf>
    <xf numFmtId="0" fontId="5" fillId="6" borderId="127" xfId="0" applyFont="1" applyFill="1" applyBorder="1" applyAlignment="1">
      <alignment horizontal="right" vertical="center"/>
    </xf>
    <xf numFmtId="0" fontId="5" fillId="6" borderId="146" xfId="0" applyFont="1" applyFill="1" applyBorder="1" applyAlignment="1">
      <alignment horizontal="right" vertical="center"/>
    </xf>
    <xf numFmtId="4" fontId="15" fillId="71" borderId="147" xfId="0" applyNumberFormat="1" applyFont="1" applyFill="1" applyBorder="1" applyAlignment="1">
      <alignment horizontal="right" vertical="center"/>
    </xf>
    <xf numFmtId="0" fontId="82" fillId="11" borderId="148" xfId="0" applyFont="1" applyFill="1" applyBorder="1" applyAlignment="1">
      <alignment horizontal="left" vertical="center"/>
    </xf>
    <xf numFmtId="4" fontId="82" fillId="11" borderId="149" xfId="0" applyNumberFormat="1" applyFont="1" applyFill="1" applyBorder="1" applyAlignment="1">
      <alignment horizontal="right" vertical="center"/>
    </xf>
    <xf numFmtId="4" fontId="82" fillId="11" borderId="150" xfId="0" applyNumberFormat="1" applyFont="1" applyFill="1" applyBorder="1" applyAlignment="1">
      <alignment horizontal="right" vertical="center"/>
    </xf>
    <xf numFmtId="4" fontId="83" fillId="72" borderId="151" xfId="0" applyNumberFormat="1" applyFont="1" applyFill="1" applyBorder="1" applyAlignment="1">
      <alignment horizontal="right" vertical="center"/>
    </xf>
    <xf numFmtId="4" fontId="81" fillId="47" borderId="43" xfId="0" applyNumberFormat="1" applyFont="1" applyFill="1" applyBorder="1" applyAlignment="1">
      <alignment horizontal="right" vertical="center"/>
    </xf>
    <xf numFmtId="10" fontId="60" fillId="46" borderId="43" xfId="0" applyNumberFormat="1" applyFont="1" applyFill="1" applyBorder="1" applyAlignment="1">
      <alignment horizontal="right" vertical="center"/>
    </xf>
    <xf numFmtId="4" fontId="37" fillId="73" borderId="127" xfId="0" applyNumberFormat="1" applyFont="1" applyFill="1" applyBorder="1" applyAlignment="1">
      <alignment horizontal="right" vertical="center"/>
    </xf>
    <xf numFmtId="0" fontId="37" fillId="73" borderId="43" xfId="0" applyFont="1" applyFill="1" applyBorder="1" applyAlignment="1">
      <alignment horizontal="right" vertical="center"/>
    </xf>
    <xf numFmtId="167" fontId="37" fillId="73" borderId="43" xfId="0" applyNumberFormat="1" applyFont="1" applyFill="1" applyBorder="1" applyAlignment="1">
      <alignment horizontal="right" vertical="center"/>
    </xf>
    <xf numFmtId="4" fontId="81" fillId="73" borderId="43" xfId="0" applyNumberFormat="1" applyFont="1" applyFill="1" applyBorder="1" applyAlignment="1">
      <alignment horizontal="right" vertical="center"/>
    </xf>
    <xf numFmtId="167" fontId="37" fillId="74" borderId="43" xfId="0" applyNumberFormat="1" applyFont="1" applyFill="1" applyBorder="1" applyAlignment="1">
      <alignment horizontal="right" vertical="center"/>
    </xf>
    <xf numFmtId="0" fontId="37" fillId="74" borderId="43" xfId="0" applyFont="1" applyFill="1" applyBorder="1" applyAlignment="1">
      <alignment horizontal="right" vertical="center"/>
    </xf>
    <xf numFmtId="10" fontId="60" fillId="74" borderId="43" xfId="0" applyNumberFormat="1" applyFont="1" applyFill="1" applyBorder="1" applyAlignment="1">
      <alignment horizontal="right" vertical="center"/>
    </xf>
    <xf numFmtId="4" fontId="37" fillId="75" borderId="146" xfId="0" applyNumberFormat="1" applyFont="1" applyFill="1" applyBorder="1" applyAlignment="1">
      <alignment horizontal="right" vertical="center"/>
    </xf>
    <xf numFmtId="0" fontId="37" fillId="75" borderId="139" xfId="0" applyFont="1" applyFill="1" applyBorder="1" applyAlignment="1">
      <alignment horizontal="right" vertical="center"/>
    </xf>
    <xf numFmtId="167" fontId="37" fillId="75" borderId="139" xfId="0" applyNumberFormat="1" applyFont="1" applyFill="1" applyBorder="1" applyAlignment="1">
      <alignment horizontal="right" vertical="center"/>
    </xf>
    <xf numFmtId="4" fontId="81" fillId="75" borderId="139" xfId="0" applyNumberFormat="1" applyFont="1" applyFill="1" applyBorder="1" applyAlignment="1">
      <alignment horizontal="right" vertical="center"/>
    </xf>
    <xf numFmtId="167" fontId="37" fillId="76" borderId="139" xfId="0" applyNumberFormat="1" applyFont="1" applyFill="1" applyBorder="1" applyAlignment="1">
      <alignment horizontal="right" vertical="center"/>
    </xf>
    <xf numFmtId="0" fontId="37" fillId="76" borderId="139" xfId="0" applyFont="1" applyFill="1" applyBorder="1" applyAlignment="1">
      <alignment horizontal="right" vertical="center"/>
    </xf>
    <xf numFmtId="10" fontId="60" fillId="76" borderId="139" xfId="0" applyNumberFormat="1" applyFont="1" applyFill="1" applyBorder="1" applyAlignment="1">
      <alignment horizontal="right" vertical="center"/>
    </xf>
    <xf numFmtId="0" fontId="14" fillId="77" borderId="142" xfId="0" applyFont="1" applyFill="1" applyBorder="1" applyAlignment="1">
      <alignment horizontal="right" vertical="center"/>
    </xf>
    <xf numFmtId="0" fontId="37" fillId="79" borderId="43" xfId="0" applyFont="1" applyFill="1" applyBorder="1" applyAlignment="1">
      <alignment vertical="center"/>
    </xf>
    <xf numFmtId="4" fontId="37" fillId="79" borderId="43" xfId="0" applyNumberFormat="1" applyFont="1" applyFill="1" applyBorder="1" applyAlignment="1">
      <alignment horizontal="right" vertical="center"/>
    </xf>
    <xf numFmtId="10" fontId="37" fillId="79" borderId="43" xfId="0" applyNumberFormat="1" applyFont="1" applyFill="1" applyBorder="1" applyAlignment="1">
      <alignment horizontal="right" vertical="center"/>
    </xf>
    <xf numFmtId="0" fontId="37" fillId="79" borderId="44" xfId="0" applyFont="1" applyFill="1" applyBorder="1" applyAlignment="1">
      <alignment vertical="center"/>
    </xf>
    <xf numFmtId="0" fontId="37" fillId="80" borderId="43" xfId="0" applyFont="1" applyFill="1" applyBorder="1" applyAlignment="1">
      <alignment vertical="center"/>
    </xf>
    <xf numFmtId="4" fontId="37" fillId="80" borderId="43" xfId="0" applyNumberFormat="1" applyFont="1" applyFill="1" applyBorder="1" applyAlignment="1">
      <alignment horizontal="right" vertical="center"/>
    </xf>
    <xf numFmtId="10" fontId="37" fillId="80" borderId="43" xfId="0" applyNumberFormat="1" applyFont="1" applyFill="1" applyBorder="1" applyAlignment="1">
      <alignment horizontal="right" vertical="center"/>
    </xf>
    <xf numFmtId="0" fontId="37" fillId="80" borderId="44" xfId="0" applyFont="1" applyFill="1" applyBorder="1" applyAlignment="1">
      <alignment vertical="center"/>
    </xf>
    <xf numFmtId="0" fontId="37" fillId="81" borderId="43" xfId="0" applyFont="1" applyFill="1" applyBorder="1" applyAlignment="1">
      <alignment vertical="center"/>
    </xf>
    <xf numFmtId="4" fontId="37" fillId="81" borderId="43" xfId="0" applyNumberFormat="1" applyFont="1" applyFill="1" applyBorder="1" applyAlignment="1">
      <alignment horizontal="right" vertical="center"/>
    </xf>
    <xf numFmtId="10" fontId="37" fillId="81" borderId="43" xfId="0" applyNumberFormat="1" applyFont="1" applyFill="1" applyBorder="1" applyAlignment="1">
      <alignment horizontal="right" vertical="center"/>
    </xf>
    <xf numFmtId="0" fontId="37" fillId="81" borderId="44" xfId="0" applyFont="1" applyFill="1" applyBorder="1" applyAlignment="1">
      <alignment vertical="center"/>
    </xf>
    <xf numFmtId="0" fontId="37" fillId="82" borderId="43" xfId="0" applyFont="1" applyFill="1" applyBorder="1" applyAlignment="1">
      <alignment vertical="center"/>
    </xf>
    <xf numFmtId="4" fontId="37" fillId="82" borderId="43" xfId="0" applyNumberFormat="1" applyFont="1" applyFill="1" applyBorder="1" applyAlignment="1">
      <alignment horizontal="right" vertical="center"/>
    </xf>
    <xf numFmtId="10" fontId="37" fillId="82" borderId="43" xfId="0" applyNumberFormat="1" applyFont="1" applyFill="1" applyBorder="1" applyAlignment="1">
      <alignment horizontal="right" vertical="center"/>
    </xf>
    <xf numFmtId="0" fontId="37" fillId="82" borderId="44" xfId="0" applyFont="1" applyFill="1" applyBorder="1" applyAlignment="1">
      <alignment vertical="center"/>
    </xf>
    <xf numFmtId="0" fontId="37" fillId="83" borderId="43" xfId="0" applyFont="1" applyFill="1" applyBorder="1" applyAlignment="1">
      <alignment vertical="center"/>
    </xf>
    <xf numFmtId="4" fontId="37" fillId="83" borderId="43" xfId="0" applyNumberFormat="1" applyFont="1" applyFill="1" applyBorder="1" applyAlignment="1">
      <alignment horizontal="right" vertical="center"/>
    </xf>
    <xf numFmtId="10" fontId="37" fillId="83" borderId="43" xfId="0" applyNumberFormat="1" applyFont="1" applyFill="1" applyBorder="1" applyAlignment="1">
      <alignment horizontal="right" vertical="center"/>
    </xf>
    <xf numFmtId="0" fontId="37" fillId="83" borderId="44" xfId="0" applyFont="1" applyFill="1" applyBorder="1" applyAlignment="1">
      <alignment vertical="center"/>
    </xf>
    <xf numFmtId="0" fontId="37" fillId="84" borderId="43" xfId="0" applyFont="1" applyFill="1" applyBorder="1" applyAlignment="1">
      <alignment vertical="center"/>
    </xf>
    <xf numFmtId="4" fontId="37" fillId="84" borderId="43" xfId="0" applyNumberFormat="1" applyFont="1" applyFill="1" applyBorder="1" applyAlignment="1">
      <alignment horizontal="right" vertical="center"/>
    </xf>
    <xf numFmtId="10" fontId="37" fillId="84" borderId="43" xfId="0" applyNumberFormat="1" applyFont="1" applyFill="1" applyBorder="1" applyAlignment="1">
      <alignment horizontal="right" vertical="center"/>
    </xf>
    <xf numFmtId="0" fontId="37" fillId="84" borderId="44" xfId="0" applyFont="1" applyFill="1" applyBorder="1" applyAlignment="1">
      <alignment vertical="center"/>
    </xf>
    <xf numFmtId="0" fontId="37" fillId="85" borderId="43" xfId="0" applyFont="1" applyFill="1" applyBorder="1" applyAlignment="1">
      <alignment vertical="center"/>
    </xf>
    <xf numFmtId="4" fontId="37" fillId="85" borderId="43" xfId="0" applyNumberFormat="1" applyFont="1" applyFill="1" applyBorder="1" applyAlignment="1">
      <alignment horizontal="right" vertical="center"/>
    </xf>
    <xf numFmtId="10" fontId="37" fillId="85" borderId="43" xfId="0" applyNumberFormat="1" applyFont="1" applyFill="1" applyBorder="1" applyAlignment="1">
      <alignment horizontal="right" vertical="center"/>
    </xf>
    <xf numFmtId="0" fontId="37" fillId="85" borderId="44" xfId="0" applyFont="1" applyFill="1" applyBorder="1" applyAlignment="1">
      <alignment vertical="center"/>
    </xf>
    <xf numFmtId="0" fontId="37" fillId="86" borderId="43" xfId="0" applyFont="1" applyFill="1" applyBorder="1" applyAlignment="1">
      <alignment vertical="center"/>
    </xf>
    <xf numFmtId="4" fontId="37" fillId="86" borderId="43" xfId="0" applyNumberFormat="1" applyFont="1" applyFill="1" applyBorder="1" applyAlignment="1">
      <alignment horizontal="right" vertical="center"/>
    </xf>
    <xf numFmtId="10" fontId="37" fillId="86" borderId="43" xfId="0" applyNumberFormat="1" applyFont="1" applyFill="1" applyBorder="1" applyAlignment="1">
      <alignment horizontal="right" vertical="center"/>
    </xf>
    <xf numFmtId="0" fontId="37" fillId="86" borderId="44" xfId="0" applyFont="1" applyFill="1" applyBorder="1" applyAlignment="1">
      <alignment vertical="center"/>
    </xf>
    <xf numFmtId="0" fontId="37" fillId="87" borderId="43" xfId="0" applyFont="1" applyFill="1" applyBorder="1" applyAlignment="1">
      <alignment vertical="center"/>
    </xf>
    <xf numFmtId="4" fontId="37" fillId="87" borderId="43" xfId="0" applyNumberFormat="1" applyFont="1" applyFill="1" applyBorder="1" applyAlignment="1">
      <alignment horizontal="right" vertical="center"/>
    </xf>
    <xf numFmtId="10" fontId="37" fillId="87" borderId="43" xfId="0" applyNumberFormat="1" applyFont="1" applyFill="1" applyBorder="1" applyAlignment="1">
      <alignment horizontal="right" vertical="center"/>
    </xf>
    <xf numFmtId="0" fontId="37" fillId="87" borderId="44" xfId="0" applyFont="1" applyFill="1" applyBorder="1" applyAlignment="1">
      <alignment vertical="center"/>
    </xf>
    <xf numFmtId="0" fontId="87" fillId="88" borderId="43" xfId="0" applyFont="1" applyFill="1" applyBorder="1" applyAlignment="1">
      <alignment horizontal="center" vertical="center"/>
    </xf>
    <xf numFmtId="0" fontId="14" fillId="70" borderId="43" xfId="0" applyFont="1" applyFill="1" applyBorder="1" applyAlignment="1">
      <alignment horizontal="center" vertical="center"/>
    </xf>
    <xf numFmtId="0" fontId="30" fillId="89" borderId="43" xfId="0" applyFont="1" applyFill="1" applyBorder="1" applyAlignment="1">
      <alignment horizontal="center" vertical="center"/>
    </xf>
    <xf numFmtId="0" fontId="71" fillId="75" borderId="43" xfId="0" applyFont="1" applyFill="1" applyBorder="1" applyAlignment="1">
      <alignment horizontal="center" vertical="center"/>
    </xf>
    <xf numFmtId="0" fontId="37" fillId="3" borderId="43" xfId="0" applyFont="1" applyFill="1" applyBorder="1" applyAlignment="1">
      <alignment horizontal="left" vertical="center"/>
    </xf>
    <xf numFmtId="0" fontId="37" fillId="3" borderId="44" xfId="0" applyFont="1" applyFill="1" applyBorder="1" applyAlignment="1">
      <alignment horizontal="left" vertical="center"/>
    </xf>
    <xf numFmtId="0" fontId="33" fillId="93" borderId="42" xfId="0" applyFont="1" applyFill="1" applyBorder="1" applyAlignment="1">
      <alignment horizontal="left" vertical="center"/>
    </xf>
    <xf numFmtId="0" fontId="88" fillId="12" borderId="43" xfId="0" applyFont="1" applyFill="1" applyBorder="1" applyAlignment="1">
      <alignment horizontal="center" vertical="center"/>
    </xf>
    <xf numFmtId="0" fontId="51" fillId="57" borderId="43" xfId="0" applyFont="1" applyFill="1" applyBorder="1" applyAlignment="1">
      <alignment horizontal="left" vertical="center"/>
    </xf>
    <xf numFmtId="0" fontId="51" fillId="57" borderId="44" xfId="0" applyFont="1" applyFill="1" applyBorder="1" applyAlignment="1">
      <alignment horizontal="left" vertical="center"/>
    </xf>
    <xf numFmtId="0" fontId="33" fillId="94" borderId="42" xfId="0" applyFont="1" applyFill="1" applyBorder="1" applyAlignment="1">
      <alignment horizontal="left" vertical="center"/>
    </xf>
    <xf numFmtId="0" fontId="89" fillId="44" borderId="43" xfId="0" applyFont="1" applyFill="1" applyBorder="1" applyAlignment="1">
      <alignment horizontal="center" vertical="center"/>
    </xf>
    <xf numFmtId="0" fontId="51" fillId="95" borderId="43" xfId="0" applyFont="1" applyFill="1" applyBorder="1" applyAlignment="1">
      <alignment horizontal="left" vertical="center"/>
    </xf>
    <xf numFmtId="0" fontId="51" fillId="95" borderId="44" xfId="0" applyFont="1" applyFill="1" applyBorder="1" applyAlignment="1">
      <alignment horizontal="left" vertical="center"/>
    </xf>
    <xf numFmtId="0" fontId="33" fillId="96" borderId="42" xfId="0" applyFont="1" applyFill="1" applyBorder="1" applyAlignment="1">
      <alignment horizontal="left" vertical="center"/>
    </xf>
    <xf numFmtId="0" fontId="90" fillId="97" borderId="43" xfId="0" applyFont="1" applyFill="1" applyBorder="1" applyAlignment="1">
      <alignment horizontal="center" vertical="center"/>
    </xf>
    <xf numFmtId="0" fontId="52" fillId="98" borderId="43" xfId="0" applyFont="1" applyFill="1" applyBorder="1" applyAlignment="1">
      <alignment horizontal="left" vertical="center"/>
    </xf>
    <xf numFmtId="0" fontId="52" fillId="98" borderId="44" xfId="0" applyFont="1" applyFill="1" applyBorder="1" applyAlignment="1">
      <alignment horizontal="left" vertical="center"/>
    </xf>
    <xf numFmtId="0" fontId="33" fillId="32" borderId="42" xfId="0" applyFont="1" applyFill="1" applyBorder="1" applyAlignment="1">
      <alignment horizontal="left" vertical="center"/>
    </xf>
    <xf numFmtId="0" fontId="89" fillId="4" borderId="43" xfId="0" applyFont="1" applyFill="1" applyBorder="1" applyAlignment="1">
      <alignment horizontal="center" vertical="center"/>
    </xf>
    <xf numFmtId="0" fontId="13" fillId="4" borderId="46" xfId="0" applyFont="1" applyFill="1" applyBorder="1" applyAlignment="1">
      <alignment horizontal="left" vertical="center"/>
    </xf>
    <xf numFmtId="0" fontId="13" fillId="4" borderId="47" xfId="0" applyFont="1" applyFill="1" applyBorder="1" applyAlignment="1">
      <alignment horizontal="left" vertical="center"/>
    </xf>
    <xf numFmtId="0" fontId="75" fillId="6" borderId="45" xfId="0" applyFont="1" applyFill="1" applyBorder="1" applyAlignment="1">
      <alignment horizontal="left" vertical="center"/>
    </xf>
    <xf numFmtId="166" fontId="23" fillId="71" borderId="46" xfId="0" applyNumberFormat="1" applyFont="1" applyFill="1" applyBorder="1" applyAlignment="1">
      <alignment horizontal="center" vertical="center"/>
    </xf>
    <xf numFmtId="0" fontId="44" fillId="6" borderId="85" xfId="0" applyFont="1" applyFill="1" applyBorder="1" applyAlignment="1">
      <alignment horizontal="left" vertical="center"/>
    </xf>
    <xf numFmtId="0" fontId="44" fillId="35" borderId="85" xfId="0" applyFont="1" applyFill="1" applyBorder="1" applyAlignment="1">
      <alignment horizontal="left" vertical="center"/>
    </xf>
    <xf numFmtId="0" fontId="44" fillId="36" borderId="85" xfId="0" applyFont="1" applyFill="1" applyBorder="1" applyAlignment="1">
      <alignment horizontal="left" vertical="center"/>
    </xf>
    <xf numFmtId="0" fontId="44" fillId="37" borderId="85" xfId="0" applyFont="1" applyFill="1" applyBorder="1" applyAlignment="1">
      <alignment horizontal="left" vertical="center"/>
    </xf>
    <xf numFmtId="0" fontId="44" fillId="38" borderId="85" xfId="0" applyFont="1" applyFill="1" applyBorder="1" applyAlignment="1">
      <alignment horizontal="left" vertical="center"/>
    </xf>
    <xf numFmtId="0" fontId="44" fillId="38" borderId="87" xfId="0" applyFont="1" applyFill="1" applyBorder="1" applyAlignment="1">
      <alignment horizontal="left" vertical="center"/>
    </xf>
    <xf numFmtId="0" fontId="42" fillId="99" borderId="43" xfId="0" applyFont="1" applyFill="1" applyBorder="1" applyAlignment="1">
      <alignment horizontal="left" vertical="center"/>
    </xf>
    <xf numFmtId="2" fontId="42" fillId="99" borderId="43" xfId="0" applyNumberFormat="1" applyFont="1" applyFill="1" applyBorder="1" applyAlignment="1">
      <alignment horizontal="right" vertical="center"/>
    </xf>
    <xf numFmtId="0" fontId="42" fillId="46" borderId="43" xfId="0" applyFont="1" applyFill="1" applyBorder="1" applyAlignment="1">
      <alignment horizontal="left" vertical="center"/>
    </xf>
    <xf numFmtId="2" fontId="42" fillId="46" borderId="43" xfId="0" applyNumberFormat="1" applyFont="1" applyFill="1" applyBorder="1" applyAlignment="1">
      <alignment horizontal="right" vertical="center"/>
    </xf>
    <xf numFmtId="0" fontId="42" fillId="47" borderId="43" xfId="0" applyFont="1" applyFill="1" applyBorder="1" applyAlignment="1">
      <alignment horizontal="left" vertical="center"/>
    </xf>
    <xf numFmtId="2" fontId="42" fillId="47" borderId="43" xfId="0" applyNumberFormat="1" applyFont="1" applyFill="1" applyBorder="1" applyAlignment="1">
      <alignment horizontal="right" vertical="center"/>
    </xf>
    <xf numFmtId="49" fontId="42" fillId="47" borderId="43" xfId="0" applyNumberFormat="1" applyFont="1" applyFill="1" applyBorder="1" applyAlignment="1">
      <alignment horizontal="right" vertical="center"/>
    </xf>
    <xf numFmtId="10" fontId="42" fillId="46" borderId="43" xfId="0" applyNumberFormat="1" applyFont="1" applyFill="1" applyBorder="1" applyAlignment="1">
      <alignment horizontal="right" vertical="center"/>
    </xf>
    <xf numFmtId="0" fontId="42" fillId="100" borderId="43" xfId="0" applyFont="1" applyFill="1" applyBorder="1" applyAlignment="1">
      <alignment horizontal="left" vertical="center"/>
    </xf>
    <xf numFmtId="2" fontId="42" fillId="100" borderId="43" xfId="0" applyNumberFormat="1" applyFont="1" applyFill="1" applyBorder="1" applyAlignment="1">
      <alignment horizontal="right" vertical="center"/>
    </xf>
    <xf numFmtId="0" fontId="42" fillId="90" borderId="43" xfId="0" applyFont="1" applyFill="1" applyBorder="1" applyAlignment="1">
      <alignment horizontal="left" vertical="center"/>
    </xf>
    <xf numFmtId="2" fontId="42" fillId="90" borderId="43" xfId="0" applyNumberFormat="1" applyFont="1" applyFill="1" applyBorder="1" applyAlignment="1">
      <alignment horizontal="right" vertical="center"/>
    </xf>
    <xf numFmtId="0" fontId="42" fillId="73" borderId="43" xfId="0" applyFont="1" applyFill="1" applyBorder="1" applyAlignment="1">
      <alignment horizontal="left" vertical="center"/>
    </xf>
    <xf numFmtId="2" fontId="42" fillId="73" borderId="43" xfId="0" applyNumberFormat="1" applyFont="1" applyFill="1" applyBorder="1" applyAlignment="1">
      <alignment horizontal="right" vertical="center"/>
    </xf>
    <xf numFmtId="0" fontId="42" fillId="101" borderId="43" xfId="0" applyFont="1" applyFill="1" applyBorder="1" applyAlignment="1">
      <alignment horizontal="left" vertical="center"/>
    </xf>
    <xf numFmtId="2" fontId="42" fillId="101" borderId="43" xfId="0" applyNumberFormat="1" applyFont="1" applyFill="1" applyBorder="1" applyAlignment="1">
      <alignment horizontal="right" vertical="center"/>
    </xf>
    <xf numFmtId="0" fontId="42" fillId="76" borderId="43" xfId="0" applyFont="1" applyFill="1" applyBorder="1" applyAlignment="1">
      <alignment horizontal="left" vertical="center"/>
    </xf>
    <xf numFmtId="2" fontId="42" fillId="76" borderId="43" xfId="0" applyNumberFormat="1" applyFont="1" applyFill="1" applyBorder="1" applyAlignment="1">
      <alignment horizontal="right" vertical="center"/>
    </xf>
    <xf numFmtId="0" fontId="42" fillId="75" borderId="43" xfId="0" applyFont="1" applyFill="1" applyBorder="1" applyAlignment="1">
      <alignment horizontal="left" vertical="center"/>
    </xf>
    <xf numFmtId="2" fontId="42" fillId="75" borderId="43" xfId="0" applyNumberFormat="1" applyFont="1" applyFill="1" applyBorder="1" applyAlignment="1">
      <alignment horizontal="right" vertical="center"/>
    </xf>
    <xf numFmtId="0" fontId="42" fillId="102" borderId="43" xfId="0" applyFont="1" applyFill="1" applyBorder="1" applyAlignment="1">
      <alignment horizontal="left" vertical="center"/>
    </xf>
    <xf numFmtId="2" fontId="42" fillId="102" borderId="43" xfId="0" applyNumberFormat="1" applyFont="1" applyFill="1" applyBorder="1" applyAlignment="1">
      <alignment horizontal="right" vertical="center"/>
    </xf>
    <xf numFmtId="0" fontId="42" fillId="92" borderId="43" xfId="0" applyFont="1" applyFill="1" applyBorder="1" applyAlignment="1">
      <alignment horizontal="left" vertical="center"/>
    </xf>
    <xf numFmtId="2" fontId="42" fillId="92" borderId="43" xfId="0" applyNumberFormat="1" applyFont="1" applyFill="1" applyBorder="1" applyAlignment="1">
      <alignment horizontal="right" vertical="center"/>
    </xf>
    <xf numFmtId="0" fontId="42" fillId="91" borderId="43" xfId="0" applyFont="1" applyFill="1" applyBorder="1" applyAlignment="1">
      <alignment horizontal="left" vertical="center"/>
    </xf>
    <xf numFmtId="2" fontId="42" fillId="91" borderId="43" xfId="0" applyNumberFormat="1" applyFont="1" applyFill="1" applyBorder="1" applyAlignment="1">
      <alignment horizontal="right" vertical="center"/>
    </xf>
    <xf numFmtId="49" fontId="42" fillId="92" borderId="43" xfId="0" applyNumberFormat="1" applyFont="1" applyFill="1" applyBorder="1" applyAlignment="1">
      <alignment horizontal="right" vertical="center"/>
    </xf>
    <xf numFmtId="0" fontId="42" fillId="103" borderId="43" xfId="0" applyFont="1" applyFill="1" applyBorder="1" applyAlignment="1">
      <alignment horizontal="left" vertical="center"/>
    </xf>
    <xf numFmtId="2" fontId="42" fillId="103" borderId="43" xfId="0" applyNumberFormat="1" applyFont="1" applyFill="1" applyBorder="1" applyAlignment="1">
      <alignment horizontal="right" vertical="center"/>
    </xf>
    <xf numFmtId="0" fontId="42" fillId="86" borderId="43" xfId="0" applyFont="1" applyFill="1" applyBorder="1" applyAlignment="1">
      <alignment horizontal="left" vertical="center"/>
    </xf>
    <xf numFmtId="2" fontId="42" fillId="86" borderId="43" xfId="0" applyNumberFormat="1" applyFont="1" applyFill="1" applyBorder="1" applyAlignment="1">
      <alignment horizontal="right" vertical="center"/>
    </xf>
    <xf numFmtId="0" fontId="42" fillId="87" borderId="88" xfId="0" applyFont="1" applyFill="1" applyBorder="1" applyAlignment="1">
      <alignment horizontal="left" vertical="center"/>
    </xf>
    <xf numFmtId="2" fontId="42" fillId="87" borderId="88" xfId="0" applyNumberFormat="1" applyFont="1" applyFill="1" applyBorder="1" applyAlignment="1">
      <alignment horizontal="right" vertical="center"/>
    </xf>
    <xf numFmtId="0" fontId="42" fillId="99" borderId="86" xfId="0" applyFont="1" applyFill="1" applyBorder="1" applyAlignment="1">
      <alignment horizontal="left" vertical="top" wrapText="1"/>
    </xf>
    <xf numFmtId="0" fontId="42" fillId="46" borderId="86" xfId="0" applyFont="1" applyFill="1" applyBorder="1" applyAlignment="1">
      <alignment horizontal="left" vertical="top" wrapText="1"/>
    </xf>
    <xf numFmtId="0" fontId="42" fillId="47" borderId="86" xfId="0" applyFont="1" applyFill="1" applyBorder="1" applyAlignment="1">
      <alignment horizontal="left" vertical="top" wrapText="1"/>
    </xf>
    <xf numFmtId="0" fontId="42" fillId="100" borderId="86" xfId="0" applyFont="1" applyFill="1" applyBorder="1" applyAlignment="1">
      <alignment horizontal="left" vertical="top" wrapText="1"/>
    </xf>
    <xf numFmtId="0" fontId="42" fillId="90" borderId="86" xfId="0" applyFont="1" applyFill="1" applyBorder="1" applyAlignment="1">
      <alignment horizontal="left" vertical="top" wrapText="1"/>
    </xf>
    <xf numFmtId="0" fontId="42" fillId="73" borderId="86" xfId="0" applyFont="1" applyFill="1" applyBorder="1" applyAlignment="1">
      <alignment horizontal="left" vertical="top" wrapText="1"/>
    </xf>
    <xf numFmtId="0" fontId="42" fillId="101" borderId="86" xfId="0" applyFont="1" applyFill="1" applyBorder="1" applyAlignment="1">
      <alignment horizontal="left" vertical="top" wrapText="1"/>
    </xf>
    <xf numFmtId="0" fontId="42" fillId="76" borderId="86" xfId="0" applyFont="1" applyFill="1" applyBorder="1" applyAlignment="1">
      <alignment horizontal="left" vertical="top" wrapText="1"/>
    </xf>
    <xf numFmtId="0" fontId="42" fillId="75" borderId="86" xfId="0" applyFont="1" applyFill="1" applyBorder="1" applyAlignment="1">
      <alignment horizontal="left" vertical="top" wrapText="1"/>
    </xf>
    <xf numFmtId="0" fontId="42" fillId="102" borderId="86" xfId="0" applyFont="1" applyFill="1" applyBorder="1" applyAlignment="1">
      <alignment horizontal="left" vertical="top" wrapText="1"/>
    </xf>
    <xf numFmtId="0" fontId="42" fillId="92" borderId="86" xfId="0" applyFont="1" applyFill="1" applyBorder="1" applyAlignment="1">
      <alignment horizontal="left" vertical="top" wrapText="1"/>
    </xf>
    <xf numFmtId="0" fontId="42" fillId="91" borderId="86" xfId="0" applyFont="1" applyFill="1" applyBorder="1" applyAlignment="1">
      <alignment horizontal="left" vertical="top" wrapText="1"/>
    </xf>
    <xf numFmtId="0" fontId="42" fillId="103" borderId="86" xfId="0" applyFont="1" applyFill="1" applyBorder="1" applyAlignment="1">
      <alignment horizontal="left" vertical="top" wrapText="1"/>
    </xf>
    <xf numFmtId="0" fontId="42" fillId="86" borderId="86" xfId="0" applyFont="1" applyFill="1" applyBorder="1" applyAlignment="1">
      <alignment horizontal="left" vertical="top" wrapText="1"/>
    </xf>
    <xf numFmtId="0" fontId="42" fillId="87" borderId="89" xfId="0" applyFont="1" applyFill="1" applyBorder="1" applyAlignment="1">
      <alignment horizontal="left" vertical="top" wrapText="1"/>
    </xf>
    <xf numFmtId="0" fontId="92" fillId="12" borderId="43" xfId="0" applyFont="1" applyFill="1" applyBorder="1" applyAlignment="1">
      <alignment horizontal="center" vertical="center"/>
    </xf>
    <xf numFmtId="0" fontId="92" fillId="12" borderId="88" xfId="0" applyFont="1" applyFill="1" applyBorder="1" applyAlignment="1">
      <alignment horizontal="center" vertical="center"/>
    </xf>
    <xf numFmtId="0" fontId="94" fillId="4" borderId="43" xfId="0" applyFont="1" applyFill="1" applyBorder="1" applyAlignment="1">
      <alignment horizontal="center" vertical="center"/>
    </xf>
    <xf numFmtId="0" fontId="93" fillId="3" borderId="43" xfId="0" applyFont="1" applyFill="1" applyBorder="1" applyAlignment="1">
      <alignment horizontal="center" vertical="center"/>
    </xf>
    <xf numFmtId="0" fontId="93" fillId="3" borderId="88" xfId="0" applyFont="1" applyFill="1" applyBorder="1" applyAlignment="1">
      <alignment horizontal="center" vertical="center"/>
    </xf>
    <xf numFmtId="0" fontId="64" fillId="5" borderId="39" xfId="0" applyFont="1" applyFill="1" applyBorder="1" applyAlignment="1">
      <alignment horizontal="left" vertical="center"/>
    </xf>
    <xf numFmtId="0" fontId="64" fillId="5" borderId="40" xfId="0" applyFont="1" applyFill="1" applyBorder="1" applyAlignment="1">
      <alignment horizontal="left" vertical="center"/>
    </xf>
    <xf numFmtId="0" fontId="64" fillId="5" borderId="41" xfId="0" applyFont="1" applyFill="1" applyBorder="1" applyAlignment="1">
      <alignment horizontal="left" vertical="center"/>
    </xf>
    <xf numFmtId="0" fontId="44" fillId="27" borderId="159" xfId="0" applyFont="1" applyFill="1" applyBorder="1" applyAlignment="1">
      <alignment horizontal="center" vertical="center"/>
    </xf>
    <xf numFmtId="0" fontId="44" fillId="27" borderId="160" xfId="0" applyFont="1" applyFill="1" applyBorder="1" applyAlignment="1">
      <alignment horizontal="center" vertical="center"/>
    </xf>
    <xf numFmtId="0" fontId="34" fillId="2" borderId="162" xfId="0" applyFont="1" applyFill="1" applyBorder="1" applyAlignment="1">
      <alignment horizontal="left" vertical="top" wrapText="1"/>
    </xf>
    <xf numFmtId="0" fontId="44" fillId="104" borderId="164" xfId="0" applyFont="1" applyFill="1" applyBorder="1" applyAlignment="1">
      <alignment horizontal="left" vertical="center"/>
    </xf>
    <xf numFmtId="0" fontId="44" fillId="104" borderId="164" xfId="0" applyFont="1" applyFill="1" applyBorder="1" applyAlignment="1">
      <alignment horizontal="center" vertical="center"/>
    </xf>
    <xf numFmtId="0" fontId="44" fillId="104" borderId="165" xfId="0" applyFont="1" applyFill="1" applyBorder="1" applyAlignment="1">
      <alignment horizontal="center" vertical="center"/>
    </xf>
    <xf numFmtId="0" fontId="42" fillId="105" borderId="167" xfId="0" applyFont="1" applyFill="1" applyBorder="1" applyAlignment="1">
      <alignment horizontal="center" vertical="center"/>
    </xf>
    <xf numFmtId="3" fontId="42" fillId="105" borderId="167" xfId="0" applyNumberFormat="1" applyFont="1" applyFill="1" applyBorder="1" applyAlignment="1">
      <alignment horizontal="center" vertical="center"/>
    </xf>
    <xf numFmtId="10" fontId="42" fillId="105" borderId="167" xfId="0" applyNumberFormat="1" applyFont="1" applyFill="1" applyBorder="1" applyAlignment="1">
      <alignment horizontal="center" vertical="center"/>
    </xf>
    <xf numFmtId="0" fontId="42" fillId="105" borderId="168" xfId="0" applyFont="1" applyFill="1" applyBorder="1" applyAlignment="1">
      <alignment horizontal="center" vertical="center"/>
    </xf>
    <xf numFmtId="0" fontId="42" fillId="105" borderId="166" xfId="0" applyFont="1" applyFill="1" applyBorder="1" applyAlignment="1">
      <alignment horizontal="left" vertical="center"/>
    </xf>
    <xf numFmtId="0" fontId="42" fillId="105" borderId="167" xfId="0" applyFont="1" applyFill="1" applyBorder="1" applyAlignment="1">
      <alignment horizontal="left" vertical="center"/>
    </xf>
    <xf numFmtId="0" fontId="42" fillId="19" borderId="167" xfId="0" applyFont="1" applyFill="1" applyBorder="1" applyAlignment="1">
      <alignment horizontal="center" vertical="center"/>
    </xf>
    <xf numFmtId="3" fontId="42" fillId="19" borderId="167" xfId="0" applyNumberFormat="1" applyFont="1" applyFill="1" applyBorder="1" applyAlignment="1">
      <alignment horizontal="center" vertical="center"/>
    </xf>
    <xf numFmtId="10" fontId="42" fillId="19" borderId="167" xfId="0" applyNumberFormat="1" applyFont="1" applyFill="1" applyBorder="1" applyAlignment="1">
      <alignment horizontal="center" vertical="center"/>
    </xf>
    <xf numFmtId="0" fontId="97" fillId="19" borderId="168" xfId="0" applyFont="1" applyFill="1" applyBorder="1" applyAlignment="1">
      <alignment horizontal="center" vertical="center"/>
    </xf>
    <xf numFmtId="0" fontId="42" fillId="19" borderId="166" xfId="0" applyFont="1" applyFill="1" applyBorder="1" applyAlignment="1">
      <alignment horizontal="left" vertical="center"/>
    </xf>
    <xf numFmtId="0" fontId="42" fillId="19" borderId="167" xfId="0" applyFont="1" applyFill="1" applyBorder="1" applyAlignment="1">
      <alignment horizontal="left" vertical="center"/>
    </xf>
    <xf numFmtId="0" fontId="97" fillId="105" borderId="168" xfId="0" applyFont="1" applyFill="1" applyBorder="1" applyAlignment="1">
      <alignment horizontal="center" vertical="center"/>
    </xf>
    <xf numFmtId="0" fontId="42" fillId="19" borderId="168" xfId="0" applyFont="1" applyFill="1" applyBorder="1" applyAlignment="1">
      <alignment horizontal="center" vertical="center"/>
    </xf>
    <xf numFmtId="0" fontId="42" fillId="106" borderId="167" xfId="0" applyFont="1" applyFill="1" applyBorder="1" applyAlignment="1">
      <alignment horizontal="center" vertical="center"/>
    </xf>
    <xf numFmtId="3" fontId="42" fillId="106" borderId="167" xfId="0" applyNumberFormat="1" applyFont="1" applyFill="1" applyBorder="1" applyAlignment="1">
      <alignment horizontal="center" vertical="center"/>
    </xf>
    <xf numFmtId="10" fontId="42" fillId="106" borderId="167" xfId="0" applyNumberFormat="1" applyFont="1" applyFill="1" applyBorder="1" applyAlignment="1">
      <alignment horizontal="center" vertical="center"/>
    </xf>
    <xf numFmtId="0" fontId="97" fillId="106" borderId="168" xfId="0" applyFont="1" applyFill="1" applyBorder="1" applyAlignment="1">
      <alignment horizontal="center" vertical="center"/>
    </xf>
    <xf numFmtId="0" fontId="42" fillId="106" borderId="166" xfId="0" applyFont="1" applyFill="1" applyBorder="1" applyAlignment="1">
      <alignment horizontal="left" vertical="center"/>
    </xf>
    <xf numFmtId="0" fontId="42" fillId="106" borderId="167" xfId="0" applyFont="1" applyFill="1" applyBorder="1" applyAlignment="1">
      <alignment horizontal="left" vertical="center"/>
    </xf>
    <xf numFmtId="0" fontId="42" fillId="107" borderId="167" xfId="0" applyFont="1" applyFill="1" applyBorder="1" applyAlignment="1">
      <alignment horizontal="center" vertical="center"/>
    </xf>
    <xf numFmtId="3" fontId="42" fillId="107" borderId="167" xfId="0" applyNumberFormat="1" applyFont="1" applyFill="1" applyBorder="1" applyAlignment="1">
      <alignment horizontal="center" vertical="center"/>
    </xf>
    <xf numFmtId="10" fontId="42" fillId="107" borderId="167" xfId="0" applyNumberFormat="1" applyFont="1" applyFill="1" applyBorder="1" applyAlignment="1">
      <alignment horizontal="center" vertical="center"/>
    </xf>
    <xf numFmtId="0" fontId="42" fillId="107" borderId="168" xfId="0" applyFont="1" applyFill="1" applyBorder="1" applyAlignment="1">
      <alignment horizontal="center" vertical="center"/>
    </xf>
    <xf numFmtId="0" fontId="42" fillId="107" borderId="166" xfId="0" applyFont="1" applyFill="1" applyBorder="1" applyAlignment="1">
      <alignment horizontal="left" vertical="center"/>
    </xf>
    <xf numFmtId="0" fontId="42" fillId="107" borderId="167" xfId="0" applyFont="1" applyFill="1" applyBorder="1" applyAlignment="1">
      <alignment horizontal="left" vertical="center"/>
    </xf>
    <xf numFmtId="0" fontId="42" fillId="106" borderId="168" xfId="0" applyFont="1" applyFill="1" applyBorder="1" applyAlignment="1">
      <alignment horizontal="center" vertical="center"/>
    </xf>
    <xf numFmtId="0" fontId="42" fillId="109" borderId="167" xfId="0" applyFont="1" applyFill="1" applyBorder="1" applyAlignment="1">
      <alignment horizontal="center" vertical="center"/>
    </xf>
    <xf numFmtId="3" fontId="42" fillId="109" borderId="167" xfId="0" applyNumberFormat="1" applyFont="1" applyFill="1" applyBorder="1" applyAlignment="1">
      <alignment horizontal="center" vertical="center"/>
    </xf>
    <xf numFmtId="10" fontId="42" fillId="109" borderId="167" xfId="0" applyNumberFormat="1" applyFont="1" applyFill="1" applyBorder="1" applyAlignment="1">
      <alignment horizontal="center" vertical="center"/>
    </xf>
    <xf numFmtId="0" fontId="42" fillId="109" borderId="168" xfId="0" applyFont="1" applyFill="1" applyBorder="1" applyAlignment="1">
      <alignment horizontal="center" vertical="center"/>
    </xf>
    <xf numFmtId="0" fontId="42" fillId="109" borderId="166" xfId="0" applyFont="1" applyFill="1" applyBorder="1" applyAlignment="1">
      <alignment horizontal="left" vertical="center"/>
    </xf>
    <xf numFmtId="0" fontId="42" fillId="109" borderId="167" xfId="0" applyFont="1" applyFill="1" applyBorder="1" applyAlignment="1">
      <alignment horizontal="left" vertical="center"/>
    </xf>
    <xf numFmtId="0" fontId="42" fillId="110" borderId="167" xfId="0" applyFont="1" applyFill="1" applyBorder="1" applyAlignment="1">
      <alignment horizontal="center" vertical="center"/>
    </xf>
    <xf numFmtId="3" fontId="42" fillId="110" borderId="167" xfId="0" applyNumberFormat="1" applyFont="1" applyFill="1" applyBorder="1" applyAlignment="1">
      <alignment horizontal="center" vertical="center"/>
    </xf>
    <xf numFmtId="10" fontId="42" fillId="110" borderId="167" xfId="0" applyNumberFormat="1" applyFont="1" applyFill="1" applyBorder="1" applyAlignment="1">
      <alignment horizontal="center" vertical="center"/>
    </xf>
    <xf numFmtId="0" fontId="42" fillId="110" borderId="166" xfId="0" applyFont="1" applyFill="1" applyBorder="1" applyAlignment="1">
      <alignment horizontal="left" vertical="center"/>
    </xf>
    <xf numFmtId="0" fontId="42" fillId="110" borderId="167" xfId="0" applyFont="1" applyFill="1" applyBorder="1" applyAlignment="1">
      <alignment horizontal="left" vertical="center"/>
    </xf>
    <xf numFmtId="0" fontId="42" fillId="110" borderId="168" xfId="0" applyFont="1" applyFill="1" applyBorder="1" applyAlignment="1">
      <alignment horizontal="center" vertical="center"/>
    </xf>
    <xf numFmtId="0" fontId="64" fillId="39" borderId="169" xfId="0" applyFont="1" applyFill="1" applyBorder="1" applyAlignment="1">
      <alignment horizontal="center" vertical="center"/>
    </xf>
    <xf numFmtId="0" fontId="64" fillId="39" borderId="167" xfId="0" applyFont="1" applyFill="1" applyBorder="1" applyAlignment="1">
      <alignment horizontal="center" vertical="center"/>
    </xf>
    <xf numFmtId="0" fontId="56" fillId="111" borderId="167" xfId="0" applyFont="1" applyFill="1" applyBorder="1" applyAlignment="1">
      <alignment vertical="center"/>
    </xf>
    <xf numFmtId="0" fontId="56" fillId="111" borderId="168" xfId="0" applyFont="1" applyFill="1" applyBorder="1" applyAlignment="1">
      <alignment vertical="center"/>
    </xf>
    <xf numFmtId="0" fontId="93" fillId="12" borderId="169" xfId="0" applyFont="1" applyFill="1" applyBorder="1" applyAlignment="1">
      <alignment horizontal="center" vertical="center"/>
    </xf>
    <xf numFmtId="0" fontId="93" fillId="12" borderId="167" xfId="0" applyFont="1" applyFill="1" applyBorder="1" applyAlignment="1">
      <alignment horizontal="center" vertical="center"/>
    </xf>
    <xf numFmtId="0" fontId="98" fillId="40" borderId="169" xfId="0" applyFont="1" applyFill="1" applyBorder="1" applyAlignment="1">
      <alignment horizontal="center" vertical="center"/>
    </xf>
    <xf numFmtId="0" fontId="98" fillId="40" borderId="167" xfId="0" applyFont="1" applyFill="1" applyBorder="1" applyAlignment="1">
      <alignment horizontal="center" vertical="center"/>
    </xf>
    <xf numFmtId="0" fontId="44" fillId="6" borderId="36" xfId="0" applyFont="1" applyFill="1" applyBorder="1" applyAlignment="1">
      <alignment horizontal="center" vertical="center"/>
    </xf>
    <xf numFmtId="0" fontId="44" fillId="6" borderId="37" xfId="0" applyFont="1" applyFill="1" applyBorder="1" applyAlignment="1">
      <alignment horizontal="center" vertical="center"/>
    </xf>
    <xf numFmtId="0" fontId="43" fillId="6" borderId="37" xfId="0" applyFont="1" applyFill="1" applyBorder="1" applyAlignment="1">
      <alignment vertical="center"/>
    </xf>
    <xf numFmtId="0" fontId="43" fillId="6" borderId="38" xfId="0" applyFont="1" applyFill="1" applyBorder="1" applyAlignment="1">
      <alignment vertical="center"/>
    </xf>
    <xf numFmtId="0" fontId="99" fillId="41" borderId="169" xfId="0" applyFont="1" applyFill="1" applyBorder="1" applyAlignment="1">
      <alignment horizontal="center" vertical="center"/>
    </xf>
    <xf numFmtId="0" fontId="99" fillId="41" borderId="167" xfId="0" applyFont="1" applyFill="1" applyBorder="1" applyAlignment="1">
      <alignment horizontal="center" vertical="center"/>
    </xf>
    <xf numFmtId="0" fontId="16" fillId="6" borderId="51" xfId="0" applyFont="1" applyFill="1" applyBorder="1" applyAlignment="1">
      <alignment vertical="center"/>
    </xf>
    <xf numFmtId="0" fontId="16" fillId="6" borderId="52" xfId="0" applyFont="1" applyFill="1" applyBorder="1" applyAlignment="1">
      <alignment vertical="center"/>
    </xf>
    <xf numFmtId="0" fontId="16" fillId="6" borderId="53" xfId="0" applyFont="1" applyFill="1" applyBorder="1" applyAlignment="1">
      <alignment vertical="center"/>
    </xf>
    <xf numFmtId="0" fontId="42" fillId="105" borderId="173" xfId="0" applyFont="1" applyFill="1" applyBorder="1" applyAlignment="1">
      <alignment horizontal="left" vertical="center"/>
    </xf>
    <xf numFmtId="0" fontId="42" fillId="105" borderId="52" xfId="0" applyFont="1" applyFill="1" applyBorder="1" applyAlignment="1">
      <alignment horizontal="left" vertical="center"/>
    </xf>
    <xf numFmtId="0" fontId="42" fillId="105" borderId="52" xfId="0" applyFont="1" applyFill="1" applyBorder="1" applyAlignment="1">
      <alignment horizontal="center" vertical="center"/>
    </xf>
    <xf numFmtId="3" fontId="42" fillId="105" borderId="52" xfId="0" applyNumberFormat="1" applyFont="1" applyFill="1" applyBorder="1" applyAlignment="1">
      <alignment horizontal="center" vertical="center"/>
    </xf>
    <xf numFmtId="10" fontId="42" fillId="105" borderId="52" xfId="0" applyNumberFormat="1" applyFont="1" applyFill="1" applyBorder="1" applyAlignment="1">
      <alignment horizontal="center" vertical="center"/>
    </xf>
    <xf numFmtId="0" fontId="42" fillId="105" borderId="53" xfId="0" applyFont="1" applyFill="1" applyBorder="1" applyAlignment="1">
      <alignment horizontal="center" vertical="center"/>
    </xf>
    <xf numFmtId="0" fontId="42" fillId="19" borderId="174" xfId="0" applyFont="1" applyFill="1" applyBorder="1" applyAlignment="1">
      <alignment horizontal="left" vertical="center"/>
    </xf>
    <xf numFmtId="0" fontId="42" fillId="19" borderId="175" xfId="0" applyFont="1" applyFill="1" applyBorder="1" applyAlignment="1">
      <alignment horizontal="left" vertical="center"/>
    </xf>
    <xf numFmtId="0" fontId="42" fillId="19" borderId="175" xfId="0" applyFont="1" applyFill="1" applyBorder="1" applyAlignment="1">
      <alignment horizontal="center" vertical="center"/>
    </xf>
    <xf numFmtId="3" fontId="42" fillId="19" borderId="175" xfId="0" applyNumberFormat="1" applyFont="1" applyFill="1" applyBorder="1" applyAlignment="1">
      <alignment horizontal="center" vertical="center"/>
    </xf>
    <xf numFmtId="10" fontId="42" fillId="19" borderId="175" xfId="0" applyNumberFormat="1" applyFont="1" applyFill="1" applyBorder="1" applyAlignment="1">
      <alignment horizontal="center" vertical="center"/>
    </xf>
    <xf numFmtId="0" fontId="42" fillId="19" borderId="176" xfId="0" applyFont="1" applyFill="1" applyBorder="1" applyAlignment="1">
      <alignment horizontal="center" vertical="center"/>
    </xf>
    <xf numFmtId="0" fontId="42" fillId="107" borderId="173" xfId="0" applyFont="1" applyFill="1" applyBorder="1" applyAlignment="1">
      <alignment horizontal="left" vertical="center"/>
    </xf>
    <xf numFmtId="0" fontId="42" fillId="107" borderId="52" xfId="0" applyFont="1" applyFill="1" applyBorder="1" applyAlignment="1">
      <alignment horizontal="left" vertical="center"/>
    </xf>
    <xf numFmtId="0" fontId="42" fillId="107" borderId="52" xfId="0" applyFont="1" applyFill="1" applyBorder="1" applyAlignment="1">
      <alignment horizontal="center" vertical="center"/>
    </xf>
    <xf numFmtId="3" fontId="42" fillId="107" borderId="52" xfId="0" applyNumberFormat="1" applyFont="1" applyFill="1" applyBorder="1" applyAlignment="1">
      <alignment horizontal="center" vertical="center"/>
    </xf>
    <xf numFmtId="10" fontId="42" fillId="107" borderId="52" xfId="0" applyNumberFormat="1" applyFont="1" applyFill="1" applyBorder="1" applyAlignment="1">
      <alignment horizontal="center" vertical="center"/>
    </xf>
    <xf numFmtId="0" fontId="42" fillId="107" borderId="53" xfId="0" applyFont="1" applyFill="1" applyBorder="1" applyAlignment="1">
      <alignment horizontal="center" vertical="center"/>
    </xf>
    <xf numFmtId="0" fontId="42" fillId="19" borderId="173" xfId="0" applyFont="1" applyFill="1" applyBorder="1" applyAlignment="1">
      <alignment horizontal="left" vertical="center"/>
    </xf>
    <xf numFmtId="0" fontId="42" fillId="19" borderId="52" xfId="0" applyFont="1" applyFill="1" applyBorder="1" applyAlignment="1">
      <alignment horizontal="left" vertical="center"/>
    </xf>
    <xf numFmtId="0" fontId="42" fillId="19" borderId="52" xfId="0" applyFont="1" applyFill="1" applyBorder="1" applyAlignment="1">
      <alignment horizontal="center" vertical="center"/>
    </xf>
    <xf numFmtId="3" fontId="42" fillId="19" borderId="52" xfId="0" applyNumberFormat="1" applyFont="1" applyFill="1" applyBorder="1" applyAlignment="1">
      <alignment horizontal="center" vertical="center"/>
    </xf>
    <xf numFmtId="10" fontId="42" fillId="19" borderId="52" xfId="0" applyNumberFormat="1" applyFont="1" applyFill="1" applyBorder="1" applyAlignment="1">
      <alignment horizontal="center" vertical="center"/>
    </xf>
    <xf numFmtId="0" fontId="42" fillId="19" borderId="53" xfId="0" applyFont="1" applyFill="1" applyBorder="1" applyAlignment="1">
      <alignment horizontal="center" vertical="center"/>
    </xf>
    <xf numFmtId="0" fontId="42" fillId="110" borderId="173" xfId="0" applyFont="1" applyFill="1" applyBorder="1" applyAlignment="1">
      <alignment horizontal="left" vertical="center"/>
    </xf>
    <xf numFmtId="0" fontId="42" fillId="110" borderId="52" xfId="0" applyFont="1" applyFill="1" applyBorder="1" applyAlignment="1">
      <alignment horizontal="left" vertical="center"/>
    </xf>
    <xf numFmtId="0" fontId="42" fillId="110" borderId="52" xfId="0" applyFont="1" applyFill="1" applyBorder="1" applyAlignment="1">
      <alignment horizontal="center" vertical="center"/>
    </xf>
    <xf numFmtId="3" fontId="42" fillId="110" borderId="52" xfId="0" applyNumberFormat="1" applyFont="1" applyFill="1" applyBorder="1" applyAlignment="1">
      <alignment horizontal="center" vertical="center"/>
    </xf>
    <xf numFmtId="10" fontId="42" fillId="110" borderId="52" xfId="0" applyNumberFormat="1" applyFont="1" applyFill="1" applyBorder="1" applyAlignment="1">
      <alignment horizontal="center" vertical="center"/>
    </xf>
    <xf numFmtId="0" fontId="97" fillId="110" borderId="53" xfId="0" applyFont="1" applyFill="1" applyBorder="1" applyAlignment="1">
      <alignment horizontal="center" vertical="center"/>
    </xf>
    <xf numFmtId="0" fontId="42" fillId="106" borderId="173" xfId="0" applyFont="1" applyFill="1" applyBorder="1" applyAlignment="1">
      <alignment horizontal="left" vertical="center"/>
    </xf>
    <xf numFmtId="0" fontId="42" fillId="106" borderId="52" xfId="0" applyFont="1" applyFill="1" applyBorder="1" applyAlignment="1">
      <alignment horizontal="left" vertical="center"/>
    </xf>
    <xf numFmtId="0" fontId="42" fillId="106" borderId="52" xfId="0" applyFont="1" applyFill="1" applyBorder="1" applyAlignment="1">
      <alignment horizontal="center" vertical="center"/>
    </xf>
    <xf numFmtId="3" fontId="42" fillId="106" borderId="52" xfId="0" applyNumberFormat="1" applyFont="1" applyFill="1" applyBorder="1" applyAlignment="1">
      <alignment horizontal="center" vertical="center"/>
    </xf>
    <xf numFmtId="10" fontId="42" fillId="106" borderId="52" xfId="0" applyNumberFormat="1" applyFont="1" applyFill="1" applyBorder="1" applyAlignment="1">
      <alignment horizontal="center" vertical="center"/>
    </xf>
    <xf numFmtId="0" fontId="97" fillId="106" borderId="53" xfId="0" applyFont="1" applyFill="1" applyBorder="1" applyAlignment="1">
      <alignment horizontal="center" vertical="center"/>
    </xf>
    <xf numFmtId="0" fontId="42" fillId="19" borderId="177" xfId="0" applyFont="1" applyFill="1" applyBorder="1" applyAlignment="1">
      <alignment horizontal="left" vertical="center"/>
    </xf>
    <xf numFmtId="0" fontId="42" fillId="19" borderId="178" xfId="0" applyFont="1" applyFill="1" applyBorder="1" applyAlignment="1">
      <alignment horizontal="left" vertical="center"/>
    </xf>
    <xf numFmtId="0" fontId="42" fillId="19" borderId="178" xfId="0" applyFont="1" applyFill="1" applyBorder="1" applyAlignment="1">
      <alignment horizontal="center" vertical="center"/>
    </xf>
    <xf numFmtId="3" fontId="42" fillId="19" borderId="178" xfId="0" applyNumberFormat="1" applyFont="1" applyFill="1" applyBorder="1" applyAlignment="1">
      <alignment horizontal="center" vertical="center"/>
    </xf>
    <xf numFmtId="10" fontId="42" fillId="19" borderId="178" xfId="0" applyNumberFormat="1" applyFont="1" applyFill="1" applyBorder="1" applyAlignment="1">
      <alignment horizontal="center" vertical="center"/>
    </xf>
    <xf numFmtId="0" fontId="42" fillId="19" borderId="179" xfId="0" applyFont="1" applyFill="1" applyBorder="1" applyAlignment="1">
      <alignment horizontal="center" vertical="center"/>
    </xf>
    <xf numFmtId="0" fontId="42" fillId="108" borderId="180" xfId="0" applyFont="1" applyFill="1" applyBorder="1" applyAlignment="1">
      <alignment horizontal="left" vertical="center"/>
    </xf>
    <xf numFmtId="0" fontId="42" fillId="108" borderId="181" xfId="0" applyFont="1" applyFill="1" applyBorder="1" applyAlignment="1">
      <alignment horizontal="left" vertical="center"/>
    </xf>
    <xf numFmtId="0" fontId="42" fillId="108" borderId="181" xfId="0" applyFont="1" applyFill="1" applyBorder="1" applyAlignment="1">
      <alignment horizontal="center" vertical="center"/>
    </xf>
    <xf numFmtId="3" fontId="42" fillId="108" borderId="181" xfId="0" applyNumberFormat="1" applyFont="1" applyFill="1" applyBorder="1" applyAlignment="1">
      <alignment horizontal="center" vertical="center"/>
    </xf>
    <xf numFmtId="10" fontId="42" fillId="108" borderId="181" xfId="0" applyNumberFormat="1" applyFont="1" applyFill="1" applyBorder="1" applyAlignment="1">
      <alignment horizontal="center" vertical="center"/>
    </xf>
    <xf numFmtId="0" fontId="42" fillId="108" borderId="182" xfId="0" applyFont="1" applyFill="1" applyBorder="1" applyAlignment="1">
      <alignment horizontal="center" vertical="center"/>
    </xf>
    <xf numFmtId="0" fontId="42" fillId="109" borderId="173" xfId="0" applyFont="1" applyFill="1" applyBorder="1" applyAlignment="1">
      <alignment horizontal="left" vertical="center"/>
    </xf>
    <xf numFmtId="0" fontId="42" fillId="109" borderId="52" xfId="0" applyFont="1" applyFill="1" applyBorder="1" applyAlignment="1">
      <alignment horizontal="left" vertical="center"/>
    </xf>
    <xf numFmtId="0" fontId="42" fillId="109" borderId="52" xfId="0" applyFont="1" applyFill="1" applyBorder="1" applyAlignment="1">
      <alignment horizontal="center" vertical="center"/>
    </xf>
    <xf numFmtId="3" fontId="42" fillId="109" borderId="52" xfId="0" applyNumberFormat="1" applyFont="1" applyFill="1" applyBorder="1" applyAlignment="1">
      <alignment horizontal="center" vertical="center"/>
    </xf>
    <xf numFmtId="10" fontId="42" fillId="109" borderId="52" xfId="0" applyNumberFormat="1" applyFont="1" applyFill="1" applyBorder="1" applyAlignment="1">
      <alignment horizontal="center" vertical="center"/>
    </xf>
    <xf numFmtId="0" fontId="42" fillId="109" borderId="53" xfId="0" applyFont="1" applyFill="1" applyBorder="1" applyAlignment="1">
      <alignment horizontal="center" vertical="center"/>
    </xf>
    <xf numFmtId="0" fontId="42" fillId="105" borderId="177" xfId="0" applyFont="1" applyFill="1" applyBorder="1" applyAlignment="1">
      <alignment horizontal="left" vertical="center"/>
    </xf>
    <xf numFmtId="0" fontId="42" fillId="105" borderId="178" xfId="0" applyFont="1" applyFill="1" applyBorder="1" applyAlignment="1">
      <alignment horizontal="left" vertical="center"/>
    </xf>
    <xf numFmtId="0" fontId="42" fillId="105" borderId="178" xfId="0" applyFont="1" applyFill="1" applyBorder="1" applyAlignment="1">
      <alignment horizontal="center" vertical="center"/>
    </xf>
    <xf numFmtId="3" fontId="42" fillId="105" borderId="178" xfId="0" applyNumberFormat="1" applyFont="1" applyFill="1" applyBorder="1" applyAlignment="1">
      <alignment horizontal="center" vertical="center"/>
    </xf>
    <xf numFmtId="10" fontId="42" fillId="105" borderId="178" xfId="0" applyNumberFormat="1" applyFont="1" applyFill="1" applyBorder="1" applyAlignment="1">
      <alignment horizontal="center" vertical="center"/>
    </xf>
    <xf numFmtId="0" fontId="42" fillId="105" borderId="179" xfId="0" applyFont="1" applyFill="1" applyBorder="1" applyAlignment="1">
      <alignment horizontal="center" vertical="center"/>
    </xf>
    <xf numFmtId="0" fontId="42" fillId="110" borderId="177" xfId="0" applyFont="1" applyFill="1" applyBorder="1" applyAlignment="1">
      <alignment horizontal="left" vertical="center"/>
    </xf>
    <xf numFmtId="0" fontId="42" fillId="110" borderId="178" xfId="0" applyFont="1" applyFill="1" applyBorder="1" applyAlignment="1">
      <alignment horizontal="left" vertical="center"/>
    </xf>
    <xf numFmtId="0" fontId="42" fillId="110" borderId="178" xfId="0" applyFont="1" applyFill="1" applyBorder="1" applyAlignment="1">
      <alignment horizontal="center" vertical="center"/>
    </xf>
    <xf numFmtId="3" fontId="42" fillId="110" borderId="178" xfId="0" applyNumberFormat="1" applyFont="1" applyFill="1" applyBorder="1" applyAlignment="1">
      <alignment horizontal="center" vertical="center"/>
    </xf>
    <xf numFmtId="10" fontId="42" fillId="110" borderId="178" xfId="0" applyNumberFormat="1" applyFont="1" applyFill="1" applyBorder="1" applyAlignment="1">
      <alignment horizontal="center" vertical="center"/>
    </xf>
    <xf numFmtId="0" fontId="42" fillId="110" borderId="179" xfId="0" applyFont="1" applyFill="1" applyBorder="1" applyAlignment="1">
      <alignment horizontal="center" vertical="center"/>
    </xf>
    <xf numFmtId="0" fontId="44" fillId="104" borderId="183" xfId="0" applyFont="1" applyFill="1" applyBorder="1" applyAlignment="1">
      <alignment horizontal="left" vertical="center"/>
    </xf>
    <xf numFmtId="0" fontId="44" fillId="104" borderId="184" xfId="0" applyFont="1" applyFill="1" applyBorder="1" applyAlignment="1">
      <alignment horizontal="center" vertical="center"/>
    </xf>
    <xf numFmtId="0" fontId="33" fillId="6" borderId="185" xfId="0" applyFont="1" applyFill="1" applyBorder="1" applyAlignment="1">
      <alignment horizontal="center" vertical="center"/>
    </xf>
    <xf numFmtId="0" fontId="33" fillId="6" borderId="186" xfId="0" applyFont="1" applyFill="1" applyBorder="1" applyAlignment="1">
      <alignment horizontal="center" vertical="center"/>
    </xf>
    <xf numFmtId="0" fontId="33" fillId="6" borderId="187" xfId="0" applyFont="1" applyFill="1" applyBorder="1" applyAlignment="1">
      <alignment horizontal="center" vertical="center"/>
    </xf>
    <xf numFmtId="0" fontId="33" fillId="6" borderId="188" xfId="0" applyFont="1" applyFill="1" applyBorder="1" applyAlignment="1">
      <alignment horizontal="center" vertical="center"/>
    </xf>
    <xf numFmtId="0" fontId="33" fillId="35" borderId="186" xfId="0" applyFont="1" applyFill="1" applyBorder="1" applyAlignment="1">
      <alignment horizontal="center" vertical="center"/>
    </xf>
    <xf numFmtId="0" fontId="33" fillId="35" borderId="187" xfId="0" applyFont="1" applyFill="1" applyBorder="1" applyAlignment="1">
      <alignment horizontal="center" vertical="center"/>
    </xf>
    <xf numFmtId="0" fontId="33" fillId="36" borderId="189" xfId="0" applyFont="1" applyFill="1" applyBorder="1" applyAlignment="1">
      <alignment horizontal="center" vertical="center"/>
    </xf>
    <xf numFmtId="0" fontId="33" fillId="37" borderId="186" xfId="0" applyFont="1" applyFill="1" applyBorder="1" applyAlignment="1">
      <alignment horizontal="center" vertical="center"/>
    </xf>
    <xf numFmtId="0" fontId="33" fillId="37" borderId="187" xfId="0" applyFont="1" applyFill="1" applyBorder="1" applyAlignment="1">
      <alignment horizontal="center" vertical="center"/>
    </xf>
    <xf numFmtId="0" fontId="33" fillId="37" borderId="188" xfId="0" applyFont="1" applyFill="1" applyBorder="1" applyAlignment="1">
      <alignment horizontal="center" vertical="center"/>
    </xf>
    <xf numFmtId="0" fontId="33" fillId="38" borderId="186" xfId="0" applyFont="1" applyFill="1" applyBorder="1" applyAlignment="1">
      <alignment horizontal="center" vertical="center"/>
    </xf>
    <xf numFmtId="0" fontId="33" fillId="38" borderId="187" xfId="0" applyFont="1" applyFill="1" applyBorder="1" applyAlignment="1">
      <alignment horizontal="center" vertical="center"/>
    </xf>
    <xf numFmtId="0" fontId="33" fillId="38" borderId="188" xfId="0" applyFont="1" applyFill="1" applyBorder="1" applyAlignment="1">
      <alignment horizontal="center" vertical="center"/>
    </xf>
    <xf numFmtId="0" fontId="44" fillId="104" borderId="164" xfId="0" applyFont="1" applyFill="1" applyBorder="1" applyAlignment="1">
      <alignment horizontal="left" vertical="center" wrapText="1"/>
    </xf>
    <xf numFmtId="0" fontId="42" fillId="19" borderId="175" xfId="0" applyFont="1" applyFill="1" applyBorder="1" applyAlignment="1">
      <alignment horizontal="left" vertical="center" wrapText="1"/>
    </xf>
    <xf numFmtId="0" fontId="42" fillId="105" borderId="52" xfId="0" applyFont="1" applyFill="1" applyBorder="1" applyAlignment="1">
      <alignment horizontal="left" vertical="center" wrapText="1"/>
    </xf>
    <xf numFmtId="0" fontId="42" fillId="19" borderId="167" xfId="0" applyFont="1" applyFill="1" applyBorder="1" applyAlignment="1">
      <alignment horizontal="left" vertical="center" wrapText="1"/>
    </xf>
    <xf numFmtId="0" fontId="42" fillId="105" borderId="167" xfId="0" applyFont="1" applyFill="1" applyBorder="1" applyAlignment="1">
      <alignment horizontal="left" vertical="center" wrapText="1"/>
    </xf>
    <xf numFmtId="0" fontId="42" fillId="19" borderId="178" xfId="0" applyFont="1" applyFill="1" applyBorder="1" applyAlignment="1">
      <alignment horizontal="left" vertical="center" wrapText="1"/>
    </xf>
    <xf numFmtId="0" fontId="42" fillId="106" borderId="52" xfId="0" applyFont="1" applyFill="1" applyBorder="1" applyAlignment="1">
      <alignment horizontal="left" vertical="center" wrapText="1"/>
    </xf>
    <xf numFmtId="0" fontId="42" fillId="107" borderId="52" xfId="0" applyFont="1" applyFill="1" applyBorder="1" applyAlignment="1">
      <alignment horizontal="left" vertical="center" wrapText="1"/>
    </xf>
    <xf numFmtId="0" fontId="42" fillId="106" borderId="167" xfId="0" applyFont="1" applyFill="1" applyBorder="1" applyAlignment="1">
      <alignment horizontal="left" vertical="center" wrapText="1"/>
    </xf>
    <xf numFmtId="0" fontId="42" fillId="107" borderId="167" xfId="0" applyFont="1" applyFill="1" applyBorder="1" applyAlignment="1">
      <alignment horizontal="left" vertical="center" wrapText="1"/>
    </xf>
    <xf numFmtId="0" fontId="42" fillId="108" borderId="181" xfId="0" applyFont="1" applyFill="1" applyBorder="1" applyAlignment="1">
      <alignment horizontal="left" vertical="center" wrapText="1"/>
    </xf>
    <xf numFmtId="0" fontId="42" fillId="19" borderId="52" xfId="0" applyFont="1" applyFill="1" applyBorder="1" applyAlignment="1">
      <alignment horizontal="left" vertical="center" wrapText="1"/>
    </xf>
    <xf numFmtId="0" fontId="42" fillId="105" borderId="178" xfId="0" applyFont="1" applyFill="1" applyBorder="1" applyAlignment="1">
      <alignment horizontal="left" vertical="center" wrapText="1"/>
    </xf>
    <xf numFmtId="0" fontId="42" fillId="109" borderId="52" xfId="0" applyFont="1" applyFill="1" applyBorder="1" applyAlignment="1">
      <alignment horizontal="left" vertical="center" wrapText="1"/>
    </xf>
    <xf numFmtId="0" fontId="42" fillId="110" borderId="52" xfId="0" applyFont="1" applyFill="1" applyBorder="1" applyAlignment="1">
      <alignment horizontal="left" vertical="center" wrapText="1"/>
    </xf>
    <xf numFmtId="0" fontId="42" fillId="109" borderId="167" xfId="0" applyFont="1" applyFill="1" applyBorder="1" applyAlignment="1">
      <alignment horizontal="left" vertical="center" wrapText="1"/>
    </xf>
    <xf numFmtId="0" fontId="42" fillId="110" borderId="167" xfId="0" applyFont="1" applyFill="1" applyBorder="1" applyAlignment="1">
      <alignment horizontal="left" vertical="center" wrapText="1"/>
    </xf>
    <xf numFmtId="0" fontId="42" fillId="110" borderId="178" xfId="0" applyFont="1" applyFill="1" applyBorder="1" applyAlignment="1">
      <alignment horizontal="left" vertical="center" wrapText="1"/>
    </xf>
    <xf numFmtId="0" fontId="102" fillId="14" borderId="20" xfId="0" applyFont="1" applyFill="1" applyBorder="1" applyAlignment="1">
      <alignment horizontal="left"/>
    </xf>
    <xf numFmtId="0" fontId="102" fillId="14" borderId="20" xfId="0" applyFont="1" applyFill="1" applyBorder="1" applyAlignment="1">
      <alignment horizontal="right"/>
    </xf>
    <xf numFmtId="0" fontId="105" fillId="14" borderId="20" xfId="0" applyFont="1" applyFill="1" applyBorder="1" applyAlignment="1">
      <alignment horizontal="center"/>
    </xf>
    <xf numFmtId="0" fontId="103" fillId="43" borderId="20" xfId="0" applyFont="1" applyFill="1" applyBorder="1" applyAlignment="1">
      <alignment horizontal="center"/>
    </xf>
    <xf numFmtId="0" fontId="102" fillId="2" borderId="20" xfId="0" applyFont="1" applyFill="1" applyBorder="1" applyAlignment="1">
      <alignment horizontal="left"/>
    </xf>
    <xf numFmtId="0" fontId="102" fillId="2" borderId="20" xfId="0" applyFont="1" applyFill="1" applyBorder="1" applyAlignment="1">
      <alignment horizontal="right"/>
    </xf>
    <xf numFmtId="0" fontId="105" fillId="2" borderId="20" xfId="0" applyFont="1" applyFill="1" applyBorder="1" applyAlignment="1">
      <alignment horizontal="center"/>
    </xf>
    <xf numFmtId="0" fontId="104" fillId="44" borderId="20" xfId="0" applyFont="1" applyFill="1" applyBorder="1" applyAlignment="1">
      <alignment horizontal="center"/>
    </xf>
    <xf numFmtId="167" fontId="102" fillId="14" borderId="20" xfId="0" applyNumberFormat="1" applyFont="1" applyFill="1" applyBorder="1" applyAlignment="1">
      <alignment horizontal="right"/>
    </xf>
    <xf numFmtId="167" fontId="102" fillId="2" borderId="20" xfId="0" applyNumberFormat="1" applyFont="1" applyFill="1" applyBorder="1" applyAlignment="1">
      <alignment horizontal="right"/>
    </xf>
    <xf numFmtId="0" fontId="64" fillId="5" borderId="20" xfId="0" applyFont="1" applyFill="1" applyBorder="1" applyAlignment="1">
      <alignment horizontal="center"/>
    </xf>
    <xf numFmtId="0" fontId="33" fillId="6" borderId="17" xfId="0" applyFont="1" applyFill="1" applyBorder="1" applyAlignment="1">
      <alignment horizontal="center"/>
    </xf>
    <xf numFmtId="0" fontId="33" fillId="6" borderId="17" xfId="0" applyFont="1" applyFill="1" applyBorder="1" applyAlignment="1">
      <alignment horizontal="left"/>
    </xf>
    <xf numFmtId="0" fontId="33" fillId="6" borderId="17" xfId="0" applyFont="1" applyFill="1" applyBorder="1" applyAlignment="1">
      <alignment horizontal="right"/>
    </xf>
    <xf numFmtId="0" fontId="102" fillId="2" borderId="23" xfId="0" applyFont="1" applyFill="1" applyBorder="1" applyAlignment="1">
      <alignment horizontal="left"/>
    </xf>
    <xf numFmtId="0" fontId="102" fillId="2" borderId="23" xfId="0" applyFont="1" applyFill="1" applyBorder="1" applyAlignment="1">
      <alignment horizontal="right"/>
    </xf>
    <xf numFmtId="0" fontId="105" fillId="2" borderId="23" xfId="0" applyFont="1" applyFill="1" applyBorder="1" applyAlignment="1">
      <alignment horizontal="center"/>
    </xf>
    <xf numFmtId="0" fontId="64" fillId="5" borderId="23" xfId="0" applyFont="1" applyFill="1" applyBorder="1" applyAlignment="1">
      <alignment horizontal="center"/>
    </xf>
    <xf numFmtId="0" fontId="33" fillId="6" borderId="16" xfId="0" applyFont="1" applyFill="1" applyBorder="1" applyAlignment="1">
      <alignment horizontal="center"/>
    </xf>
    <xf numFmtId="0" fontId="102" fillId="14" borderId="19" xfId="0" applyFont="1" applyFill="1" applyBorder="1" applyAlignment="1">
      <alignment horizontal="center"/>
    </xf>
    <xf numFmtId="0" fontId="102" fillId="2" borderId="19" xfId="0" applyFont="1" applyFill="1" applyBorder="1" applyAlignment="1">
      <alignment horizontal="center"/>
    </xf>
    <xf numFmtId="0" fontId="102" fillId="2" borderId="22" xfId="0" applyFont="1" applyFill="1" applyBorder="1" applyAlignment="1">
      <alignment horizontal="center"/>
    </xf>
    <xf numFmtId="0" fontId="33" fillId="6" borderId="18" xfId="0" applyFont="1" applyFill="1" applyBorder="1" applyAlignment="1">
      <alignment horizontal="center"/>
    </xf>
    <xf numFmtId="0" fontId="44" fillId="6" borderId="21" xfId="0" applyFont="1" applyFill="1" applyBorder="1" applyAlignment="1">
      <alignment horizontal="center"/>
    </xf>
    <xf numFmtId="0" fontId="44" fillId="7" borderId="21" xfId="0" applyFont="1" applyFill="1" applyBorder="1" applyAlignment="1">
      <alignment horizontal="center"/>
    </xf>
    <xf numFmtId="0" fontId="44" fillId="15" borderId="21" xfId="0" applyFont="1" applyFill="1" applyBorder="1" applyAlignment="1">
      <alignment horizontal="center"/>
    </xf>
    <xf numFmtId="0" fontId="44" fillId="42" borderId="21" xfId="0" applyFont="1" applyFill="1" applyBorder="1" applyAlignment="1">
      <alignment horizontal="center"/>
    </xf>
    <xf numFmtId="0" fontId="44" fillId="32" borderId="21" xfId="0" applyFont="1" applyFill="1" applyBorder="1" applyAlignment="1">
      <alignment horizontal="center"/>
    </xf>
    <xf numFmtId="0" fontId="44" fillId="11" borderId="21" xfId="0" applyFont="1" applyFill="1" applyBorder="1" applyAlignment="1">
      <alignment horizontal="center"/>
    </xf>
    <xf numFmtId="0" fontId="44" fillId="36" borderId="21" xfId="0" applyFont="1" applyFill="1" applyBorder="1" applyAlignment="1">
      <alignment horizontal="center"/>
    </xf>
    <xf numFmtId="0" fontId="44" fillId="35" borderId="21" xfId="0" applyFont="1" applyFill="1" applyBorder="1" applyAlignment="1">
      <alignment horizontal="center"/>
    </xf>
    <xf numFmtId="0" fontId="44" fillId="16" borderId="21" xfId="0" applyFont="1" applyFill="1" applyBorder="1" applyAlignment="1">
      <alignment horizontal="center"/>
    </xf>
    <xf numFmtId="0" fontId="44" fillId="112" borderId="21" xfId="0" applyFont="1" applyFill="1" applyBorder="1" applyAlignment="1">
      <alignment horizontal="center"/>
    </xf>
    <xf numFmtId="0" fontId="44" fillId="112" borderId="24" xfId="0" applyFont="1" applyFill="1" applyBorder="1" applyAlignment="1">
      <alignment horizontal="center"/>
    </xf>
    <xf numFmtId="0" fontId="33" fillId="6" borderId="16" xfId="0" applyFont="1" applyFill="1" applyBorder="1" applyAlignment="1">
      <alignment horizontal="left"/>
    </xf>
    <xf numFmtId="0" fontId="101" fillId="14" borderId="19" xfId="0" applyFont="1" applyFill="1" applyBorder="1"/>
    <xf numFmtId="0" fontId="101" fillId="2" borderId="19" xfId="0" applyFont="1" applyFill="1" applyBorder="1"/>
    <xf numFmtId="0" fontId="101" fillId="14" borderId="22" xfId="0" applyFont="1" applyFill="1" applyBorder="1"/>
    <xf numFmtId="0" fontId="100" fillId="12" borderId="21" xfId="0" applyFont="1" applyFill="1" applyBorder="1" applyAlignment="1">
      <alignment horizontal="center"/>
    </xf>
    <xf numFmtId="0" fontId="100" fillId="12" borderId="24" xfId="0" applyFont="1" applyFill="1" applyBorder="1" applyAlignment="1">
      <alignment horizontal="center"/>
    </xf>
    <xf numFmtId="0" fontId="101" fillId="2" borderId="28" xfId="0" applyFont="1" applyFill="1" applyBorder="1"/>
    <xf numFmtId="0" fontId="101" fillId="14" borderId="28" xfId="0" applyFont="1" applyFill="1" applyBorder="1"/>
    <xf numFmtId="0" fontId="33" fillId="11" borderId="30" xfId="0" applyFont="1" applyFill="1" applyBorder="1"/>
    <xf numFmtId="0" fontId="0" fillId="113" borderId="0" xfId="0" applyFill="1"/>
    <xf numFmtId="0" fontId="10" fillId="113" borderId="0" xfId="0" applyFont="1" applyFill="1" applyAlignment="1">
      <alignment horizontal="center" vertical="center"/>
    </xf>
    <xf numFmtId="0" fontId="26" fillId="113" borderId="32" xfId="0" applyFont="1" applyFill="1" applyBorder="1" applyAlignment="1">
      <alignment horizontal="center" vertical="center"/>
    </xf>
    <xf numFmtId="0" fontId="26" fillId="113" borderId="29" xfId="0" applyFont="1" applyFill="1" applyBorder="1" applyAlignment="1">
      <alignment horizontal="center" vertical="center"/>
    </xf>
    <xf numFmtId="0" fontId="27" fillId="113" borderId="29" xfId="0" applyFont="1" applyFill="1" applyBorder="1" applyAlignment="1">
      <alignment horizontal="center" vertical="center"/>
    </xf>
    <xf numFmtId="0" fontId="26" fillId="113" borderId="219" xfId="0" applyFont="1" applyFill="1" applyBorder="1" applyAlignment="1">
      <alignment horizontal="center" vertical="center"/>
    </xf>
    <xf numFmtId="0" fontId="26" fillId="113" borderId="220" xfId="0" applyFont="1" applyFill="1" applyBorder="1" applyAlignment="1">
      <alignment horizontal="center" vertical="center"/>
    </xf>
    <xf numFmtId="0" fontId="26" fillId="113" borderId="218" xfId="0" applyFont="1" applyFill="1" applyBorder="1" applyAlignment="1">
      <alignment horizontal="center" vertical="center"/>
    </xf>
    <xf numFmtId="0" fontId="27" fillId="113" borderId="218" xfId="0" applyFont="1" applyFill="1" applyBorder="1" applyAlignment="1">
      <alignment horizontal="center" vertical="center"/>
    </xf>
    <xf numFmtId="0" fontId="26" fillId="113" borderId="190" xfId="0" applyFont="1" applyFill="1" applyBorder="1" applyAlignment="1">
      <alignment horizontal="center" vertical="center"/>
    </xf>
    <xf numFmtId="0" fontId="27" fillId="113" borderId="190" xfId="0" applyFont="1" applyFill="1" applyBorder="1" applyAlignment="1">
      <alignment horizontal="center" vertical="center"/>
    </xf>
    <xf numFmtId="0" fontId="26" fillId="2" borderId="214" xfId="0" applyFont="1" applyFill="1" applyBorder="1" applyAlignment="1">
      <alignment horizontal="center" vertical="center"/>
    </xf>
    <xf numFmtId="0" fontId="26" fillId="2" borderId="211" xfId="0" applyFont="1" applyFill="1" applyBorder="1" applyAlignment="1">
      <alignment horizontal="center" vertical="center"/>
    </xf>
    <xf numFmtId="0" fontId="26" fillId="2" borderId="217" xfId="0" applyFont="1" applyFill="1" applyBorder="1" applyAlignment="1">
      <alignment horizontal="center" vertical="center"/>
    </xf>
    <xf numFmtId="0" fontId="5" fillId="113" borderId="27" xfId="0" applyFont="1" applyFill="1" applyBorder="1" applyAlignment="1">
      <alignment horizontal="left" vertical="center"/>
    </xf>
    <xf numFmtId="0" fontId="8" fillId="113" borderId="0" xfId="0" applyFont="1" applyFill="1" applyAlignment="1">
      <alignment horizontal="center" vertical="center"/>
    </xf>
    <xf numFmtId="0" fontId="17" fillId="113" borderId="0" xfId="0" applyFont="1" applyFill="1" applyAlignment="1">
      <alignment horizontal="center" vertical="center"/>
    </xf>
    <xf numFmtId="0" fontId="5" fillId="113" borderId="0" xfId="0" applyFont="1" applyFill="1" applyAlignment="1">
      <alignment horizontal="left" vertical="center"/>
    </xf>
    <xf numFmtId="0" fontId="28" fillId="113" borderId="0" xfId="0" applyFont="1" applyFill="1" applyAlignment="1">
      <alignment horizontal="left" vertical="center" wrapText="1"/>
    </xf>
    <xf numFmtId="0" fontId="25" fillId="113" borderId="0" xfId="0" applyFont="1" applyFill="1" applyAlignment="1">
      <alignment horizontal="left" vertical="center" wrapText="1"/>
    </xf>
    <xf numFmtId="0" fontId="16" fillId="113" borderId="9" xfId="0" applyFont="1" applyFill="1" applyBorder="1" applyAlignment="1">
      <alignment horizontal="left" vertical="top" wrapText="1"/>
    </xf>
    <xf numFmtId="0" fontId="16" fillId="113" borderId="12" xfId="0" applyFont="1" applyFill="1" applyBorder="1" applyAlignment="1">
      <alignment horizontal="left" vertical="top" wrapText="1"/>
    </xf>
    <xf numFmtId="0" fontId="16" fillId="113" borderId="15" xfId="0" applyFont="1" applyFill="1" applyBorder="1" applyAlignment="1">
      <alignment horizontal="left" vertical="top" wrapText="1"/>
    </xf>
    <xf numFmtId="0" fontId="15" fillId="14" borderId="7" xfId="0" applyFont="1" applyFill="1" applyBorder="1" applyAlignment="1">
      <alignment horizontal="center" vertical="center" wrapText="1"/>
    </xf>
    <xf numFmtId="0" fontId="15" fillId="2" borderId="10" xfId="0" applyFont="1" applyFill="1" applyBorder="1" applyAlignment="1">
      <alignment horizontal="center" vertical="center" wrapText="1"/>
    </xf>
    <xf numFmtId="0" fontId="15" fillId="14" borderId="10"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32" fillId="5" borderId="130" xfId="0" applyFont="1" applyFill="1" applyBorder="1" applyAlignment="1">
      <alignment horizontal="center" vertical="center" wrapText="1"/>
    </xf>
    <xf numFmtId="0" fontId="110" fillId="5" borderId="43" xfId="0" applyFont="1" applyFill="1" applyBorder="1" applyAlignment="1">
      <alignment horizontal="center" vertical="center"/>
    </xf>
    <xf numFmtId="10" fontId="110" fillId="5" borderId="43" xfId="0" applyNumberFormat="1" applyFont="1" applyFill="1" applyBorder="1" applyAlignment="1">
      <alignment horizontal="right" vertical="center"/>
    </xf>
    <xf numFmtId="0" fontId="111" fillId="5" borderId="121" xfId="0" applyFont="1" applyFill="1" applyBorder="1" applyAlignment="1">
      <alignment horizontal="center" vertical="center"/>
    </xf>
    <xf numFmtId="10" fontId="111" fillId="5" borderId="121" xfId="0" applyNumberFormat="1" applyFont="1" applyFill="1" applyBorder="1" applyAlignment="1">
      <alignment horizontal="right" vertical="center"/>
    </xf>
    <xf numFmtId="0" fontId="110" fillId="5" borderId="133" xfId="0" applyFont="1" applyFill="1" applyBorder="1" applyAlignment="1">
      <alignment horizontal="center" vertical="center"/>
    </xf>
    <xf numFmtId="10" fontId="110" fillId="5" borderId="133" xfId="0" applyNumberFormat="1" applyFont="1" applyFill="1" applyBorder="1" applyAlignment="1">
      <alignment horizontal="right" vertical="center"/>
    </xf>
    <xf numFmtId="0" fontId="110" fillId="115" borderId="230" xfId="0" applyFont="1" applyFill="1" applyBorder="1" applyAlignment="1">
      <alignment horizontal="center" vertical="center"/>
    </xf>
    <xf numFmtId="10" fontId="110" fillId="115" borderId="230" xfId="0" applyNumberFormat="1" applyFont="1" applyFill="1" applyBorder="1" applyAlignment="1">
      <alignment horizontal="right" vertical="center"/>
    </xf>
    <xf numFmtId="0" fontId="110" fillId="116" borderId="43" xfId="0" applyFont="1" applyFill="1" applyBorder="1" applyAlignment="1">
      <alignment horizontal="center" vertical="center"/>
    </xf>
    <xf numFmtId="10" fontId="110" fillId="116" borderId="43" xfId="0" applyNumberFormat="1" applyFont="1" applyFill="1" applyBorder="1" applyAlignment="1">
      <alignment horizontal="right" vertical="center"/>
    </xf>
    <xf numFmtId="0" fontId="111" fillId="116" borderId="121" xfId="0" applyFont="1" applyFill="1" applyBorder="1" applyAlignment="1">
      <alignment horizontal="center" vertical="center"/>
    </xf>
    <xf numFmtId="10" fontId="111" fillId="116" borderId="121" xfId="0" applyNumberFormat="1" applyFont="1" applyFill="1" applyBorder="1" applyAlignment="1">
      <alignment horizontal="right" vertical="center"/>
    </xf>
    <xf numFmtId="0" fontId="110" fillId="117" borderId="43" xfId="0" applyFont="1" applyFill="1" applyBorder="1" applyAlignment="1">
      <alignment horizontal="center" vertical="center"/>
    </xf>
    <xf numFmtId="10" fontId="110" fillId="117" borderId="43" xfId="0" applyNumberFormat="1" applyFont="1" applyFill="1" applyBorder="1" applyAlignment="1">
      <alignment horizontal="right" vertical="center"/>
    </xf>
    <xf numFmtId="0" fontId="111" fillId="117" borderId="121" xfId="0" applyFont="1" applyFill="1" applyBorder="1" applyAlignment="1">
      <alignment horizontal="center" vertical="center"/>
    </xf>
    <xf numFmtId="10" fontId="111" fillId="117" borderId="121" xfId="0" applyNumberFormat="1" applyFont="1" applyFill="1" applyBorder="1" applyAlignment="1">
      <alignment horizontal="right" vertical="center"/>
    </xf>
    <xf numFmtId="0" fontId="32" fillId="5" borderId="130" xfId="0" applyFont="1" applyFill="1" applyBorder="1" applyAlignment="1">
      <alignment horizontal="right" vertical="center" wrapText="1"/>
    </xf>
    <xf numFmtId="0" fontId="0" fillId="2" borderId="5" xfId="0" applyFill="1" applyBorder="1"/>
    <xf numFmtId="0" fontId="9" fillId="23" borderId="5" xfId="0" applyFont="1" applyFill="1" applyBorder="1" applyAlignment="1">
      <alignment horizontal="center" vertical="center"/>
    </xf>
    <xf numFmtId="0" fontId="33" fillId="6" borderId="242" xfId="0" applyFont="1" applyFill="1" applyBorder="1" applyAlignment="1">
      <alignment horizontal="center" vertical="center"/>
    </xf>
    <xf numFmtId="0" fontId="33" fillId="6" borderId="243" xfId="0" applyFont="1" applyFill="1" applyBorder="1" applyAlignment="1">
      <alignment horizontal="center" vertical="center"/>
    </xf>
    <xf numFmtId="0" fontId="33" fillId="6" borderId="244" xfId="0" applyFont="1" applyFill="1" applyBorder="1" applyAlignment="1">
      <alignment horizontal="center" vertical="center"/>
    </xf>
    <xf numFmtId="0" fontId="33" fillId="35" borderId="245" xfId="0" applyFont="1" applyFill="1" applyBorder="1" applyAlignment="1">
      <alignment horizontal="center" vertical="center"/>
    </xf>
    <xf numFmtId="0" fontId="33" fillId="35" borderId="243" xfId="0" applyFont="1" applyFill="1" applyBorder="1" applyAlignment="1">
      <alignment horizontal="center" vertical="center"/>
    </xf>
    <xf numFmtId="0" fontId="33" fillId="35" borderId="242" xfId="0" applyFont="1" applyFill="1" applyBorder="1" applyAlignment="1">
      <alignment horizontal="center" vertical="center"/>
    </xf>
    <xf numFmtId="0" fontId="33" fillId="35" borderId="244" xfId="0" applyFont="1" applyFill="1" applyBorder="1" applyAlignment="1">
      <alignment horizontal="center" vertical="center"/>
    </xf>
    <xf numFmtId="0" fontId="33" fillId="36" borderId="246" xfId="0" applyFont="1" applyFill="1" applyBorder="1" applyAlignment="1">
      <alignment horizontal="center" vertical="center"/>
    </xf>
    <xf numFmtId="0" fontId="33" fillId="37" borderId="247" xfId="0" applyFont="1" applyFill="1" applyBorder="1" applyAlignment="1">
      <alignment horizontal="center" vertical="center"/>
    </xf>
    <xf numFmtId="0" fontId="33" fillId="37" borderId="242" xfId="0" applyFont="1" applyFill="1" applyBorder="1" applyAlignment="1">
      <alignment horizontal="center" vertical="center"/>
    </xf>
    <xf numFmtId="0" fontId="33" fillId="37" borderId="243" xfId="0" applyFont="1" applyFill="1" applyBorder="1" applyAlignment="1">
      <alignment horizontal="center" vertical="center"/>
    </xf>
    <xf numFmtId="0" fontId="33" fillId="37" borderId="248" xfId="0" applyFont="1" applyFill="1" applyBorder="1" applyAlignment="1">
      <alignment horizontal="center" vertical="center"/>
    </xf>
    <xf numFmtId="0" fontId="33" fillId="38" borderId="249" xfId="0" applyFont="1" applyFill="1" applyBorder="1" applyAlignment="1">
      <alignment horizontal="center" vertical="center"/>
    </xf>
    <xf numFmtId="0" fontId="33" fillId="38" borderId="242" xfId="0" applyFont="1" applyFill="1" applyBorder="1" applyAlignment="1">
      <alignment horizontal="center" vertical="center"/>
    </xf>
    <xf numFmtId="0" fontId="33" fillId="38" borderId="243" xfId="0" applyFont="1" applyFill="1" applyBorder="1" applyAlignment="1">
      <alignment horizontal="center" vertical="center"/>
    </xf>
    <xf numFmtId="0" fontId="33" fillId="38" borderId="250" xfId="0" applyFont="1" applyFill="1" applyBorder="1" applyAlignment="1">
      <alignment horizontal="center" vertical="center"/>
    </xf>
    <xf numFmtId="170" fontId="110" fillId="5" borderId="133" xfId="0" applyNumberFormat="1" applyFont="1" applyFill="1" applyBorder="1" applyAlignment="1">
      <alignment horizontal="right" vertical="center"/>
    </xf>
    <xf numFmtId="170" fontId="110" fillId="115" borderId="230" xfId="0" applyNumberFormat="1" applyFont="1" applyFill="1" applyBorder="1" applyAlignment="1">
      <alignment horizontal="right" vertical="center"/>
    </xf>
    <xf numFmtId="170" fontId="110" fillId="5" borderId="225" xfId="0" applyNumberFormat="1" applyFont="1" applyFill="1" applyBorder="1" applyAlignment="1">
      <alignment horizontal="right" vertical="center"/>
    </xf>
    <xf numFmtId="171" fontId="110" fillId="5" borderId="133" xfId="0" applyNumberFormat="1" applyFont="1" applyFill="1" applyBorder="1" applyAlignment="1">
      <alignment horizontal="right" vertical="center"/>
    </xf>
    <xf numFmtId="171" fontId="110" fillId="115" borderId="230" xfId="0" applyNumberFormat="1" applyFont="1" applyFill="1" applyBorder="1" applyAlignment="1">
      <alignment horizontal="right" vertical="center"/>
    </xf>
    <xf numFmtId="15" fontId="110" fillId="5" borderId="133" xfId="0" applyNumberFormat="1" applyFont="1" applyFill="1" applyBorder="1" applyAlignment="1">
      <alignment horizontal="center" vertical="center"/>
    </xf>
    <xf numFmtId="15" fontId="110" fillId="115" borderId="230" xfId="0" applyNumberFormat="1" applyFont="1" applyFill="1" applyBorder="1" applyAlignment="1">
      <alignment horizontal="center" vertical="center"/>
    </xf>
    <xf numFmtId="168" fontId="110" fillId="5" borderId="133" xfId="0" applyNumberFormat="1" applyFont="1" applyFill="1" applyBorder="1" applyAlignment="1">
      <alignment horizontal="right" vertical="center"/>
    </xf>
    <xf numFmtId="168" fontId="110" fillId="115" borderId="230" xfId="0" applyNumberFormat="1" applyFont="1" applyFill="1" applyBorder="1" applyAlignment="1">
      <alignment horizontal="right" vertical="center"/>
    </xf>
    <xf numFmtId="0" fontId="110" fillId="5" borderId="227" xfId="0" applyFont="1" applyFill="1" applyBorder="1" applyAlignment="1">
      <alignment horizontal="left" vertical="center"/>
    </xf>
    <xf numFmtId="0" fontId="109" fillId="115" borderId="229" xfId="0" applyFont="1" applyFill="1" applyBorder="1" applyAlignment="1">
      <alignment horizontal="left" vertical="center"/>
    </xf>
    <xf numFmtId="0" fontId="110" fillId="5" borderId="133" xfId="0" applyFont="1" applyFill="1" applyBorder="1" applyAlignment="1">
      <alignment horizontal="left" vertical="top" wrapText="1"/>
    </xf>
    <xf numFmtId="0" fontId="110" fillId="115" borderId="230" xfId="0" applyFont="1" applyFill="1" applyBorder="1" applyAlignment="1">
      <alignment horizontal="left" vertical="top" wrapText="1"/>
    </xf>
    <xf numFmtId="0" fontId="110" fillId="5" borderId="133" xfId="0" applyFont="1" applyFill="1" applyBorder="1" applyAlignment="1">
      <alignment horizontal="left" vertical="center"/>
    </xf>
    <xf numFmtId="0" fontId="110" fillId="115" borderId="230" xfId="0" applyFont="1" applyFill="1" applyBorder="1" applyAlignment="1">
      <alignment horizontal="left" vertical="center"/>
    </xf>
    <xf numFmtId="0" fontId="110" fillId="5" borderId="145" xfId="0" applyFont="1" applyFill="1" applyBorder="1" applyAlignment="1">
      <alignment horizontal="left" vertical="top" wrapText="1"/>
    </xf>
    <xf numFmtId="0" fontId="110" fillId="115" borderId="239" xfId="0" applyFont="1" applyFill="1" applyBorder="1" applyAlignment="1">
      <alignment horizontal="left" vertical="top" wrapText="1"/>
    </xf>
    <xf numFmtId="0" fontId="110" fillId="5" borderId="134" xfId="0" applyFont="1" applyFill="1" applyBorder="1" applyAlignment="1">
      <alignment horizontal="left" vertical="top" wrapText="1"/>
    </xf>
    <xf numFmtId="0" fontId="110" fillId="115" borderId="231" xfId="0" applyFont="1" applyFill="1" applyBorder="1" applyAlignment="1">
      <alignment horizontal="left" vertical="top" wrapText="1"/>
    </xf>
    <xf numFmtId="0" fontId="9" fillId="11" borderId="251" xfId="0" applyFont="1" applyFill="1" applyBorder="1" applyAlignment="1">
      <alignment horizontal="left" vertical="center"/>
    </xf>
    <xf numFmtId="0" fontId="9" fillId="11" borderId="252" xfId="0" applyFont="1" applyFill="1" applyBorder="1" applyAlignment="1">
      <alignment vertical="center"/>
    </xf>
    <xf numFmtId="0" fontId="9" fillId="11" borderId="225" xfId="0" applyFont="1" applyFill="1" applyBorder="1" applyAlignment="1">
      <alignment vertical="top" wrapText="1"/>
    </xf>
    <xf numFmtId="0" fontId="9" fillId="11" borderId="225" xfId="0" applyFont="1" applyFill="1" applyBorder="1" applyAlignment="1">
      <alignment horizontal="center" vertical="center"/>
    </xf>
    <xf numFmtId="170" fontId="9" fillId="11" borderId="225" xfId="0" applyNumberFormat="1" applyFont="1" applyFill="1" applyBorder="1" applyAlignment="1">
      <alignment horizontal="right" vertical="center"/>
    </xf>
    <xf numFmtId="172" fontId="9" fillId="11" borderId="225" xfId="0" applyNumberFormat="1" applyFont="1" applyFill="1" applyBorder="1" applyAlignment="1">
      <alignment horizontal="right" vertical="center"/>
    </xf>
    <xf numFmtId="171" fontId="9" fillId="11" borderId="225" xfId="0" applyNumberFormat="1" applyFont="1" applyFill="1" applyBorder="1" applyAlignment="1">
      <alignment horizontal="right" vertical="center"/>
    </xf>
    <xf numFmtId="0" fontId="9" fillId="11" borderId="225" xfId="0" applyFont="1" applyFill="1" applyBorder="1" applyAlignment="1">
      <alignment vertical="center"/>
    </xf>
    <xf numFmtId="0" fontId="9" fillId="11" borderId="225" xfId="0" applyFont="1" applyFill="1" applyBorder="1" applyAlignment="1">
      <alignment horizontal="right" vertical="center"/>
    </xf>
    <xf numFmtId="0" fontId="9" fillId="11" borderId="253" xfId="0" applyFont="1" applyFill="1" applyBorder="1" applyAlignment="1">
      <alignment vertical="top" wrapText="1"/>
    </xf>
    <xf numFmtId="0" fontId="9" fillId="11" borderId="254" xfId="0" applyFont="1" applyFill="1" applyBorder="1" applyAlignment="1">
      <alignment horizontal="left" vertical="center"/>
    </xf>
    <xf numFmtId="0" fontId="9" fillId="11" borderId="255" xfId="0" applyFont="1" applyFill="1" applyBorder="1" applyAlignment="1">
      <alignment vertical="center"/>
    </xf>
    <xf numFmtId="0" fontId="9" fillId="11" borderId="226" xfId="0" applyFont="1" applyFill="1" applyBorder="1" applyAlignment="1">
      <alignment vertical="top" wrapText="1"/>
    </xf>
    <xf numFmtId="0" fontId="9" fillId="11" borderId="226" xfId="0" applyFont="1" applyFill="1" applyBorder="1" applyAlignment="1">
      <alignment horizontal="center" vertical="center"/>
    </xf>
    <xf numFmtId="170" fontId="9" fillId="11" borderId="226" xfId="0" applyNumberFormat="1" applyFont="1" applyFill="1" applyBorder="1" applyAlignment="1">
      <alignment horizontal="right" vertical="center"/>
    </xf>
    <xf numFmtId="172" fontId="9" fillId="11" borderId="226" xfId="0" applyNumberFormat="1" applyFont="1" applyFill="1" applyBorder="1" applyAlignment="1">
      <alignment horizontal="right" vertical="center"/>
    </xf>
    <xf numFmtId="171" fontId="9" fillId="11" borderId="226" xfId="0" applyNumberFormat="1" applyFont="1" applyFill="1" applyBorder="1" applyAlignment="1">
      <alignment horizontal="right" vertical="center"/>
    </xf>
    <xf numFmtId="0" fontId="9" fillId="11" borderId="226" xfId="0" applyFont="1" applyFill="1" applyBorder="1" applyAlignment="1">
      <alignment vertical="center"/>
    </xf>
    <xf numFmtId="0" fontId="9" fillId="11" borderId="226" xfId="0" applyFont="1" applyFill="1" applyBorder="1" applyAlignment="1">
      <alignment horizontal="right" vertical="center"/>
    </xf>
    <xf numFmtId="0" fontId="9" fillId="11" borderId="256" xfId="0" applyFont="1" applyFill="1" applyBorder="1" applyAlignment="1">
      <alignment vertical="top" wrapText="1"/>
    </xf>
    <xf numFmtId="0" fontId="9" fillId="11" borderId="257" xfId="0" applyFont="1" applyFill="1" applyBorder="1" applyAlignment="1">
      <alignment vertical="top" wrapText="1"/>
    </xf>
    <xf numFmtId="0" fontId="9" fillId="11" borderId="258" xfId="0" applyFont="1" applyFill="1" applyBorder="1" applyAlignment="1">
      <alignment vertical="top" wrapText="1"/>
    </xf>
    <xf numFmtId="0" fontId="109" fillId="5" borderId="259" xfId="0" applyFont="1" applyFill="1" applyBorder="1" applyAlignment="1">
      <alignment horizontal="left" vertical="center"/>
    </xf>
    <xf numFmtId="0" fontId="110" fillId="5" borderId="127" xfId="0" applyFont="1" applyFill="1" applyBorder="1" applyAlignment="1">
      <alignment horizontal="left" vertical="top" wrapText="1"/>
    </xf>
    <xf numFmtId="0" fontId="110" fillId="5" borderId="127" xfId="0" applyFont="1" applyFill="1" applyBorder="1" applyAlignment="1">
      <alignment horizontal="left" vertical="center"/>
    </xf>
    <xf numFmtId="0" fontId="110" fillId="5" borderId="127" xfId="0" applyFont="1" applyFill="1" applyBorder="1" applyAlignment="1">
      <alignment horizontal="center" vertical="center"/>
    </xf>
    <xf numFmtId="168" fontId="110" fillId="5" borderId="127" xfId="0" applyNumberFormat="1" applyFont="1" applyFill="1" applyBorder="1" applyAlignment="1">
      <alignment horizontal="right" vertical="center"/>
    </xf>
    <xf numFmtId="170" fontId="110" fillId="5" borderId="127" xfId="0" applyNumberFormat="1" applyFont="1" applyFill="1" applyBorder="1" applyAlignment="1">
      <alignment horizontal="right" vertical="center"/>
    </xf>
    <xf numFmtId="171" fontId="110" fillId="5" borderId="127" xfId="0" applyNumberFormat="1" applyFont="1" applyFill="1" applyBorder="1" applyAlignment="1">
      <alignment horizontal="right" vertical="center"/>
    </xf>
    <xf numFmtId="10" fontId="110" fillId="5" borderId="127" xfId="0" applyNumberFormat="1" applyFont="1" applyFill="1" applyBorder="1" applyAlignment="1">
      <alignment horizontal="right" vertical="center"/>
    </xf>
    <xf numFmtId="15" fontId="110" fillId="5" borderId="127" xfId="0" applyNumberFormat="1" applyFont="1" applyFill="1" applyBorder="1" applyAlignment="1">
      <alignment horizontal="center" vertical="center"/>
    </xf>
    <xf numFmtId="0" fontId="110" fillId="5" borderId="146" xfId="0" applyFont="1" applyFill="1" applyBorder="1" applyAlignment="1">
      <alignment horizontal="left" vertical="top" wrapText="1"/>
    </xf>
    <xf numFmtId="0" fontId="110" fillId="5" borderId="128" xfId="0" applyFont="1" applyFill="1" applyBorder="1" applyAlignment="1">
      <alignment horizontal="left" vertical="top" wrapText="1"/>
    </xf>
    <xf numFmtId="0" fontId="32" fillId="5" borderId="260" xfId="0" applyFont="1" applyFill="1" applyBorder="1" applyAlignment="1">
      <alignment horizontal="center" vertical="center" wrapText="1"/>
    </xf>
    <xf numFmtId="0" fontId="32" fillId="5" borderId="261" xfId="0" applyFont="1" applyFill="1" applyBorder="1" applyAlignment="1">
      <alignment horizontal="center" vertical="center" wrapText="1"/>
    </xf>
    <xf numFmtId="0" fontId="33" fillId="6" borderId="262" xfId="0" applyFont="1" applyFill="1" applyBorder="1" applyAlignment="1">
      <alignment horizontal="center" vertical="center"/>
    </xf>
    <xf numFmtId="0" fontId="33" fillId="6" borderId="263" xfId="0" applyFont="1" applyFill="1" applyBorder="1" applyAlignment="1">
      <alignment horizontal="center" vertical="center"/>
    </xf>
    <xf numFmtId="0" fontId="111" fillId="118" borderId="115" xfId="0" applyFont="1" applyFill="1" applyBorder="1" applyAlignment="1">
      <alignment horizontal="left" vertical="top" wrapText="1"/>
    </xf>
    <xf numFmtId="0" fontId="111" fillId="118" borderId="115" xfId="0" applyFont="1" applyFill="1" applyBorder="1" applyAlignment="1">
      <alignment horizontal="left" vertical="center"/>
    </xf>
    <xf numFmtId="0" fontId="111" fillId="118" borderId="115" xfId="0" applyFont="1" applyFill="1" applyBorder="1" applyAlignment="1">
      <alignment horizontal="center" vertical="center"/>
    </xf>
    <xf numFmtId="168" fontId="111" fillId="118" borderId="115" xfId="0" applyNumberFormat="1" applyFont="1" applyFill="1" applyBorder="1" applyAlignment="1">
      <alignment horizontal="right" vertical="center"/>
    </xf>
    <xf numFmtId="170" fontId="111" fillId="118" borderId="115" xfId="0" applyNumberFormat="1" applyFont="1" applyFill="1" applyBorder="1" applyAlignment="1">
      <alignment horizontal="right" vertical="center"/>
    </xf>
    <xf numFmtId="170" fontId="110" fillId="118" borderId="115" xfId="0" applyNumberFormat="1" applyFont="1" applyFill="1" applyBorder="1" applyAlignment="1">
      <alignment horizontal="right" vertical="center"/>
    </xf>
    <xf numFmtId="171" fontId="111" fillId="118" borderId="115" xfId="0" applyNumberFormat="1" applyFont="1" applyFill="1" applyBorder="1" applyAlignment="1">
      <alignment horizontal="right" vertical="center"/>
    </xf>
    <xf numFmtId="10" fontId="111" fillId="118" borderId="115" xfId="0" applyNumberFormat="1" applyFont="1" applyFill="1" applyBorder="1" applyAlignment="1">
      <alignment horizontal="right" vertical="center"/>
    </xf>
    <xf numFmtId="15" fontId="111" fillId="118" borderId="115" xfId="0" applyNumberFormat="1" applyFont="1" applyFill="1" applyBorder="1" applyAlignment="1">
      <alignment horizontal="center" vertical="center"/>
    </xf>
    <xf numFmtId="0" fontId="111" fillId="118" borderId="144" xfId="0" applyFont="1" applyFill="1" applyBorder="1" applyAlignment="1">
      <alignment horizontal="left" vertical="top" wrapText="1"/>
    </xf>
    <xf numFmtId="0" fontId="111" fillId="118" borderId="116" xfId="0" applyFont="1" applyFill="1" applyBorder="1" applyAlignment="1">
      <alignment horizontal="left" vertical="top" wrapText="1"/>
    </xf>
    <xf numFmtId="0" fontId="110" fillId="5" borderId="265" xfId="0" applyFont="1" applyFill="1" applyBorder="1" applyAlignment="1">
      <alignment horizontal="left" vertical="center"/>
    </xf>
    <xf numFmtId="0" fontId="110" fillId="5" borderId="43" xfId="0" applyFont="1" applyFill="1" applyBorder="1" applyAlignment="1">
      <alignment horizontal="left" vertical="top" wrapText="1"/>
    </xf>
    <xf numFmtId="0" fontId="110" fillId="5" borderId="43" xfId="0" applyFont="1" applyFill="1" applyBorder="1" applyAlignment="1">
      <alignment horizontal="left" vertical="center"/>
    </xf>
    <xf numFmtId="168" fontId="110" fillId="5" borderId="43" xfId="0" applyNumberFormat="1" applyFont="1" applyFill="1" applyBorder="1" applyAlignment="1">
      <alignment horizontal="right" vertical="center"/>
    </xf>
    <xf numFmtId="170" fontId="110" fillId="5" borderId="43" xfId="0" applyNumberFormat="1" applyFont="1" applyFill="1" applyBorder="1" applyAlignment="1">
      <alignment horizontal="right" vertical="center"/>
    </xf>
    <xf numFmtId="170" fontId="110" fillId="5" borderId="118" xfId="0" applyNumberFormat="1" applyFont="1" applyFill="1" applyBorder="1" applyAlignment="1">
      <alignment horizontal="right" vertical="center"/>
    </xf>
    <xf numFmtId="171" fontId="110" fillId="5" borderId="43" xfId="0" applyNumberFormat="1" applyFont="1" applyFill="1" applyBorder="1" applyAlignment="1">
      <alignment horizontal="right" vertical="center"/>
    </xf>
    <xf numFmtId="15" fontId="110" fillId="5" borderId="43" xfId="0" applyNumberFormat="1" applyFont="1" applyFill="1" applyBorder="1" applyAlignment="1">
      <alignment horizontal="center" vertical="center"/>
    </xf>
    <xf numFmtId="0" fontId="110" fillId="5" borderId="139" xfId="0" applyFont="1" applyFill="1" applyBorder="1" applyAlignment="1">
      <alignment horizontal="left" vertical="top" wrapText="1"/>
    </xf>
    <xf numFmtId="0" fontId="110" fillId="5" borderId="44" xfId="0" applyFont="1" applyFill="1" applyBorder="1" applyAlignment="1">
      <alignment horizontal="left" vertical="top" wrapText="1"/>
    </xf>
    <xf numFmtId="0" fontId="111" fillId="118" borderId="121" xfId="0" applyFont="1" applyFill="1" applyBorder="1" applyAlignment="1">
      <alignment horizontal="left" vertical="top" wrapText="1"/>
    </xf>
    <xf numFmtId="0" fontId="111" fillId="118" borderId="121" xfId="0" applyFont="1" applyFill="1" applyBorder="1" applyAlignment="1">
      <alignment horizontal="left" vertical="center"/>
    </xf>
    <xf numFmtId="0" fontId="111" fillId="118" borderId="121" xfId="0" applyFont="1" applyFill="1" applyBorder="1" applyAlignment="1">
      <alignment horizontal="center" vertical="center"/>
    </xf>
    <xf numFmtId="168" fontId="111" fillId="118" borderId="121" xfId="0" applyNumberFormat="1" applyFont="1" applyFill="1" applyBorder="1" applyAlignment="1">
      <alignment horizontal="right" vertical="center"/>
    </xf>
    <xf numFmtId="170" fontId="111" fillId="118" borderId="121" xfId="0" applyNumberFormat="1" applyFont="1" applyFill="1" applyBorder="1" applyAlignment="1">
      <alignment horizontal="right" vertical="center"/>
    </xf>
    <xf numFmtId="170" fontId="110" fillId="118" borderId="118" xfId="0" applyNumberFormat="1" applyFont="1" applyFill="1" applyBorder="1" applyAlignment="1">
      <alignment horizontal="right" vertical="center"/>
    </xf>
    <xf numFmtId="171" fontId="111" fillId="118" borderId="121" xfId="0" applyNumberFormat="1" applyFont="1" applyFill="1" applyBorder="1" applyAlignment="1">
      <alignment horizontal="right" vertical="center"/>
    </xf>
    <xf numFmtId="10" fontId="111" fillId="118" borderId="121" xfId="0" applyNumberFormat="1" applyFont="1" applyFill="1" applyBorder="1" applyAlignment="1">
      <alignment horizontal="right" vertical="center"/>
    </xf>
    <xf numFmtId="15" fontId="111" fillId="118" borderId="121" xfId="0" applyNumberFormat="1" applyFont="1" applyFill="1" applyBorder="1" applyAlignment="1">
      <alignment horizontal="center" vertical="center"/>
    </xf>
    <xf numFmtId="0" fontId="111" fillId="118" borderId="267" xfId="0" applyFont="1" applyFill="1" applyBorder="1" applyAlignment="1">
      <alignment horizontal="left" vertical="top" wrapText="1"/>
    </xf>
    <xf numFmtId="0" fontId="111" fillId="118" borderId="122" xfId="0" applyFont="1" applyFill="1" applyBorder="1" applyAlignment="1">
      <alignment horizontal="left" vertical="top" wrapText="1"/>
    </xf>
    <xf numFmtId="0" fontId="110" fillId="118" borderId="265" xfId="0" applyFont="1" applyFill="1" applyBorder="1" applyAlignment="1">
      <alignment horizontal="left" vertical="center"/>
    </xf>
    <xf numFmtId="0" fontId="110" fillId="118" borderId="43" xfId="0" applyFont="1" applyFill="1" applyBorder="1" applyAlignment="1">
      <alignment horizontal="left" vertical="top" wrapText="1"/>
    </xf>
    <xf numFmtId="0" fontId="110" fillId="118" borderId="43" xfId="0" applyFont="1" applyFill="1" applyBorder="1" applyAlignment="1">
      <alignment horizontal="left" vertical="center"/>
    </xf>
    <xf numFmtId="0" fontId="110" fillId="118" borderId="43" xfId="0" applyFont="1" applyFill="1" applyBorder="1" applyAlignment="1">
      <alignment horizontal="center" vertical="center"/>
    </xf>
    <xf numFmtId="168" fontId="110" fillId="118" borderId="43" xfId="0" applyNumberFormat="1" applyFont="1" applyFill="1" applyBorder="1" applyAlignment="1">
      <alignment horizontal="right" vertical="center"/>
    </xf>
    <xf numFmtId="170" fontId="110" fillId="118" borderId="43" xfId="0" applyNumberFormat="1" applyFont="1" applyFill="1" applyBorder="1" applyAlignment="1">
      <alignment horizontal="right" vertical="center"/>
    </xf>
    <xf numFmtId="171" fontId="110" fillId="118" borderId="43" xfId="0" applyNumberFormat="1" applyFont="1" applyFill="1" applyBorder="1" applyAlignment="1">
      <alignment horizontal="right" vertical="center"/>
    </xf>
    <xf numFmtId="10" fontId="110" fillId="118" borderId="43" xfId="0" applyNumberFormat="1" applyFont="1" applyFill="1" applyBorder="1" applyAlignment="1">
      <alignment horizontal="right" vertical="center"/>
    </xf>
    <xf numFmtId="15" fontId="110" fillId="118" borderId="43" xfId="0" applyNumberFormat="1" applyFont="1" applyFill="1" applyBorder="1" applyAlignment="1">
      <alignment horizontal="center" vertical="center"/>
    </xf>
    <xf numFmtId="0" fontId="110" fillId="118" borderId="139" xfId="0" applyFont="1" applyFill="1" applyBorder="1" applyAlignment="1">
      <alignment horizontal="left" vertical="top" wrapText="1"/>
    </xf>
    <xf numFmtId="0" fontId="110" fillId="118" borderId="44" xfId="0" applyFont="1" applyFill="1" applyBorder="1" applyAlignment="1">
      <alignment horizontal="left" vertical="top" wrapText="1"/>
    </xf>
    <xf numFmtId="0" fontId="111" fillId="5" borderId="121" xfId="0" applyFont="1" applyFill="1" applyBorder="1" applyAlignment="1">
      <alignment horizontal="left" vertical="top" wrapText="1"/>
    </xf>
    <xf numFmtId="0" fontId="111" fillId="5" borderId="121" xfId="0" applyFont="1" applyFill="1" applyBorder="1" applyAlignment="1">
      <alignment horizontal="left" vertical="center"/>
    </xf>
    <xf numFmtId="168" fontId="111" fillId="5" borderId="121" xfId="0" applyNumberFormat="1" applyFont="1" applyFill="1" applyBorder="1" applyAlignment="1">
      <alignment horizontal="right" vertical="center"/>
    </xf>
    <xf numFmtId="170" fontId="111" fillId="5" borderId="121" xfId="0" applyNumberFormat="1" applyFont="1" applyFill="1" applyBorder="1" applyAlignment="1">
      <alignment horizontal="right" vertical="center"/>
    </xf>
    <xf numFmtId="171" fontId="111" fillId="5" borderId="121" xfId="0" applyNumberFormat="1" applyFont="1" applyFill="1" applyBorder="1" applyAlignment="1">
      <alignment horizontal="right" vertical="center"/>
    </xf>
    <xf numFmtId="15" fontId="111" fillId="5" borderId="121" xfId="0" applyNumberFormat="1" applyFont="1" applyFill="1" applyBorder="1" applyAlignment="1">
      <alignment horizontal="center" vertical="center"/>
    </xf>
    <xf numFmtId="0" fontId="111" fillId="5" borderId="267" xfId="0" applyFont="1" applyFill="1" applyBorder="1" applyAlignment="1">
      <alignment horizontal="left" vertical="top" wrapText="1"/>
    </xf>
    <xf numFmtId="0" fontId="111" fillId="5" borderId="122" xfId="0" applyFont="1" applyFill="1" applyBorder="1" applyAlignment="1">
      <alignment horizontal="left" vertical="top" wrapText="1"/>
    </xf>
    <xf numFmtId="0" fontId="110" fillId="119" borderId="268" xfId="0" applyFont="1" applyFill="1" applyBorder="1" applyAlignment="1">
      <alignment horizontal="left" vertical="top" wrapText="1"/>
    </xf>
    <xf numFmtId="0" fontId="110" fillId="119" borderId="268" xfId="0" applyFont="1" applyFill="1" applyBorder="1" applyAlignment="1">
      <alignment horizontal="left" vertical="center"/>
    </xf>
    <xf numFmtId="0" fontId="110" fillId="119" borderId="268" xfId="0" applyFont="1" applyFill="1" applyBorder="1" applyAlignment="1">
      <alignment horizontal="center" vertical="center"/>
    </xf>
    <xf numFmtId="168" fontId="110" fillId="119" borderId="268" xfId="0" applyNumberFormat="1" applyFont="1" applyFill="1" applyBorder="1" applyAlignment="1">
      <alignment horizontal="right" vertical="center"/>
    </xf>
    <xf numFmtId="170" fontId="110" fillId="119" borderId="268" xfId="0" applyNumberFormat="1" applyFont="1" applyFill="1" applyBorder="1" applyAlignment="1">
      <alignment horizontal="right" vertical="center"/>
    </xf>
    <xf numFmtId="171" fontId="110" fillId="119" borderId="268" xfId="0" applyNumberFormat="1" applyFont="1" applyFill="1" applyBorder="1" applyAlignment="1">
      <alignment horizontal="right" vertical="center"/>
    </xf>
    <xf numFmtId="10" fontId="110" fillId="119" borderId="268" xfId="0" applyNumberFormat="1" applyFont="1" applyFill="1" applyBorder="1" applyAlignment="1">
      <alignment horizontal="right" vertical="center"/>
    </xf>
    <xf numFmtId="15" fontId="110" fillId="119" borderId="268" xfId="0" applyNumberFormat="1" applyFont="1" applyFill="1" applyBorder="1" applyAlignment="1">
      <alignment horizontal="center" vertical="center"/>
    </xf>
    <xf numFmtId="0" fontId="110" fillId="119" borderId="269" xfId="0" applyFont="1" applyFill="1" applyBorder="1" applyAlignment="1">
      <alignment horizontal="left" vertical="top" wrapText="1"/>
    </xf>
    <xf numFmtId="0" fontId="110" fillId="119" borderId="228" xfId="0" applyFont="1" applyFill="1" applyBorder="1" applyAlignment="1">
      <alignment horizontal="left" vertical="top" wrapText="1"/>
    </xf>
    <xf numFmtId="0" fontId="109" fillId="119" borderId="270" xfId="0" applyFont="1" applyFill="1" applyBorder="1" applyAlignment="1">
      <alignment horizontal="left" vertical="center"/>
    </xf>
    <xf numFmtId="0" fontId="110" fillId="120" borderId="265" xfId="0" applyFont="1" applyFill="1" applyBorder="1" applyAlignment="1">
      <alignment horizontal="left" vertical="center"/>
    </xf>
    <xf numFmtId="0" fontId="110" fillId="120" borderId="43" xfId="0" applyFont="1" applyFill="1" applyBorder="1" applyAlignment="1">
      <alignment horizontal="left" vertical="top" wrapText="1"/>
    </xf>
    <xf numFmtId="0" fontId="110" fillId="120" borderId="43" xfId="0" applyFont="1" applyFill="1" applyBorder="1" applyAlignment="1">
      <alignment horizontal="left" vertical="center"/>
    </xf>
    <xf numFmtId="0" fontId="110" fillId="120" borderId="43" xfId="0" applyFont="1" applyFill="1" applyBorder="1" applyAlignment="1">
      <alignment horizontal="center" vertical="center"/>
    </xf>
    <xf numFmtId="168" fontId="110" fillId="120" borderId="43" xfId="0" applyNumberFormat="1" applyFont="1" applyFill="1" applyBorder="1" applyAlignment="1">
      <alignment horizontal="right" vertical="center"/>
    </xf>
    <xf numFmtId="170" fontId="110" fillId="120" borderId="43" xfId="0" applyNumberFormat="1" applyFont="1" applyFill="1" applyBorder="1" applyAlignment="1">
      <alignment horizontal="right" vertical="center"/>
    </xf>
    <xf numFmtId="171" fontId="110" fillId="120" borderId="43" xfId="0" applyNumberFormat="1" applyFont="1" applyFill="1" applyBorder="1" applyAlignment="1">
      <alignment horizontal="right" vertical="center"/>
    </xf>
    <xf numFmtId="10" fontId="110" fillId="120" borderId="43" xfId="0" applyNumberFormat="1" applyFont="1" applyFill="1" applyBorder="1" applyAlignment="1">
      <alignment horizontal="right" vertical="center"/>
    </xf>
    <xf numFmtId="15" fontId="110" fillId="120" borderId="43" xfId="0" applyNumberFormat="1" applyFont="1" applyFill="1" applyBorder="1" applyAlignment="1">
      <alignment horizontal="center" vertical="center"/>
    </xf>
    <xf numFmtId="0" fontId="110" fillId="120" borderId="139" xfId="0" applyFont="1" applyFill="1" applyBorder="1" applyAlignment="1">
      <alignment horizontal="left" vertical="top" wrapText="1"/>
    </xf>
    <xf numFmtId="0" fontId="110" fillId="120" borderId="44" xfId="0" applyFont="1" applyFill="1" applyBorder="1" applyAlignment="1">
      <alignment horizontal="left" vertical="top" wrapText="1"/>
    </xf>
    <xf numFmtId="0" fontId="110" fillId="119" borderId="265" xfId="0" applyFont="1" applyFill="1" applyBorder="1" applyAlignment="1">
      <alignment horizontal="left" vertical="center"/>
    </xf>
    <xf numFmtId="0" fontId="110" fillId="119" borderId="43" xfId="0" applyFont="1" applyFill="1" applyBorder="1" applyAlignment="1">
      <alignment horizontal="left" vertical="top" wrapText="1"/>
    </xf>
    <xf numFmtId="0" fontId="110" fillId="119" borderId="43" xfId="0" applyFont="1" applyFill="1" applyBorder="1" applyAlignment="1">
      <alignment horizontal="left" vertical="center"/>
    </xf>
    <xf numFmtId="0" fontId="110" fillId="119" borderId="43" xfId="0" applyFont="1" applyFill="1" applyBorder="1" applyAlignment="1">
      <alignment horizontal="center" vertical="center"/>
    </xf>
    <xf numFmtId="168" fontId="110" fillId="119" borderId="43" xfId="0" applyNumberFormat="1" applyFont="1" applyFill="1" applyBorder="1" applyAlignment="1">
      <alignment horizontal="right" vertical="center"/>
    </xf>
    <xf numFmtId="170" fontId="110" fillId="119" borderId="43" xfId="0" applyNumberFormat="1" applyFont="1" applyFill="1" applyBorder="1" applyAlignment="1">
      <alignment horizontal="right" vertical="center"/>
    </xf>
    <xf numFmtId="170" fontId="110" fillId="119" borderId="118" xfId="0" applyNumberFormat="1" applyFont="1" applyFill="1" applyBorder="1" applyAlignment="1">
      <alignment horizontal="right" vertical="center"/>
    </xf>
    <xf numFmtId="171" fontId="110" fillId="119" borderId="43" xfId="0" applyNumberFormat="1" applyFont="1" applyFill="1" applyBorder="1" applyAlignment="1">
      <alignment horizontal="right" vertical="center"/>
    </xf>
    <xf numFmtId="10" fontId="110" fillId="119" borderId="43" xfId="0" applyNumberFormat="1" applyFont="1" applyFill="1" applyBorder="1" applyAlignment="1">
      <alignment horizontal="right" vertical="center"/>
    </xf>
    <xf numFmtId="15" fontId="110" fillId="119" borderId="43" xfId="0" applyNumberFormat="1" applyFont="1" applyFill="1" applyBorder="1" applyAlignment="1">
      <alignment horizontal="center" vertical="center"/>
    </xf>
    <xf numFmtId="0" fontId="110" fillId="119" borderId="139" xfId="0" applyFont="1" applyFill="1" applyBorder="1" applyAlignment="1">
      <alignment horizontal="left" vertical="top" wrapText="1"/>
    </xf>
    <xf numFmtId="0" fontId="110" fillId="119" borderId="44" xfId="0" applyFont="1" applyFill="1" applyBorder="1" applyAlignment="1">
      <alignment horizontal="left" vertical="top" wrapText="1"/>
    </xf>
    <xf numFmtId="0" fontId="111" fillId="120" borderId="121" xfId="0" applyFont="1" applyFill="1" applyBorder="1" applyAlignment="1">
      <alignment horizontal="left" vertical="top" wrapText="1"/>
    </xf>
    <xf numFmtId="0" fontId="111" fillId="120" borderId="121" xfId="0" applyFont="1" applyFill="1" applyBorder="1" applyAlignment="1">
      <alignment horizontal="left" vertical="center"/>
    </xf>
    <xf numFmtId="0" fontId="111" fillId="120" borderId="121" xfId="0" applyFont="1" applyFill="1" applyBorder="1" applyAlignment="1">
      <alignment horizontal="center" vertical="center"/>
    </xf>
    <xf numFmtId="168" fontId="111" fillId="120" borderId="121" xfId="0" applyNumberFormat="1" applyFont="1" applyFill="1" applyBorder="1" applyAlignment="1">
      <alignment horizontal="right" vertical="center"/>
    </xf>
    <xf numFmtId="170" fontId="111" fillId="120" borderId="121" xfId="0" applyNumberFormat="1" applyFont="1" applyFill="1" applyBorder="1" applyAlignment="1">
      <alignment horizontal="right" vertical="center"/>
    </xf>
    <xf numFmtId="170" fontId="110" fillId="120" borderId="118" xfId="0" applyNumberFormat="1" applyFont="1" applyFill="1" applyBorder="1" applyAlignment="1">
      <alignment horizontal="right" vertical="center"/>
    </xf>
    <xf numFmtId="171" fontId="111" fillId="120" borderId="121" xfId="0" applyNumberFormat="1" applyFont="1" applyFill="1" applyBorder="1" applyAlignment="1">
      <alignment horizontal="right" vertical="center"/>
    </xf>
    <xf numFmtId="10" fontId="111" fillId="120" borderId="121" xfId="0" applyNumberFormat="1" applyFont="1" applyFill="1" applyBorder="1" applyAlignment="1">
      <alignment horizontal="right" vertical="center"/>
    </xf>
    <xf numFmtId="15" fontId="111" fillId="120" borderId="121" xfId="0" applyNumberFormat="1" applyFont="1" applyFill="1" applyBorder="1" applyAlignment="1">
      <alignment horizontal="center" vertical="center"/>
    </xf>
    <xf numFmtId="0" fontId="111" fillId="120" borderId="267" xfId="0" applyFont="1" applyFill="1" applyBorder="1" applyAlignment="1">
      <alignment horizontal="left" vertical="top" wrapText="1"/>
    </xf>
    <xf numFmtId="0" fontId="111" fillId="120" borderId="122" xfId="0" applyFont="1" applyFill="1" applyBorder="1" applyAlignment="1">
      <alignment horizontal="left" vertical="top" wrapText="1"/>
    </xf>
    <xf numFmtId="0" fontId="110" fillId="120" borderId="227" xfId="0" applyFont="1" applyFill="1" applyBorder="1" applyAlignment="1">
      <alignment horizontal="left" vertical="center"/>
    </xf>
    <xf numFmtId="0" fontId="110" fillId="120" borderId="133" xfId="0" applyFont="1" applyFill="1" applyBorder="1" applyAlignment="1">
      <alignment horizontal="left" vertical="top" wrapText="1"/>
    </xf>
    <xf numFmtId="0" fontId="110" fillId="120" borderId="133" xfId="0" applyFont="1" applyFill="1" applyBorder="1" applyAlignment="1">
      <alignment horizontal="left" vertical="center"/>
    </xf>
    <xf numFmtId="0" fontId="110" fillId="120" borderId="133" xfId="0" applyFont="1" applyFill="1" applyBorder="1" applyAlignment="1">
      <alignment horizontal="center" vertical="center"/>
    </xf>
    <xf numFmtId="168" fontId="110" fillId="120" borderId="133" xfId="0" applyNumberFormat="1" applyFont="1" applyFill="1" applyBorder="1" applyAlignment="1">
      <alignment horizontal="right" vertical="center"/>
    </xf>
    <xf numFmtId="170" fontId="110" fillId="120" borderId="133" xfId="0" applyNumberFormat="1" applyFont="1" applyFill="1" applyBorder="1" applyAlignment="1">
      <alignment horizontal="right" vertical="center"/>
    </xf>
    <xf numFmtId="170" fontId="110" fillId="120" borderId="225" xfId="0" applyNumberFormat="1" applyFont="1" applyFill="1" applyBorder="1" applyAlignment="1">
      <alignment horizontal="right" vertical="center"/>
    </xf>
    <xf numFmtId="171" fontId="110" fillId="120" borderId="133" xfId="0" applyNumberFormat="1" applyFont="1" applyFill="1" applyBorder="1" applyAlignment="1">
      <alignment horizontal="right" vertical="center"/>
    </xf>
    <xf numFmtId="10" fontId="110" fillId="120" borderId="133" xfId="0" applyNumberFormat="1" applyFont="1" applyFill="1" applyBorder="1" applyAlignment="1">
      <alignment horizontal="right" vertical="center"/>
    </xf>
    <xf numFmtId="15" fontId="110" fillId="120" borderId="133" xfId="0" applyNumberFormat="1" applyFont="1" applyFill="1" applyBorder="1" applyAlignment="1">
      <alignment horizontal="center" vertical="center"/>
    </xf>
    <xf numFmtId="0" fontId="110" fillId="120" borderId="145" xfId="0" applyFont="1" applyFill="1" applyBorder="1" applyAlignment="1">
      <alignment horizontal="left" vertical="top" wrapText="1"/>
    </xf>
    <xf numFmtId="0" fontId="110" fillId="120" borderId="134" xfId="0" applyFont="1" applyFill="1" applyBorder="1" applyAlignment="1">
      <alignment horizontal="left" vertical="top" wrapText="1"/>
    </xf>
    <xf numFmtId="0" fontId="110" fillId="116" borderId="272" xfId="0" applyFont="1" applyFill="1" applyBorder="1" applyAlignment="1">
      <alignment horizontal="left" vertical="top" wrapText="1"/>
    </xf>
    <xf numFmtId="0" fontId="110" fillId="116" borderId="272" xfId="0" applyFont="1" applyFill="1" applyBorder="1" applyAlignment="1">
      <alignment horizontal="left" vertical="center"/>
    </xf>
    <xf numFmtId="0" fontId="110" fillId="116" borderId="272" xfId="0" applyFont="1" applyFill="1" applyBorder="1" applyAlignment="1">
      <alignment horizontal="center" vertical="center"/>
    </xf>
    <xf numFmtId="168" fontId="110" fillId="116" borderId="272" xfId="0" applyNumberFormat="1" applyFont="1" applyFill="1" applyBorder="1" applyAlignment="1">
      <alignment horizontal="right" vertical="center"/>
    </xf>
    <xf numFmtId="170" fontId="110" fillId="116" borderId="272" xfId="0" applyNumberFormat="1" applyFont="1" applyFill="1" applyBorder="1" applyAlignment="1">
      <alignment horizontal="right" vertical="center"/>
    </xf>
    <xf numFmtId="171" fontId="110" fillId="116" borderId="272" xfId="0" applyNumberFormat="1" applyFont="1" applyFill="1" applyBorder="1" applyAlignment="1">
      <alignment horizontal="right" vertical="center"/>
    </xf>
    <xf numFmtId="10" fontId="110" fillId="116" borderId="272" xfId="0" applyNumberFormat="1" applyFont="1" applyFill="1" applyBorder="1" applyAlignment="1">
      <alignment horizontal="right" vertical="center"/>
    </xf>
    <xf numFmtId="15" fontId="110" fillId="116" borderId="272" xfId="0" applyNumberFormat="1" applyFont="1" applyFill="1" applyBorder="1" applyAlignment="1">
      <alignment horizontal="center" vertical="center"/>
    </xf>
    <xf numFmtId="0" fontId="110" fillId="116" borderId="273" xfId="0" applyFont="1" applyFill="1" applyBorder="1" applyAlignment="1">
      <alignment horizontal="left" vertical="top" wrapText="1"/>
    </xf>
    <xf numFmtId="0" fontId="110" fillId="116" borderId="271" xfId="0" applyFont="1" applyFill="1" applyBorder="1" applyAlignment="1">
      <alignment horizontal="left" vertical="top" wrapText="1"/>
    </xf>
    <xf numFmtId="0" fontId="109" fillId="116" borderId="274" xfId="0" applyFont="1" applyFill="1" applyBorder="1" applyAlignment="1">
      <alignment horizontal="left" vertical="center"/>
    </xf>
    <xf numFmtId="0" fontId="33" fillId="37" borderId="262" xfId="0" applyFont="1" applyFill="1" applyBorder="1" applyAlignment="1">
      <alignment horizontal="center" vertical="center"/>
    </xf>
    <xf numFmtId="0" fontId="111" fillId="121" borderId="115" xfId="0" applyFont="1" applyFill="1" applyBorder="1" applyAlignment="1">
      <alignment horizontal="left" vertical="top" wrapText="1"/>
    </xf>
    <xf numFmtId="0" fontId="111" fillId="121" borderId="115" xfId="0" applyFont="1" applyFill="1" applyBorder="1" applyAlignment="1">
      <alignment horizontal="left" vertical="center"/>
    </xf>
    <xf numFmtId="0" fontId="111" fillId="121" borderId="115" xfId="0" applyFont="1" applyFill="1" applyBorder="1" applyAlignment="1">
      <alignment horizontal="center" vertical="center"/>
    </xf>
    <xf numFmtId="168" fontId="111" fillId="121" borderId="115" xfId="0" applyNumberFormat="1" applyFont="1" applyFill="1" applyBorder="1" applyAlignment="1">
      <alignment horizontal="right" vertical="center"/>
    </xf>
    <xf numFmtId="170" fontId="111" fillId="121" borderId="115" xfId="0" applyNumberFormat="1" applyFont="1" applyFill="1" applyBorder="1" applyAlignment="1">
      <alignment horizontal="right" vertical="center"/>
    </xf>
    <xf numFmtId="170" fontId="110" fillId="121" borderId="115" xfId="0" applyNumberFormat="1" applyFont="1" applyFill="1" applyBorder="1" applyAlignment="1">
      <alignment horizontal="right" vertical="center"/>
    </xf>
    <xf numFmtId="171" fontId="111" fillId="121" borderId="115" xfId="0" applyNumberFormat="1" applyFont="1" applyFill="1" applyBorder="1" applyAlignment="1">
      <alignment horizontal="right" vertical="center"/>
    </xf>
    <xf numFmtId="10" fontId="111" fillId="121" borderId="115" xfId="0" applyNumberFormat="1" applyFont="1" applyFill="1" applyBorder="1" applyAlignment="1">
      <alignment horizontal="right" vertical="center"/>
    </xf>
    <xf numFmtId="15" fontId="111" fillId="121" borderId="115" xfId="0" applyNumberFormat="1" applyFont="1" applyFill="1" applyBorder="1" applyAlignment="1">
      <alignment horizontal="center" vertical="center"/>
    </xf>
    <xf numFmtId="0" fontId="111" fillId="121" borderId="144" xfId="0" applyFont="1" applyFill="1" applyBorder="1" applyAlignment="1">
      <alignment horizontal="left" vertical="top" wrapText="1"/>
    </xf>
    <xf numFmtId="0" fontId="111" fillId="121" borderId="116" xfId="0" applyFont="1" applyFill="1" applyBorder="1" applyAlignment="1">
      <alignment horizontal="left" vertical="top" wrapText="1"/>
    </xf>
    <xf numFmtId="0" fontId="110" fillId="116" borderId="265" xfId="0" applyFont="1" applyFill="1" applyBorder="1" applyAlignment="1">
      <alignment horizontal="left" vertical="center"/>
    </xf>
    <xf numFmtId="0" fontId="110" fillId="116" borderId="43" xfId="0" applyFont="1" applyFill="1" applyBorder="1" applyAlignment="1">
      <alignment horizontal="left" vertical="top" wrapText="1"/>
    </xf>
    <xf numFmtId="0" fontId="110" fillId="116" borderId="43" xfId="0" applyFont="1" applyFill="1" applyBorder="1" applyAlignment="1">
      <alignment horizontal="left" vertical="center"/>
    </xf>
    <xf numFmtId="168" fontId="110" fillId="116" borderId="43" xfId="0" applyNumberFormat="1" applyFont="1" applyFill="1" applyBorder="1" applyAlignment="1">
      <alignment horizontal="right" vertical="center"/>
    </xf>
    <xf numFmtId="170" fontId="110" fillId="116" borderId="43" xfId="0" applyNumberFormat="1" applyFont="1" applyFill="1" applyBorder="1" applyAlignment="1">
      <alignment horizontal="right" vertical="center"/>
    </xf>
    <xf numFmtId="170" fontId="110" fillId="116" borderId="118" xfId="0" applyNumberFormat="1" applyFont="1" applyFill="1" applyBorder="1" applyAlignment="1">
      <alignment horizontal="right" vertical="center"/>
    </xf>
    <xf numFmtId="171" fontId="110" fillId="116" borderId="43" xfId="0" applyNumberFormat="1" applyFont="1" applyFill="1" applyBorder="1" applyAlignment="1">
      <alignment horizontal="right" vertical="center"/>
    </xf>
    <xf numFmtId="15" fontId="110" fillId="116" borderId="43" xfId="0" applyNumberFormat="1" applyFont="1" applyFill="1" applyBorder="1" applyAlignment="1">
      <alignment horizontal="center" vertical="center"/>
    </xf>
    <xf numFmtId="0" fontId="110" fillId="116" borderId="139" xfId="0" applyFont="1" applyFill="1" applyBorder="1" applyAlignment="1">
      <alignment horizontal="left" vertical="top" wrapText="1"/>
    </xf>
    <xf numFmtId="0" fontId="110" fillId="116" borderId="44" xfId="0" applyFont="1" applyFill="1" applyBorder="1" applyAlignment="1">
      <alignment horizontal="left" vertical="top" wrapText="1"/>
    </xf>
    <xf numFmtId="0" fontId="111" fillId="121" borderId="121" xfId="0" applyFont="1" applyFill="1" applyBorder="1" applyAlignment="1">
      <alignment horizontal="left" vertical="top" wrapText="1"/>
    </xf>
    <xf numFmtId="0" fontId="111" fillId="121" borderId="121" xfId="0" applyFont="1" applyFill="1" applyBorder="1" applyAlignment="1">
      <alignment horizontal="left" vertical="center"/>
    </xf>
    <xf numFmtId="0" fontId="111" fillId="121" borderId="121" xfId="0" applyFont="1" applyFill="1" applyBorder="1" applyAlignment="1">
      <alignment horizontal="center" vertical="center"/>
    </xf>
    <xf numFmtId="168" fontId="111" fillId="121" borderId="121" xfId="0" applyNumberFormat="1" applyFont="1" applyFill="1" applyBorder="1" applyAlignment="1">
      <alignment horizontal="right" vertical="center"/>
    </xf>
    <xf numFmtId="170" fontId="111" fillId="121" borderId="121" xfId="0" applyNumberFormat="1" applyFont="1" applyFill="1" applyBorder="1" applyAlignment="1">
      <alignment horizontal="right" vertical="center"/>
    </xf>
    <xf numFmtId="170" fontId="110" fillId="121" borderId="118" xfId="0" applyNumberFormat="1" applyFont="1" applyFill="1" applyBorder="1" applyAlignment="1">
      <alignment horizontal="right" vertical="center"/>
    </xf>
    <xf numFmtId="171" fontId="111" fillId="121" borderId="121" xfId="0" applyNumberFormat="1" applyFont="1" applyFill="1" applyBorder="1" applyAlignment="1">
      <alignment horizontal="right" vertical="center"/>
    </xf>
    <xf numFmtId="10" fontId="111" fillId="121" borderId="121" xfId="0" applyNumberFormat="1" applyFont="1" applyFill="1" applyBorder="1" applyAlignment="1">
      <alignment horizontal="right" vertical="center"/>
    </xf>
    <xf numFmtId="15" fontId="111" fillId="121" borderId="121" xfId="0" applyNumberFormat="1" applyFont="1" applyFill="1" applyBorder="1" applyAlignment="1">
      <alignment horizontal="center" vertical="center"/>
    </xf>
    <xf numFmtId="0" fontId="111" fillId="121" borderId="267" xfId="0" applyFont="1" applyFill="1" applyBorder="1" applyAlignment="1">
      <alignment horizontal="left" vertical="top" wrapText="1"/>
    </xf>
    <xf numFmtId="0" fontId="111" fillId="121" borderId="122" xfId="0" applyFont="1" applyFill="1" applyBorder="1" applyAlignment="1">
      <alignment horizontal="left" vertical="top" wrapText="1"/>
    </xf>
    <xf numFmtId="0" fontId="111" fillId="116" borderId="121" xfId="0" applyFont="1" applyFill="1" applyBorder="1" applyAlignment="1">
      <alignment horizontal="left" vertical="top" wrapText="1"/>
    </xf>
    <xf numFmtId="0" fontId="111" fillId="116" borderId="121" xfId="0" applyFont="1" applyFill="1" applyBorder="1" applyAlignment="1">
      <alignment horizontal="left" vertical="center"/>
    </xf>
    <xf numFmtId="168" fontId="111" fillId="116" borderId="121" xfId="0" applyNumberFormat="1" applyFont="1" applyFill="1" applyBorder="1" applyAlignment="1">
      <alignment horizontal="right" vertical="center"/>
    </xf>
    <xf numFmtId="170" fontId="111" fillId="116" borderId="121" xfId="0" applyNumberFormat="1" applyFont="1" applyFill="1" applyBorder="1" applyAlignment="1">
      <alignment horizontal="right" vertical="center"/>
    </xf>
    <xf numFmtId="171" fontId="111" fillId="116" borderId="121" xfId="0" applyNumberFormat="1" applyFont="1" applyFill="1" applyBorder="1" applyAlignment="1">
      <alignment horizontal="right" vertical="center"/>
    </xf>
    <xf numFmtId="15" fontId="111" fillId="116" borderId="121" xfId="0" applyNumberFormat="1" applyFont="1" applyFill="1" applyBorder="1" applyAlignment="1">
      <alignment horizontal="center" vertical="center"/>
    </xf>
    <xf numFmtId="0" fontId="111" fillId="116" borderId="267" xfId="0" applyFont="1" applyFill="1" applyBorder="1" applyAlignment="1">
      <alignment horizontal="left" vertical="top" wrapText="1"/>
    </xf>
    <xf numFmtId="0" fontId="111" fillId="116" borderId="122" xfId="0" applyFont="1" applyFill="1" applyBorder="1" applyAlignment="1">
      <alignment horizontal="left" vertical="top" wrapText="1"/>
    </xf>
    <xf numFmtId="0" fontId="113" fillId="121" borderId="232" xfId="0" applyFont="1" applyFill="1" applyBorder="1" applyAlignment="1">
      <alignment horizontal="left" vertical="center" indent="2"/>
    </xf>
    <xf numFmtId="0" fontId="112" fillId="121" borderId="233" xfId="0" applyFont="1" applyFill="1" applyBorder="1" applyAlignment="1">
      <alignment horizontal="left" vertical="top" wrapText="1"/>
    </xf>
    <xf numFmtId="0" fontId="111" fillId="121" borderId="233" xfId="0" applyFont="1" applyFill="1" applyBorder="1" applyAlignment="1">
      <alignment horizontal="left" vertical="center"/>
    </xf>
    <xf numFmtId="0" fontId="111" fillId="121" borderId="233" xfId="0" applyFont="1" applyFill="1" applyBorder="1" applyAlignment="1">
      <alignment horizontal="center" vertical="center"/>
    </xf>
    <xf numFmtId="168" fontId="111" fillId="121" borderId="233" xfId="0" applyNumberFormat="1" applyFont="1" applyFill="1" applyBorder="1" applyAlignment="1">
      <alignment horizontal="right" vertical="center"/>
    </xf>
    <xf numFmtId="170" fontId="111" fillId="121" borderId="233" xfId="0" applyNumberFormat="1" applyFont="1" applyFill="1" applyBorder="1" applyAlignment="1">
      <alignment horizontal="right" vertical="center"/>
    </xf>
    <xf numFmtId="170" fontId="110" fillId="121" borderId="225" xfId="0" applyNumberFormat="1" applyFont="1" applyFill="1" applyBorder="1" applyAlignment="1">
      <alignment horizontal="right" vertical="center"/>
    </xf>
    <xf numFmtId="171" fontId="111" fillId="121" borderId="233" xfId="0" applyNumberFormat="1" applyFont="1" applyFill="1" applyBorder="1" applyAlignment="1">
      <alignment horizontal="right" vertical="center"/>
    </xf>
    <xf numFmtId="10" fontId="111" fillId="121" borderId="233" xfId="0" applyNumberFormat="1" applyFont="1" applyFill="1" applyBorder="1" applyAlignment="1">
      <alignment horizontal="right" vertical="center"/>
    </xf>
    <xf numFmtId="15" fontId="111" fillId="121" borderId="233" xfId="0" applyNumberFormat="1" applyFont="1" applyFill="1" applyBorder="1" applyAlignment="1">
      <alignment horizontal="center" vertical="center"/>
    </xf>
    <xf numFmtId="0" fontId="111" fillId="121" borderId="233" xfId="0" applyFont="1" applyFill="1" applyBorder="1" applyAlignment="1">
      <alignment horizontal="left" vertical="top" wrapText="1"/>
    </xf>
    <xf numFmtId="0" fontId="111" fillId="121" borderId="240" xfId="0" applyFont="1" applyFill="1" applyBorder="1" applyAlignment="1">
      <alignment horizontal="left" vertical="top" wrapText="1"/>
    </xf>
    <xf numFmtId="0" fontId="111" fillId="121" borderId="234" xfId="0" applyFont="1" applyFill="1" applyBorder="1" applyAlignment="1">
      <alignment horizontal="left" vertical="top" wrapText="1"/>
    </xf>
    <xf numFmtId="0" fontId="111" fillId="117" borderId="276" xfId="0" applyFont="1" applyFill="1" applyBorder="1" applyAlignment="1">
      <alignment horizontal="left" vertical="top" wrapText="1"/>
    </xf>
    <xf numFmtId="0" fontId="111" fillId="117" borderId="276" xfId="0" applyFont="1" applyFill="1" applyBorder="1" applyAlignment="1">
      <alignment horizontal="left" vertical="center"/>
    </xf>
    <xf numFmtId="0" fontId="111" fillId="117" borderId="276" xfId="0" applyFont="1" applyFill="1" applyBorder="1" applyAlignment="1">
      <alignment horizontal="center" vertical="center"/>
    </xf>
    <xf numFmtId="168" fontId="111" fillId="117" borderId="276" xfId="0" applyNumberFormat="1" applyFont="1" applyFill="1" applyBorder="1" applyAlignment="1">
      <alignment horizontal="right" vertical="center"/>
    </xf>
    <xf numFmtId="170" fontId="111" fillId="117" borderId="276" xfId="0" applyNumberFormat="1" applyFont="1" applyFill="1" applyBorder="1" applyAlignment="1">
      <alignment horizontal="right" vertical="center"/>
    </xf>
    <xf numFmtId="170" fontId="110" fillId="117" borderId="276" xfId="0" applyNumberFormat="1" applyFont="1" applyFill="1" applyBorder="1" applyAlignment="1">
      <alignment horizontal="right" vertical="center"/>
    </xf>
    <xf numFmtId="171" fontId="111" fillId="117" borderId="276" xfId="0" applyNumberFormat="1" applyFont="1" applyFill="1" applyBorder="1" applyAlignment="1">
      <alignment horizontal="right" vertical="center"/>
    </xf>
    <xf numFmtId="10" fontId="111" fillId="117" borderId="276" xfId="0" applyNumberFormat="1" applyFont="1" applyFill="1" applyBorder="1" applyAlignment="1">
      <alignment horizontal="right" vertical="center"/>
    </xf>
    <xf numFmtId="15" fontId="111" fillId="117" borderId="276" xfId="0" applyNumberFormat="1" applyFont="1" applyFill="1" applyBorder="1" applyAlignment="1">
      <alignment horizontal="center" vertical="center"/>
    </xf>
    <xf numFmtId="0" fontId="111" fillId="117" borderId="277" xfId="0" applyFont="1" applyFill="1" applyBorder="1" applyAlignment="1">
      <alignment horizontal="left" vertical="top" wrapText="1"/>
    </xf>
    <xf numFmtId="0" fontId="111" fillId="117" borderId="275" xfId="0" applyFont="1" applyFill="1" applyBorder="1" applyAlignment="1">
      <alignment horizontal="left" vertical="top" wrapText="1"/>
    </xf>
    <xf numFmtId="0" fontId="111" fillId="117" borderId="278" xfId="0" applyFont="1" applyFill="1" applyBorder="1" applyAlignment="1">
      <alignment horizontal="left" vertical="center" indent="2"/>
    </xf>
    <xf numFmtId="0" fontId="33" fillId="38" borderId="262" xfId="0" applyFont="1" applyFill="1" applyBorder="1" applyAlignment="1">
      <alignment horizontal="center" vertical="center"/>
    </xf>
    <xf numFmtId="0" fontId="111" fillId="122" borderId="115" xfId="0" applyFont="1" applyFill="1" applyBorder="1" applyAlignment="1">
      <alignment horizontal="left" vertical="top" wrapText="1"/>
    </xf>
    <xf numFmtId="0" fontId="111" fillId="122" borderId="115" xfId="0" applyFont="1" applyFill="1" applyBorder="1" applyAlignment="1">
      <alignment horizontal="left" vertical="center"/>
    </xf>
    <xf numFmtId="0" fontId="111" fillId="122" borderId="115" xfId="0" applyFont="1" applyFill="1" applyBorder="1" applyAlignment="1">
      <alignment horizontal="center" vertical="center"/>
    </xf>
    <xf numFmtId="168" fontId="111" fillId="122" borderId="115" xfId="0" applyNumberFormat="1" applyFont="1" applyFill="1" applyBorder="1" applyAlignment="1">
      <alignment horizontal="right" vertical="center"/>
    </xf>
    <xf numFmtId="170" fontId="111" fillId="122" borderId="115" xfId="0" applyNumberFormat="1" applyFont="1" applyFill="1" applyBorder="1" applyAlignment="1">
      <alignment horizontal="right" vertical="center"/>
    </xf>
    <xf numFmtId="170" fontId="110" fillId="122" borderId="115" xfId="0" applyNumberFormat="1" applyFont="1" applyFill="1" applyBorder="1" applyAlignment="1">
      <alignment horizontal="right" vertical="center"/>
    </xf>
    <xf numFmtId="171" fontId="111" fillId="122" borderId="115" xfId="0" applyNumberFormat="1" applyFont="1" applyFill="1" applyBorder="1" applyAlignment="1">
      <alignment horizontal="right" vertical="center"/>
    </xf>
    <xf numFmtId="10" fontId="111" fillId="122" borderId="115" xfId="0" applyNumberFormat="1" applyFont="1" applyFill="1" applyBorder="1" applyAlignment="1">
      <alignment horizontal="right" vertical="center"/>
    </xf>
    <xf numFmtId="15" fontId="111" fillId="122" borderId="115" xfId="0" applyNumberFormat="1" applyFont="1" applyFill="1" applyBorder="1" applyAlignment="1">
      <alignment horizontal="center" vertical="center"/>
    </xf>
    <xf numFmtId="0" fontId="111" fillId="122" borderId="144" xfId="0" applyFont="1" applyFill="1" applyBorder="1" applyAlignment="1">
      <alignment horizontal="left" vertical="top" wrapText="1"/>
    </xf>
    <xf numFmtId="0" fontId="111" fillId="122" borderId="116" xfId="0" applyFont="1" applyFill="1" applyBorder="1" applyAlignment="1">
      <alignment horizontal="left" vertical="top" wrapText="1"/>
    </xf>
    <xf numFmtId="0" fontId="110" fillId="117" borderId="265" xfId="0" applyFont="1" applyFill="1" applyBorder="1" applyAlignment="1">
      <alignment horizontal="left" vertical="center"/>
    </xf>
    <xf numFmtId="0" fontId="110" fillId="117" borderId="43" xfId="0" applyFont="1" applyFill="1" applyBorder="1" applyAlignment="1">
      <alignment horizontal="left" vertical="top" wrapText="1"/>
    </xf>
    <xf numFmtId="0" fontId="110" fillId="117" borderId="43" xfId="0" applyFont="1" applyFill="1" applyBorder="1" applyAlignment="1">
      <alignment horizontal="left" vertical="center"/>
    </xf>
    <xf numFmtId="168" fontId="110" fillId="117" borderId="43" xfId="0" applyNumberFormat="1" applyFont="1" applyFill="1" applyBorder="1" applyAlignment="1">
      <alignment horizontal="right" vertical="center"/>
    </xf>
    <xf numFmtId="170" fontId="110" fillId="117" borderId="43" xfId="0" applyNumberFormat="1" applyFont="1" applyFill="1" applyBorder="1" applyAlignment="1">
      <alignment horizontal="right" vertical="center"/>
    </xf>
    <xf numFmtId="170" fontId="110" fillId="117" borderId="118" xfId="0" applyNumberFormat="1" applyFont="1" applyFill="1" applyBorder="1" applyAlignment="1">
      <alignment horizontal="right" vertical="center"/>
    </xf>
    <xf numFmtId="171" fontId="110" fillId="117" borderId="43" xfId="0" applyNumberFormat="1" applyFont="1" applyFill="1" applyBorder="1" applyAlignment="1">
      <alignment horizontal="right" vertical="center"/>
    </xf>
    <xf numFmtId="15" fontId="110" fillId="117" borderId="43" xfId="0" applyNumberFormat="1" applyFont="1" applyFill="1" applyBorder="1" applyAlignment="1">
      <alignment horizontal="center" vertical="center"/>
    </xf>
    <xf numFmtId="0" fontId="110" fillId="117" borderId="139" xfId="0" applyFont="1" applyFill="1" applyBorder="1" applyAlignment="1">
      <alignment horizontal="left" vertical="top" wrapText="1"/>
    </xf>
    <xf numFmtId="0" fontId="110" fillId="117" borderId="44" xfId="0" applyFont="1" applyFill="1" applyBorder="1" applyAlignment="1">
      <alignment horizontal="left" vertical="top" wrapText="1"/>
    </xf>
    <xf numFmtId="0" fontId="110" fillId="122" borderId="265" xfId="0" applyFont="1" applyFill="1" applyBorder="1" applyAlignment="1">
      <alignment horizontal="left" vertical="center"/>
    </xf>
    <xf numFmtId="0" fontId="110" fillId="122" borderId="43" xfId="0" applyFont="1" applyFill="1" applyBorder="1" applyAlignment="1">
      <alignment horizontal="left" vertical="top" wrapText="1"/>
    </xf>
    <xf numFmtId="0" fontId="110" fillId="122" borderId="43" xfId="0" applyFont="1" applyFill="1" applyBorder="1" applyAlignment="1">
      <alignment horizontal="left" vertical="center"/>
    </xf>
    <xf numFmtId="0" fontId="110" fillId="122" borderId="43" xfId="0" applyFont="1" applyFill="1" applyBorder="1" applyAlignment="1">
      <alignment horizontal="center" vertical="center"/>
    </xf>
    <xf numFmtId="168" fontId="110" fillId="122" borderId="43" xfId="0" applyNumberFormat="1" applyFont="1" applyFill="1" applyBorder="1" applyAlignment="1">
      <alignment horizontal="right" vertical="center"/>
    </xf>
    <xf numFmtId="170" fontId="110" fillId="122" borderId="43" xfId="0" applyNumberFormat="1" applyFont="1" applyFill="1" applyBorder="1" applyAlignment="1">
      <alignment horizontal="right" vertical="center"/>
    </xf>
    <xf numFmtId="170" fontId="110" fillId="122" borderId="118" xfId="0" applyNumberFormat="1" applyFont="1" applyFill="1" applyBorder="1" applyAlignment="1">
      <alignment horizontal="right" vertical="center"/>
    </xf>
    <xf numFmtId="171" fontId="110" fillId="122" borderId="43" xfId="0" applyNumberFormat="1" applyFont="1" applyFill="1" applyBorder="1" applyAlignment="1">
      <alignment horizontal="right" vertical="center"/>
    </xf>
    <xf numFmtId="10" fontId="110" fillId="122" borderId="43" xfId="0" applyNumberFormat="1" applyFont="1" applyFill="1" applyBorder="1" applyAlignment="1">
      <alignment horizontal="right" vertical="center"/>
    </xf>
    <xf numFmtId="15" fontId="110" fillId="122" borderId="43" xfId="0" applyNumberFormat="1" applyFont="1" applyFill="1" applyBorder="1" applyAlignment="1">
      <alignment horizontal="center" vertical="center"/>
    </xf>
    <xf numFmtId="0" fontId="110" fillId="122" borderId="139" xfId="0" applyFont="1" applyFill="1" applyBorder="1" applyAlignment="1">
      <alignment horizontal="left" vertical="top" wrapText="1"/>
    </xf>
    <xf numFmtId="0" fontId="110" fillId="122" borderId="44" xfId="0" applyFont="1" applyFill="1" applyBorder="1" applyAlignment="1">
      <alignment horizontal="left" vertical="top" wrapText="1"/>
    </xf>
    <xf numFmtId="0" fontId="111" fillId="117" borderId="121" xfId="0" applyFont="1" applyFill="1" applyBorder="1" applyAlignment="1">
      <alignment horizontal="left" vertical="top" wrapText="1"/>
    </xf>
    <xf numFmtId="0" fontId="111" fillId="117" borderId="121" xfId="0" applyFont="1" applyFill="1" applyBorder="1" applyAlignment="1">
      <alignment horizontal="left" vertical="center"/>
    </xf>
    <xf numFmtId="168" fontId="111" fillId="117" borderId="121" xfId="0" applyNumberFormat="1" applyFont="1" applyFill="1" applyBorder="1" applyAlignment="1">
      <alignment horizontal="right" vertical="center"/>
    </xf>
    <xf numFmtId="170" fontId="111" fillId="117" borderId="121" xfId="0" applyNumberFormat="1" applyFont="1" applyFill="1" applyBorder="1" applyAlignment="1">
      <alignment horizontal="right" vertical="center"/>
    </xf>
    <xf numFmtId="171" fontId="111" fillId="117" borderId="121" xfId="0" applyNumberFormat="1" applyFont="1" applyFill="1" applyBorder="1" applyAlignment="1">
      <alignment horizontal="right" vertical="center"/>
    </xf>
    <xf numFmtId="15" fontId="111" fillId="117" borderId="121" xfId="0" applyNumberFormat="1" applyFont="1" applyFill="1" applyBorder="1" applyAlignment="1">
      <alignment horizontal="center" vertical="center"/>
    </xf>
    <xf numFmtId="0" fontId="111" fillId="117" borderId="267" xfId="0" applyFont="1" applyFill="1" applyBorder="1" applyAlignment="1">
      <alignment horizontal="left" vertical="top" wrapText="1"/>
    </xf>
    <xf numFmtId="0" fontId="111" fillId="117" borderId="122" xfId="0" applyFont="1" applyFill="1" applyBorder="1" applyAlignment="1">
      <alignment horizontal="left" vertical="top" wrapText="1"/>
    </xf>
    <xf numFmtId="0" fontId="0" fillId="114" borderId="0" xfId="0" applyFill="1"/>
    <xf numFmtId="172" fontId="13" fillId="114" borderId="0" xfId="0" applyNumberFormat="1" applyFont="1" applyFill="1" applyAlignment="1">
      <alignment horizontal="right"/>
    </xf>
    <xf numFmtId="0" fontId="0" fillId="114" borderId="279" xfId="0" applyFill="1" applyBorder="1"/>
    <xf numFmtId="0" fontId="110" fillId="122" borderId="236" xfId="0" applyFont="1" applyFill="1" applyBorder="1" applyAlignment="1">
      <alignment horizontal="left" vertical="center"/>
    </xf>
    <xf numFmtId="0" fontId="110" fillId="122" borderId="236" xfId="0" applyFont="1" applyFill="1" applyBorder="1" applyAlignment="1">
      <alignment horizontal="left" vertical="top" wrapText="1"/>
    </xf>
    <xf numFmtId="0" fontId="110" fillId="122" borderId="236" xfId="0" applyFont="1" applyFill="1" applyBorder="1" applyAlignment="1">
      <alignment horizontal="center" vertical="center"/>
    </xf>
    <xf numFmtId="168" fontId="110" fillId="122" borderId="236" xfId="0" applyNumberFormat="1" applyFont="1" applyFill="1" applyBorder="1" applyAlignment="1">
      <alignment horizontal="right" vertical="center"/>
    </xf>
    <xf numFmtId="170" fontId="110" fillId="122" borderId="236" xfId="0" applyNumberFormat="1" applyFont="1" applyFill="1" applyBorder="1" applyAlignment="1">
      <alignment horizontal="right" vertical="center"/>
    </xf>
    <xf numFmtId="170" fontId="110" fillId="122" borderId="237" xfId="0" applyNumberFormat="1" applyFont="1" applyFill="1" applyBorder="1" applyAlignment="1">
      <alignment horizontal="right" vertical="center"/>
    </xf>
    <xf numFmtId="171" fontId="110" fillId="122" borderId="236" xfId="0" applyNumberFormat="1" applyFont="1" applyFill="1" applyBorder="1" applyAlignment="1">
      <alignment horizontal="right" vertical="center"/>
    </xf>
    <xf numFmtId="10" fontId="110" fillId="122" borderId="236" xfId="0" applyNumberFormat="1" applyFont="1" applyFill="1" applyBorder="1" applyAlignment="1">
      <alignment horizontal="right" vertical="center"/>
    </xf>
    <xf numFmtId="15" fontId="110" fillId="122" borderId="236" xfId="0" applyNumberFormat="1" applyFont="1" applyFill="1" applyBorder="1" applyAlignment="1">
      <alignment horizontal="center" vertical="center"/>
    </xf>
    <xf numFmtId="0" fontId="110" fillId="122" borderId="241" xfId="0" applyFont="1" applyFill="1" applyBorder="1" applyAlignment="1">
      <alignment horizontal="left" vertical="top" wrapText="1"/>
    </xf>
    <xf numFmtId="0" fontId="110" fillId="122" borderId="235" xfId="0" applyFont="1" applyFill="1" applyBorder="1" applyAlignment="1">
      <alignment horizontal="left" vertical="top" wrapText="1"/>
    </xf>
    <xf numFmtId="0" fontId="110" fillId="122" borderId="238" xfId="0" applyFont="1" applyFill="1" applyBorder="1" applyAlignment="1">
      <alignment horizontal="left" vertical="center"/>
    </xf>
    <xf numFmtId="0" fontId="14" fillId="114" borderId="5" xfId="0" applyFont="1" applyFill="1" applyBorder="1" applyAlignment="1">
      <alignment horizontal="left" vertical="center"/>
    </xf>
    <xf numFmtId="0" fontId="112" fillId="118" borderId="115" xfId="0" applyFont="1" applyFill="1" applyBorder="1" applyAlignment="1">
      <alignment horizontal="left" vertical="top" wrapText="1"/>
    </xf>
    <xf numFmtId="0" fontId="113" fillId="118" borderId="264" xfId="0" applyFont="1" applyFill="1" applyBorder="1" applyAlignment="1">
      <alignment horizontal="left" vertical="center" indent="2"/>
    </xf>
    <xf numFmtId="0" fontId="112" fillId="118" borderId="121" xfId="0" applyFont="1" applyFill="1" applyBorder="1" applyAlignment="1">
      <alignment horizontal="left" vertical="top" wrapText="1"/>
    </xf>
    <xf numFmtId="0" fontId="113" fillId="118" borderId="266" xfId="0" applyFont="1" applyFill="1" applyBorder="1" applyAlignment="1">
      <alignment horizontal="left" vertical="center" indent="2"/>
    </xf>
    <xf numFmtId="0" fontId="112" fillId="5" borderId="121" xfId="0" applyFont="1" applyFill="1" applyBorder="1" applyAlignment="1">
      <alignment horizontal="left" vertical="top" wrapText="1"/>
    </xf>
    <xf numFmtId="0" fontId="113" fillId="5" borderId="266" xfId="0" applyFont="1" applyFill="1" applyBorder="1" applyAlignment="1">
      <alignment horizontal="left" vertical="center" indent="2"/>
    </xf>
    <xf numFmtId="0" fontId="112" fillId="120" borderId="121" xfId="0" applyFont="1" applyFill="1" applyBorder="1" applyAlignment="1">
      <alignment horizontal="left" vertical="top" wrapText="1"/>
    </xf>
    <xf numFmtId="0" fontId="113" fillId="120" borderId="266" xfId="0" applyFont="1" applyFill="1" applyBorder="1" applyAlignment="1">
      <alignment horizontal="left" vertical="center" indent="2"/>
    </xf>
    <xf numFmtId="0" fontId="112" fillId="121" borderId="115" xfId="0" applyFont="1" applyFill="1" applyBorder="1" applyAlignment="1">
      <alignment horizontal="left" vertical="top" wrapText="1"/>
    </xf>
    <xf numFmtId="0" fontId="113" fillId="121" borderId="264" xfId="0" applyFont="1" applyFill="1" applyBorder="1" applyAlignment="1">
      <alignment horizontal="left" vertical="center" indent="2"/>
    </xf>
    <xf numFmtId="0" fontId="112" fillId="121" borderId="121" xfId="0" applyFont="1" applyFill="1" applyBorder="1" applyAlignment="1">
      <alignment horizontal="left" vertical="top" wrapText="1"/>
    </xf>
    <xf numFmtId="0" fontId="113" fillId="121" borderId="266" xfId="0" applyFont="1" applyFill="1" applyBorder="1" applyAlignment="1">
      <alignment horizontal="left" vertical="center" indent="2"/>
    </xf>
    <xf numFmtId="0" fontId="112" fillId="116" borderId="121" xfId="0" applyFont="1" applyFill="1" applyBorder="1" applyAlignment="1">
      <alignment horizontal="left" vertical="top" wrapText="1"/>
    </xf>
    <xf numFmtId="0" fontId="113" fillId="116" borderId="266" xfId="0" applyFont="1" applyFill="1" applyBorder="1" applyAlignment="1">
      <alignment horizontal="left" vertical="center" indent="2"/>
    </xf>
    <xf numFmtId="0" fontId="112" fillId="122" borderId="115" xfId="0" applyFont="1" applyFill="1" applyBorder="1" applyAlignment="1">
      <alignment horizontal="left" vertical="top" wrapText="1"/>
    </xf>
    <xf numFmtId="0" fontId="113" fillId="122" borderId="264" xfId="0" applyFont="1" applyFill="1" applyBorder="1" applyAlignment="1">
      <alignment horizontal="left" vertical="center" indent="2"/>
    </xf>
    <xf numFmtId="0" fontId="112" fillId="117" borderId="121" xfId="0" applyFont="1" applyFill="1" applyBorder="1" applyAlignment="1">
      <alignment horizontal="left" vertical="top" wrapText="1"/>
    </xf>
    <xf numFmtId="0" fontId="113" fillId="117" borderId="266" xfId="0" applyFont="1" applyFill="1" applyBorder="1" applyAlignment="1">
      <alignment horizontal="left" vertical="center" indent="2"/>
    </xf>
    <xf numFmtId="170" fontId="0" fillId="114" borderId="0" xfId="0" applyNumberFormat="1" applyFill="1" applyAlignment="1">
      <alignment horizontal="right"/>
    </xf>
    <xf numFmtId="170" fontId="114" fillId="114" borderId="0" xfId="0" applyNumberFormat="1" applyFont="1" applyFill="1" applyAlignment="1">
      <alignment horizontal="right"/>
    </xf>
    <xf numFmtId="171" fontId="0" fillId="114" borderId="0" xfId="0" applyNumberFormat="1" applyFill="1" applyAlignment="1">
      <alignment horizontal="right"/>
    </xf>
    <xf numFmtId="10" fontId="115" fillId="5" borderId="43" xfId="0" applyNumberFormat="1" applyFont="1" applyFill="1" applyBorder="1" applyAlignment="1">
      <alignment horizontal="right" vertical="center"/>
    </xf>
    <xf numFmtId="10" fontId="115" fillId="119" borderId="268" xfId="0" applyNumberFormat="1" applyFont="1" applyFill="1" applyBorder="1" applyAlignment="1">
      <alignment horizontal="right" vertical="center"/>
    </xf>
    <xf numFmtId="0" fontId="46" fillId="9" borderId="55" xfId="0" applyFont="1" applyFill="1" applyBorder="1" applyAlignment="1">
      <alignment horizontal="center" vertical="center"/>
    </xf>
    <xf numFmtId="4" fontId="117" fillId="2" borderId="58" xfId="0" applyNumberFormat="1" applyFont="1" applyFill="1" applyBorder="1" applyAlignment="1">
      <alignment horizontal="right" vertical="center"/>
    </xf>
    <xf numFmtId="4" fontId="117" fillId="17" borderId="58" xfId="0" applyNumberFormat="1" applyFont="1" applyFill="1" applyBorder="1" applyAlignment="1">
      <alignment horizontal="right" vertical="center"/>
    </xf>
    <xf numFmtId="4" fontId="118" fillId="9" borderId="61" xfId="0" applyNumberFormat="1" applyFont="1" applyFill="1" applyBorder="1" applyAlignment="1">
      <alignment horizontal="right" vertical="center"/>
    </xf>
    <xf numFmtId="0" fontId="42" fillId="47" borderId="43" xfId="0" applyFont="1" applyFill="1" applyBorder="1" applyAlignment="1">
      <alignment horizontal="right" vertical="center"/>
    </xf>
    <xf numFmtId="0" fontId="42" fillId="92" borderId="43" xfId="0" applyFont="1" applyFill="1" applyBorder="1" applyAlignment="1">
      <alignment horizontal="right" vertical="center"/>
    </xf>
    <xf numFmtId="0" fontId="9" fillId="16" borderId="204" xfId="0" applyFont="1" applyFill="1" applyBorder="1" applyAlignment="1">
      <alignment horizontal="center" vertical="center"/>
    </xf>
    <xf numFmtId="0" fontId="9" fillId="16" borderId="202" xfId="0" applyFont="1" applyFill="1" applyBorder="1" applyAlignment="1">
      <alignment horizontal="center" vertical="center"/>
    </xf>
    <xf numFmtId="0" fontId="9" fillId="16" borderId="207" xfId="0" applyFont="1" applyFill="1" applyBorder="1" applyAlignment="1">
      <alignment horizontal="center" vertical="center"/>
    </xf>
    <xf numFmtId="0" fontId="10" fillId="14" borderId="214" xfId="0" applyFont="1" applyFill="1" applyBorder="1" applyAlignment="1">
      <alignment horizontal="center" vertical="center"/>
    </xf>
    <xf numFmtId="0" fontId="10" fillId="14" borderId="211" xfId="0" applyFont="1" applyFill="1" applyBorder="1" applyAlignment="1">
      <alignment horizontal="center" vertical="center"/>
    </xf>
    <xf numFmtId="0" fontId="10" fillId="14" borderId="217" xfId="0" applyFont="1" applyFill="1" applyBorder="1" applyAlignment="1">
      <alignment horizontal="center" vertical="center"/>
    </xf>
    <xf numFmtId="167" fontId="22" fillId="2" borderId="213" xfId="0" applyNumberFormat="1" applyFont="1" applyFill="1" applyBorder="1" applyAlignment="1">
      <alignment horizontal="center" vertical="center"/>
    </xf>
    <xf numFmtId="0" fontId="22" fillId="2" borderId="0" xfId="0" applyFont="1" applyFill="1" applyAlignment="1">
      <alignment horizontal="center" vertical="center"/>
    </xf>
    <xf numFmtId="0" fontId="9" fillId="6" borderId="4" xfId="0" applyFont="1" applyFill="1" applyBorder="1" applyAlignment="1">
      <alignment horizontal="center" vertical="center"/>
    </xf>
    <xf numFmtId="0" fontId="9" fillId="6" borderId="2" xfId="0" applyFont="1" applyFill="1" applyBorder="1" applyAlignment="1">
      <alignment horizontal="center" vertical="center"/>
    </xf>
    <xf numFmtId="4" fontId="18" fillId="2" borderId="5" xfId="0" applyNumberFormat="1" applyFont="1" applyFill="1" applyBorder="1" applyAlignment="1">
      <alignment horizontal="center" vertical="center"/>
    </xf>
    <xf numFmtId="0" fontId="18" fillId="2" borderId="0" xfId="0" applyFont="1" applyFill="1" applyAlignment="1">
      <alignment horizontal="center" vertical="center"/>
    </xf>
    <xf numFmtId="0" fontId="10" fillId="14" borderId="192" xfId="0" applyFont="1" applyFill="1" applyBorder="1" applyAlignment="1">
      <alignment horizontal="center" vertical="center"/>
    </xf>
    <xf numFmtId="0" fontId="10" fillId="14" borderId="191" xfId="0" applyFont="1" applyFill="1" applyBorder="1" applyAlignment="1">
      <alignment horizontal="center" vertical="center"/>
    </xf>
    <xf numFmtId="0" fontId="9" fillId="7" borderId="194" xfId="0" applyFont="1" applyFill="1" applyBorder="1" applyAlignment="1">
      <alignment horizontal="center" vertical="center"/>
    </xf>
    <xf numFmtId="0" fontId="9" fillId="7" borderId="154" xfId="0" applyFont="1" applyFill="1" applyBorder="1" applyAlignment="1">
      <alignment horizontal="center" vertical="center"/>
    </xf>
    <xf numFmtId="4" fontId="19" fillId="2" borderId="195" xfId="0" applyNumberFormat="1" applyFont="1" applyFill="1" applyBorder="1" applyAlignment="1">
      <alignment horizontal="center" vertical="center"/>
    </xf>
    <xf numFmtId="0" fontId="19" fillId="2" borderId="0" xfId="0" applyFont="1" applyFill="1" applyAlignment="1">
      <alignment horizontal="center" vertical="center"/>
    </xf>
    <xf numFmtId="0" fontId="10" fillId="14" borderId="196" xfId="0" applyFont="1" applyFill="1" applyBorder="1" applyAlignment="1">
      <alignment horizontal="center" vertical="center"/>
    </xf>
    <xf numFmtId="0" fontId="10" fillId="14" borderId="193" xfId="0" applyFont="1" applyFill="1" applyBorder="1" applyAlignment="1">
      <alignment horizontal="center" vertical="center"/>
    </xf>
    <xf numFmtId="0" fontId="9" fillId="15" borderId="199" xfId="0" applyFont="1" applyFill="1" applyBorder="1" applyAlignment="1">
      <alignment horizontal="center" vertical="center"/>
    </xf>
    <xf numFmtId="0" fontId="9" fillId="15" borderId="197" xfId="0" applyFont="1" applyFill="1" applyBorder="1" applyAlignment="1">
      <alignment horizontal="center" vertical="center"/>
    </xf>
    <xf numFmtId="4" fontId="20" fillId="2" borderId="200" xfId="0" applyNumberFormat="1" applyFont="1" applyFill="1" applyBorder="1" applyAlignment="1">
      <alignment horizontal="center" vertical="center"/>
    </xf>
    <xf numFmtId="0" fontId="20" fillId="2" borderId="0" xfId="0" applyFont="1" applyFill="1" applyAlignment="1">
      <alignment horizontal="center" vertical="center"/>
    </xf>
    <xf numFmtId="0" fontId="10" fillId="14" borderId="201" xfId="0" applyFont="1" applyFill="1" applyBorder="1" applyAlignment="1">
      <alignment horizontal="center" vertical="center"/>
    </xf>
    <xf numFmtId="0" fontId="10" fillId="14" borderId="198" xfId="0" applyFont="1" applyFill="1" applyBorder="1" applyAlignment="1">
      <alignment horizontal="center" vertical="center"/>
    </xf>
    <xf numFmtId="0" fontId="26" fillId="14" borderId="212" xfId="0" applyFont="1" applyFill="1" applyBorder="1" applyAlignment="1">
      <alignment horizontal="center" vertical="center"/>
    </xf>
    <xf numFmtId="0" fontId="26" fillId="14" borderId="210" xfId="0" applyFont="1" applyFill="1" applyBorder="1" applyAlignment="1">
      <alignment horizontal="center" vertical="center"/>
    </xf>
    <xf numFmtId="0" fontId="27" fillId="2" borderId="213" xfId="0" applyFont="1" applyFill="1" applyBorder="1" applyAlignment="1">
      <alignment horizontal="center" vertical="center"/>
    </xf>
    <xf numFmtId="0" fontId="27" fillId="2" borderId="0" xfId="0" applyFont="1" applyFill="1" applyAlignment="1">
      <alignment horizontal="center" vertical="center"/>
    </xf>
    <xf numFmtId="4" fontId="21" fillId="2" borderId="205" xfId="0" applyNumberFormat="1" applyFont="1" applyFill="1" applyBorder="1" applyAlignment="1">
      <alignment horizontal="center" vertical="center"/>
    </xf>
    <xf numFmtId="0" fontId="21" fillId="2" borderId="0" xfId="0" applyFont="1" applyFill="1" applyAlignment="1">
      <alignment horizontal="center" vertical="center"/>
    </xf>
    <xf numFmtId="0" fontId="21" fillId="2" borderId="208" xfId="0" applyFont="1" applyFill="1" applyBorder="1" applyAlignment="1">
      <alignment horizontal="center" vertical="center"/>
    </xf>
    <xf numFmtId="10" fontId="20" fillId="2" borderId="200" xfId="0" applyNumberFormat="1" applyFont="1" applyFill="1" applyBorder="1" applyAlignment="1">
      <alignment horizontal="center" vertical="center"/>
    </xf>
    <xf numFmtId="0" fontId="9" fillId="11" borderId="212" xfId="0" applyFont="1" applyFill="1" applyBorder="1" applyAlignment="1">
      <alignment horizontal="center" vertical="center"/>
    </xf>
    <xf numFmtId="0" fontId="9" fillId="11" borderId="210" xfId="0" applyFont="1" applyFill="1" applyBorder="1" applyAlignment="1">
      <alignment horizontal="center" vertical="center"/>
    </xf>
    <xf numFmtId="0" fontId="9" fillId="11" borderId="215" xfId="0" applyFont="1" applyFill="1" applyBorder="1" applyAlignment="1">
      <alignment horizontal="center" vertical="center"/>
    </xf>
    <xf numFmtId="166" fontId="22" fillId="2" borderId="213" xfId="0" applyNumberFormat="1" applyFont="1" applyFill="1" applyBorder="1" applyAlignment="1">
      <alignment horizontal="center" vertical="center"/>
    </xf>
    <xf numFmtId="0" fontId="22" fillId="2" borderId="216" xfId="0" applyFont="1" applyFill="1" applyBorder="1" applyAlignment="1">
      <alignment horizontal="center" vertical="center"/>
    </xf>
    <xf numFmtId="0" fontId="10" fillId="14" borderId="206" xfId="0" applyFont="1" applyFill="1" applyBorder="1" applyAlignment="1">
      <alignment horizontal="center" vertical="center"/>
    </xf>
    <xf numFmtId="0" fontId="10" fillId="14" borderId="203" xfId="0" applyFont="1" applyFill="1" applyBorder="1" applyAlignment="1">
      <alignment horizontal="center" vertical="center"/>
    </xf>
    <xf numFmtId="0" fontId="10" fillId="14" borderId="209" xfId="0" applyFont="1" applyFill="1" applyBorder="1" applyAlignment="1">
      <alignment horizontal="center" vertical="center"/>
    </xf>
    <xf numFmtId="0" fontId="8" fillId="6" borderId="0" xfId="0" applyFont="1" applyFill="1" applyAlignment="1">
      <alignment horizontal="center" vertical="center"/>
    </xf>
    <xf numFmtId="0" fontId="17" fillId="7" borderId="0" xfId="0" applyFont="1" applyFill="1" applyAlignment="1">
      <alignment horizontal="center" vertical="center"/>
    </xf>
    <xf numFmtId="0" fontId="5" fillId="6" borderId="0" xfId="0" applyFont="1" applyFill="1" applyAlignment="1">
      <alignment horizontal="left" vertical="center"/>
    </xf>
    <xf numFmtId="0" fontId="5" fillId="7" borderId="0" xfId="0" applyFont="1" applyFill="1" applyAlignment="1">
      <alignment horizontal="left" vertical="center"/>
    </xf>
    <xf numFmtId="3" fontId="22" fillId="2" borderId="213" xfId="0" applyNumberFormat="1" applyFont="1" applyFill="1" applyBorder="1" applyAlignment="1">
      <alignment horizontal="center" vertical="center"/>
    </xf>
    <xf numFmtId="0" fontId="5" fillId="6" borderId="224" xfId="0" applyFont="1" applyFill="1" applyBorder="1" applyAlignment="1">
      <alignment horizontal="left" vertical="center"/>
    </xf>
    <xf numFmtId="0" fontId="28" fillId="2" borderId="0" xfId="0" applyFont="1" applyFill="1" applyAlignment="1">
      <alignment horizontal="left" vertical="center" wrapText="1"/>
    </xf>
    <xf numFmtId="0" fontId="25" fillId="13" borderId="0" xfId="0" applyFont="1" applyFill="1" applyAlignment="1">
      <alignment horizontal="left" vertical="center" wrapText="1"/>
    </xf>
    <xf numFmtId="0" fontId="16" fillId="14" borderId="8" xfId="0" applyFont="1" applyFill="1" applyBorder="1" applyAlignment="1">
      <alignment horizontal="left" vertical="center" wrapText="1"/>
    </xf>
    <xf numFmtId="0" fontId="16" fillId="2" borderId="11" xfId="0" applyFont="1" applyFill="1" applyBorder="1" applyAlignment="1">
      <alignment horizontal="left" vertical="center" wrapText="1"/>
    </xf>
    <xf numFmtId="0" fontId="16" fillId="14" borderId="11" xfId="0" applyFont="1" applyFill="1" applyBorder="1" applyAlignment="1">
      <alignment horizontal="left" vertical="center" wrapText="1"/>
    </xf>
    <xf numFmtId="0" fontId="16" fillId="14" borderId="14" xfId="0" applyFont="1" applyFill="1" applyBorder="1" applyAlignment="1">
      <alignment horizontal="left" vertical="center" wrapText="1"/>
    </xf>
    <xf numFmtId="0" fontId="26" fillId="14" borderId="215" xfId="0" applyFont="1" applyFill="1" applyBorder="1" applyAlignment="1">
      <alignment horizontal="center" vertical="center"/>
    </xf>
    <xf numFmtId="0" fontId="27" fillId="2" borderId="216" xfId="0" applyFont="1" applyFill="1" applyBorder="1" applyAlignment="1">
      <alignment horizontal="center" vertical="center"/>
    </xf>
    <xf numFmtId="0" fontId="5" fillId="11" borderId="221" xfId="0" applyFont="1" applyFill="1" applyBorder="1" applyAlignment="1">
      <alignment horizontal="left" vertical="center"/>
    </xf>
    <xf numFmtId="0" fontId="5" fillId="11" borderId="222" xfId="0" applyFont="1" applyFill="1" applyBorder="1" applyAlignment="1">
      <alignment horizontal="left" vertical="center"/>
    </xf>
    <xf numFmtId="0" fontId="5" fillId="11" borderId="223" xfId="0" applyFont="1" applyFill="1" applyBorder="1" applyAlignment="1">
      <alignment horizontal="left" vertical="center"/>
    </xf>
    <xf numFmtId="0" fontId="14" fillId="2" borderId="42" xfId="0" applyFont="1" applyFill="1" applyBorder="1" applyAlignment="1">
      <alignment horizontal="left" vertical="center"/>
    </xf>
    <xf numFmtId="0" fontId="37" fillId="2" borderId="43" xfId="0" applyFont="1" applyFill="1" applyBorder="1" applyAlignment="1">
      <alignment horizontal="left" vertical="center"/>
    </xf>
    <xf numFmtId="0" fontId="37" fillId="2" borderId="44" xfId="0" applyFont="1" applyFill="1" applyBorder="1" applyAlignment="1">
      <alignment horizontal="left" vertical="center"/>
    </xf>
    <xf numFmtId="0" fontId="14" fillId="22" borderId="42" xfId="0" applyFont="1" applyFill="1" applyBorder="1" applyAlignment="1">
      <alignment horizontal="left" vertical="center"/>
    </xf>
    <xf numFmtId="0" fontId="37" fillId="22" borderId="43" xfId="0" applyFont="1" applyFill="1" applyBorder="1" applyAlignment="1">
      <alignment horizontal="left" vertical="center"/>
    </xf>
    <xf numFmtId="0" fontId="37" fillId="22" borderId="44" xfId="0" applyFont="1" applyFill="1" applyBorder="1" applyAlignment="1">
      <alignment horizontal="left" vertical="center"/>
    </xf>
    <xf numFmtId="0" fontId="35" fillId="6" borderId="0" xfId="0" applyFont="1" applyFill="1" applyAlignment="1">
      <alignment horizontal="center" vertical="center"/>
    </xf>
    <xf numFmtId="0" fontId="12" fillId="7" borderId="0" xfId="0" applyFont="1" applyFill="1" applyAlignment="1">
      <alignment horizontal="center" vertical="center"/>
    </xf>
    <xf numFmtId="0" fontId="13" fillId="5" borderId="0" xfId="0" applyFont="1" applyFill="1" applyAlignment="1">
      <alignment horizontal="center" vertical="center"/>
    </xf>
    <xf numFmtId="0" fontId="5" fillId="6" borderId="0" xfId="0" applyFont="1" applyFill="1" applyAlignment="1">
      <alignment horizontal="center" vertical="center"/>
    </xf>
    <xf numFmtId="0" fontId="14" fillId="5" borderId="39" xfId="0" applyFont="1" applyFill="1" applyBorder="1" applyAlignment="1">
      <alignment horizontal="left" vertical="center"/>
    </xf>
    <xf numFmtId="0" fontId="14" fillId="5" borderId="40" xfId="0" applyFont="1" applyFill="1" applyBorder="1" applyAlignment="1">
      <alignment horizontal="left" vertical="center"/>
    </xf>
    <xf numFmtId="0" fontId="14" fillId="5" borderId="41" xfId="0" applyFont="1" applyFill="1" applyBorder="1" applyAlignment="1">
      <alignment horizontal="left" vertical="center"/>
    </xf>
    <xf numFmtId="0" fontId="14" fillId="2" borderId="45" xfId="0" applyFont="1" applyFill="1" applyBorder="1" applyAlignment="1">
      <alignment horizontal="left" vertical="center"/>
    </xf>
    <xf numFmtId="0" fontId="37" fillId="2" borderId="46" xfId="0" applyFont="1" applyFill="1" applyBorder="1" applyAlignment="1">
      <alignment horizontal="left" vertical="center"/>
    </xf>
    <xf numFmtId="0" fontId="37" fillId="2" borderId="47" xfId="0" applyFont="1" applyFill="1" applyBorder="1" applyAlignment="1">
      <alignment horizontal="left" vertical="center"/>
    </xf>
    <xf numFmtId="0" fontId="6" fillId="6" borderId="0" xfId="0" applyFont="1" applyFill="1" applyAlignment="1">
      <alignment horizontal="center" vertical="center"/>
    </xf>
    <xf numFmtId="0" fontId="7" fillId="6" borderId="5" xfId="0" applyFont="1" applyFill="1" applyBorder="1" applyAlignment="1">
      <alignment horizontal="left" vertical="center"/>
    </xf>
    <xf numFmtId="0" fontId="7" fillId="6" borderId="0" xfId="0" applyFont="1" applyFill="1" applyAlignment="1">
      <alignment horizontal="left" vertical="center"/>
    </xf>
    <xf numFmtId="0" fontId="28" fillId="22" borderId="0" xfId="0" applyFont="1" applyFill="1" applyAlignment="1">
      <alignment horizontal="left" vertical="center" wrapText="1"/>
    </xf>
    <xf numFmtId="0" fontId="5" fillId="11" borderId="0" xfId="0" applyFont="1" applyFill="1" applyAlignment="1">
      <alignment horizontal="left" vertical="center"/>
    </xf>
    <xf numFmtId="0" fontId="7" fillId="6" borderId="0" xfId="0" applyFont="1" applyFill="1" applyAlignment="1">
      <alignment horizontal="center" vertical="center"/>
    </xf>
    <xf numFmtId="0" fontId="5" fillId="16" borderId="0" xfId="0" applyFont="1" applyFill="1" applyAlignment="1">
      <alignment horizontal="left" vertical="center"/>
    </xf>
    <xf numFmtId="0" fontId="5" fillId="15" borderId="0" xfId="0" applyFont="1" applyFill="1" applyAlignment="1">
      <alignment horizontal="left" vertical="center"/>
    </xf>
    <xf numFmtId="0" fontId="25" fillId="2" borderId="283" xfId="0" applyFont="1" applyFill="1" applyBorder="1" applyAlignment="1">
      <alignment wrapText="1"/>
    </xf>
    <xf numFmtId="0" fontId="25" fillId="2" borderId="283" xfId="0" applyFont="1" applyFill="1" applyBorder="1"/>
    <xf numFmtId="0" fontId="5" fillId="6" borderId="126" xfId="0" applyFont="1" applyFill="1" applyBorder="1" applyAlignment="1">
      <alignment horizontal="center" vertical="center"/>
    </xf>
    <xf numFmtId="0" fontId="5" fillId="6" borderId="127" xfId="0" applyFont="1" applyFill="1" applyBorder="1" applyAlignment="1">
      <alignment horizontal="center" vertical="center"/>
    </xf>
    <xf numFmtId="0" fontId="5" fillId="6" borderId="127" xfId="0" applyFont="1" applyFill="1" applyBorder="1" applyAlignment="1">
      <alignment horizontal="center" vertical="center" wrapText="1"/>
    </xf>
    <xf numFmtId="0" fontId="5" fillId="6" borderId="128" xfId="0" applyFont="1" applyFill="1" applyBorder="1" applyAlignment="1">
      <alignment horizontal="center" vertical="center"/>
    </xf>
    <xf numFmtId="0" fontId="116" fillId="4" borderId="280" xfId="0" applyFont="1" applyFill="1" applyBorder="1" applyAlignment="1">
      <alignment horizontal="center" vertical="center"/>
    </xf>
    <xf numFmtId="0" fontId="116" fillId="4" borderId="281" xfId="0" applyFont="1" applyFill="1" applyBorder="1" applyAlignment="1">
      <alignment horizontal="center" vertical="center"/>
    </xf>
    <xf numFmtId="0" fontId="116" fillId="4" borderId="142" xfId="0" applyFont="1" applyFill="1" applyBorder="1" applyAlignment="1">
      <alignment horizontal="center" vertical="center"/>
    </xf>
    <xf numFmtId="0" fontId="25" fillId="0" borderId="282" xfId="0" applyFont="1" applyBorder="1" applyAlignment="1">
      <alignment wrapText="1"/>
    </xf>
    <xf numFmtId="0" fontId="25" fillId="0" borderId="282" xfId="0" applyFont="1" applyBorder="1"/>
    <xf numFmtId="0" fontId="85" fillId="6" borderId="153" xfId="0" applyFont="1" applyFill="1" applyBorder="1" applyAlignment="1">
      <alignment horizontal="left" vertical="top" wrapText="1"/>
    </xf>
    <xf numFmtId="0" fontId="86" fillId="19" borderId="46" xfId="0" applyFont="1" applyFill="1" applyBorder="1" applyAlignment="1">
      <alignment horizontal="left" vertical="top" wrapText="1"/>
    </xf>
    <xf numFmtId="0" fontId="86" fillId="19" borderId="140" xfId="0" applyFont="1" applyFill="1" applyBorder="1" applyAlignment="1">
      <alignment horizontal="left" vertical="top" wrapText="1"/>
    </xf>
    <xf numFmtId="0" fontId="86" fillId="19" borderId="145" xfId="0" applyFont="1" applyFill="1" applyBorder="1" applyAlignment="1">
      <alignment horizontal="left" vertical="top" wrapText="1"/>
    </xf>
    <xf numFmtId="0" fontId="86" fillId="19" borderId="143" xfId="0" applyFont="1" applyFill="1" applyBorder="1" applyAlignment="1">
      <alignment horizontal="left" vertical="top" wrapText="1"/>
    </xf>
    <xf numFmtId="0" fontId="85" fillId="35" borderId="152" xfId="0" applyFont="1" applyFill="1" applyBorder="1" applyAlignment="1">
      <alignment horizontal="left" vertical="top" wrapText="1"/>
    </xf>
    <xf numFmtId="0" fontId="84" fillId="78" borderId="43" xfId="0" applyFont="1" applyFill="1" applyBorder="1" applyAlignment="1">
      <alignment horizontal="left" vertical="top" wrapText="1"/>
    </xf>
    <xf numFmtId="0" fontId="84" fillId="78" borderId="139" xfId="0" applyFont="1" applyFill="1" applyBorder="1" applyAlignment="1">
      <alignment horizontal="left" vertical="top" wrapText="1"/>
    </xf>
    <xf numFmtId="0" fontId="84" fillId="78" borderId="142" xfId="0" applyFont="1" applyFill="1" applyBorder="1" applyAlignment="1">
      <alignment horizontal="left" vertical="top" wrapText="1"/>
    </xf>
    <xf numFmtId="0" fontId="46" fillId="9" borderId="60" xfId="0" applyFont="1" applyFill="1" applyBorder="1" applyAlignment="1">
      <alignment horizontal="center" vertical="center"/>
    </xf>
    <xf numFmtId="0" fontId="46" fillId="9" borderId="61" xfId="0" applyFont="1" applyFill="1" applyBorder="1" applyAlignment="1">
      <alignment vertical="center"/>
    </xf>
    <xf numFmtId="0" fontId="46" fillId="9" borderId="61" xfId="0" applyFont="1" applyFill="1" applyBorder="1" applyAlignment="1">
      <alignment vertical="center" wrapText="1"/>
    </xf>
    <xf numFmtId="0" fontId="46" fillId="9" borderId="61" xfId="0" applyFont="1" applyFill="1" applyBorder="1" applyAlignment="1">
      <alignment horizontal="right" vertical="center"/>
    </xf>
    <xf numFmtId="0" fontId="46" fillId="9" borderId="62" xfId="0" applyFont="1" applyFill="1" applyBorder="1" applyAlignment="1">
      <alignment vertical="center"/>
    </xf>
    <xf numFmtId="0" fontId="7" fillId="16" borderId="0" xfId="0" applyFont="1" applyFill="1" applyAlignment="1">
      <alignment horizontal="center" vertical="center"/>
    </xf>
    <xf numFmtId="0" fontId="41" fillId="17" borderId="57" xfId="0" applyFont="1" applyFill="1" applyBorder="1" applyAlignment="1">
      <alignment horizontal="center" vertical="center"/>
    </xf>
    <xf numFmtId="0" fontId="37" fillId="17" borderId="58" xfId="0" applyFont="1" applyFill="1" applyBorder="1" applyAlignment="1">
      <alignment vertical="center"/>
    </xf>
    <xf numFmtId="0" fontId="37" fillId="17" borderId="58" xfId="0" applyFont="1" applyFill="1" applyBorder="1" applyAlignment="1">
      <alignment vertical="center" wrapText="1"/>
    </xf>
    <xf numFmtId="0" fontId="37" fillId="17" borderId="58" xfId="0" applyFont="1" applyFill="1" applyBorder="1" applyAlignment="1">
      <alignment horizontal="right" vertical="center"/>
    </xf>
    <xf numFmtId="0" fontId="37" fillId="17" borderId="59" xfId="0" applyFont="1" applyFill="1" applyBorder="1" applyAlignment="1">
      <alignment vertical="center"/>
    </xf>
    <xf numFmtId="0" fontId="4" fillId="6" borderId="158" xfId="0" applyFont="1" applyFill="1" applyBorder="1" applyAlignment="1">
      <alignment horizontal="center" vertical="center"/>
    </xf>
    <xf numFmtId="0" fontId="33" fillId="11" borderId="81" xfId="0" applyFont="1" applyFill="1" applyBorder="1" applyAlignment="1">
      <alignment horizontal="center" vertical="center"/>
    </xf>
    <xf numFmtId="0" fontId="33" fillId="11" borderId="82" xfId="0" applyFont="1" applyFill="1" applyBorder="1" applyAlignment="1">
      <alignment horizontal="center" vertical="center"/>
    </xf>
    <xf numFmtId="0" fontId="5" fillId="6" borderId="2" xfId="0" applyFont="1" applyFill="1" applyBorder="1" applyAlignment="1">
      <alignment horizontal="left"/>
    </xf>
    <xf numFmtId="0" fontId="7" fillId="11" borderId="0" xfId="0" applyFont="1" applyFill="1" applyAlignment="1">
      <alignment horizontal="center" vertical="center"/>
    </xf>
    <xf numFmtId="0" fontId="33" fillId="6" borderId="80" xfId="0" applyFont="1" applyFill="1" applyBorder="1" applyAlignment="1">
      <alignment horizontal="center" vertical="center"/>
    </xf>
    <xf numFmtId="0" fontId="33" fillId="6" borderId="81" xfId="0" applyFont="1" applyFill="1" applyBorder="1" applyAlignment="1">
      <alignment horizontal="center" vertical="center"/>
    </xf>
    <xf numFmtId="0" fontId="33" fillId="7" borderId="81" xfId="0" applyFont="1" applyFill="1" applyBorder="1" applyAlignment="1">
      <alignment horizontal="center" vertical="center"/>
    </xf>
    <xf numFmtId="0" fontId="33" fillId="15" borderId="81" xfId="0" applyFont="1" applyFill="1" applyBorder="1" applyAlignment="1">
      <alignment horizontal="center" vertical="center"/>
    </xf>
    <xf numFmtId="0" fontId="33" fillId="16" borderId="81" xfId="0" applyFont="1" applyFill="1" applyBorder="1" applyAlignment="1">
      <alignment horizontal="center" vertical="center"/>
    </xf>
    <xf numFmtId="0" fontId="5" fillId="6" borderId="51" xfId="0" applyFont="1" applyFill="1" applyBorder="1" applyAlignment="1">
      <alignment horizontal="left" vertical="center"/>
    </xf>
    <xf numFmtId="0" fontId="5" fillId="6" borderId="52" xfId="0" applyFont="1" applyFill="1" applyBorder="1" applyAlignment="1">
      <alignment horizontal="left" vertical="center"/>
    </xf>
    <xf numFmtId="0" fontId="5" fillId="6" borderId="53" xfId="0" applyFont="1" applyFill="1" applyBorder="1" applyAlignment="1">
      <alignment horizontal="left" vertical="center"/>
    </xf>
    <xf numFmtId="0" fontId="91" fillId="31" borderId="0" xfId="0" applyFont="1" applyFill="1" applyAlignment="1">
      <alignment horizontal="center" vertical="center"/>
    </xf>
    <xf numFmtId="0" fontId="82" fillId="6" borderId="90" xfId="0" applyFont="1" applyFill="1" applyBorder="1" applyAlignment="1">
      <alignment vertical="center"/>
    </xf>
    <xf numFmtId="0" fontId="82" fillId="6" borderId="91" xfId="0" applyFont="1" applyFill="1" applyBorder="1" applyAlignment="1">
      <alignment vertical="center"/>
    </xf>
    <xf numFmtId="0" fontId="82" fillId="6" borderId="92" xfId="0" applyFont="1" applyFill="1" applyBorder="1" applyAlignment="1">
      <alignment vertical="center"/>
    </xf>
    <xf numFmtId="0" fontId="95" fillId="22" borderId="33" xfId="0" applyFont="1" applyFill="1" applyBorder="1" applyAlignment="1">
      <alignment horizontal="left" vertical="top" wrapText="1"/>
    </xf>
    <xf numFmtId="0" fontId="95" fillId="22" borderId="34" xfId="0" applyFont="1" applyFill="1" applyBorder="1" applyAlignment="1">
      <alignment horizontal="left" vertical="top" wrapText="1"/>
    </xf>
    <xf numFmtId="0" fontId="95" fillId="22" borderId="35" xfId="0" applyFont="1" applyFill="1" applyBorder="1" applyAlignment="1">
      <alignment horizontal="left" vertical="top" wrapText="1"/>
    </xf>
    <xf numFmtId="0" fontId="7" fillId="10" borderId="0" xfId="0" applyFont="1" applyFill="1" applyAlignment="1">
      <alignment horizontal="center" vertical="center"/>
    </xf>
    <xf numFmtId="0" fontId="7" fillId="8" borderId="0" xfId="0" applyFont="1" applyFill="1" applyAlignment="1">
      <alignment horizontal="center" vertical="center"/>
    </xf>
    <xf numFmtId="0" fontId="16" fillId="2" borderId="109" xfId="0" applyFont="1" applyFill="1" applyBorder="1" applyAlignment="1">
      <alignment vertical="center"/>
    </xf>
    <xf numFmtId="0" fontId="16" fillId="2" borderId="91" xfId="0" applyFont="1" applyFill="1" applyBorder="1" applyAlignment="1">
      <alignment vertical="center"/>
    </xf>
    <xf numFmtId="0" fontId="16" fillId="2" borderId="110" xfId="0" applyFont="1" applyFill="1" applyBorder="1" applyAlignment="1">
      <alignment vertical="center"/>
    </xf>
    <xf numFmtId="0" fontId="28" fillId="22" borderId="111" xfId="0" applyFont="1" applyFill="1" applyBorder="1" applyAlignment="1">
      <alignment horizontal="left" vertical="top" wrapText="1"/>
    </xf>
    <xf numFmtId="0" fontId="28" fillId="22" borderId="112" xfId="0" applyFont="1" applyFill="1" applyBorder="1" applyAlignment="1">
      <alignment horizontal="left" vertical="top" wrapText="1"/>
    </xf>
    <xf numFmtId="0" fontId="28" fillId="22" borderId="113" xfId="0" applyFont="1" applyFill="1" applyBorder="1" applyAlignment="1">
      <alignment horizontal="left" vertical="top" wrapText="1"/>
    </xf>
    <xf numFmtId="0" fontId="33" fillId="11" borderId="28" xfId="0" applyFont="1" applyFill="1" applyBorder="1" applyAlignment="1">
      <alignment vertical="center"/>
    </xf>
    <xf numFmtId="0" fontId="16" fillId="14" borderId="20" xfId="0" applyFont="1" applyFill="1" applyBorder="1" applyAlignment="1">
      <alignment vertical="center"/>
    </xf>
    <xf numFmtId="0" fontId="16" fillId="14" borderId="29" xfId="0" applyFont="1" applyFill="1" applyBorder="1" applyAlignment="1">
      <alignment vertical="center"/>
    </xf>
    <xf numFmtId="0" fontId="55" fillId="34" borderId="28" xfId="0" applyFont="1" applyFill="1" applyBorder="1" applyAlignment="1">
      <alignment vertical="center" wrapText="1"/>
    </xf>
    <xf numFmtId="0" fontId="55" fillId="34" borderId="20" xfId="0" applyFont="1" applyFill="1" applyBorder="1" applyAlignment="1">
      <alignment vertical="center" wrapText="1"/>
    </xf>
    <xf numFmtId="0" fontId="55" fillId="34" borderId="29" xfId="0" applyFont="1" applyFill="1" applyBorder="1" applyAlignment="1">
      <alignment vertical="center" wrapText="1"/>
    </xf>
    <xf numFmtId="0" fontId="91" fillId="6" borderId="163" xfId="0" applyFont="1" applyFill="1" applyBorder="1" applyAlignment="1">
      <alignment horizontal="center" vertical="center"/>
    </xf>
    <xf numFmtId="0" fontId="82" fillId="11" borderId="170" xfId="0" applyFont="1" applyFill="1" applyBorder="1" applyAlignment="1">
      <alignment horizontal="left" vertical="center"/>
    </xf>
    <xf numFmtId="0" fontId="82" fillId="11" borderId="171" xfId="0" applyFont="1" applyFill="1" applyBorder="1" applyAlignment="1">
      <alignment horizontal="left" vertical="center"/>
    </xf>
    <xf numFmtId="0" fontId="82" fillId="11" borderId="172" xfId="0" applyFont="1" applyFill="1" applyBorder="1" applyAlignment="1">
      <alignment horizontal="left" vertical="center"/>
    </xf>
    <xf numFmtId="0" fontId="60" fillId="12" borderId="19" xfId="0" applyFont="1" applyFill="1" applyBorder="1" applyAlignment="1">
      <alignment horizontal="center" vertical="center"/>
    </xf>
    <xf numFmtId="0" fontId="60" fillId="12" borderId="20" xfId="0" applyFont="1" applyFill="1" applyBorder="1" applyAlignment="1">
      <alignment horizontal="center" vertical="center"/>
    </xf>
    <xf numFmtId="0" fontId="60" fillId="12" borderId="21" xfId="0" applyFont="1" applyFill="1" applyBorder="1" applyAlignment="1">
      <alignment horizontal="center" vertical="center"/>
    </xf>
    <xf numFmtId="0" fontId="25" fillId="13" borderId="22" xfId="0" applyFont="1" applyFill="1" applyBorder="1" applyAlignment="1">
      <alignment vertical="center"/>
    </xf>
    <xf numFmtId="0" fontId="25" fillId="13" borderId="23" xfId="0" applyFont="1" applyFill="1" applyBorder="1" applyAlignment="1">
      <alignment vertical="center"/>
    </xf>
    <xf numFmtId="0" fontId="25" fillId="13" borderId="24" xfId="0" applyFont="1" applyFill="1" applyBorder="1" applyAlignment="1">
      <alignment vertical="center"/>
    </xf>
    <xf numFmtId="0" fontId="82" fillId="6" borderId="154" xfId="0" applyFont="1" applyFill="1" applyBorder="1" applyAlignment="1">
      <alignment horizontal="left" vertical="center" indent="1"/>
    </xf>
    <xf numFmtId="0" fontId="8" fillId="6" borderId="0" xfId="0" applyFont="1" applyFill="1" applyAlignment="1">
      <alignment horizontal="center"/>
    </xf>
    <xf numFmtId="0" fontId="5" fillId="7" borderId="0" xfId="0" applyFont="1" applyFill="1" applyAlignment="1">
      <alignment horizontal="center"/>
    </xf>
    <xf numFmtId="0" fontId="11" fillId="6" borderId="0" xfId="0" applyFont="1" applyFill="1" applyAlignment="1">
      <alignment horizontal="left"/>
    </xf>
    <xf numFmtId="0" fontId="5" fillId="11" borderId="25" xfId="0" applyFont="1" applyFill="1" applyBorder="1" applyAlignment="1">
      <alignment horizontal="left"/>
    </xf>
    <xf numFmtId="0" fontId="5" fillId="11" borderId="26" xfId="0" applyFont="1" applyFill="1" applyBorder="1" applyAlignment="1">
      <alignment horizontal="left"/>
    </xf>
    <xf numFmtId="0" fontId="5" fillId="11" borderId="27" xfId="0" applyFont="1" applyFill="1" applyBorder="1" applyAlignment="1">
      <alignment horizontal="left"/>
    </xf>
    <xf numFmtId="0" fontId="33" fillId="11" borderId="31" xfId="0" applyFont="1" applyFill="1" applyBorder="1" applyAlignment="1">
      <alignment horizontal="center"/>
    </xf>
    <xf numFmtId="0" fontId="33" fillId="11" borderId="32" xfId="0" applyFont="1" applyFill="1" applyBorder="1" applyAlignment="1">
      <alignment horizontal="center"/>
    </xf>
    <xf numFmtId="3" fontId="106" fillId="2" borderId="20" xfId="0" applyNumberFormat="1" applyFont="1" applyFill="1" applyBorder="1" applyAlignment="1">
      <alignment horizontal="right"/>
    </xf>
    <xf numFmtId="3" fontId="106" fillId="2" borderId="29" xfId="0" applyNumberFormat="1" applyFont="1" applyFill="1" applyBorder="1" applyAlignment="1">
      <alignment horizontal="right"/>
    </xf>
    <xf numFmtId="3" fontId="100" fillId="14" borderId="20" xfId="0" applyNumberFormat="1" applyFont="1" applyFill="1" applyBorder="1" applyAlignment="1">
      <alignment horizontal="right"/>
    </xf>
    <xf numFmtId="3" fontId="100" fillId="14" borderId="29" xfId="0" applyNumberFormat="1" applyFont="1" applyFill="1" applyBorder="1" applyAlignment="1">
      <alignment horizontal="right"/>
    </xf>
    <xf numFmtId="3" fontId="61" fillId="2" borderId="20" xfId="0" applyNumberFormat="1" applyFont="1" applyFill="1" applyBorder="1" applyAlignment="1">
      <alignment horizontal="right"/>
    </xf>
    <xf numFmtId="3" fontId="61" fillId="2" borderId="29" xfId="0" applyNumberFormat="1" applyFont="1" applyFill="1" applyBorder="1" applyAlignment="1">
      <alignment horizontal="right"/>
    </xf>
    <xf numFmtId="3" fontId="61" fillId="14" borderId="20" xfId="0" applyNumberFormat="1" applyFont="1" applyFill="1" applyBorder="1" applyAlignment="1">
      <alignment horizontal="right"/>
    </xf>
    <xf numFmtId="3" fontId="61" fillId="14" borderId="29" xfId="0" applyNumberFormat="1" applyFont="1" applyFill="1" applyBorder="1" applyAlignment="1">
      <alignment horizontal="right"/>
    </xf>
    <xf numFmtId="0" fontId="91" fillId="6" borderId="286" xfId="0" applyFont="1" applyFill="1" applyBorder="1" applyAlignment="1">
      <alignment horizontal="center" vertical="center"/>
    </xf>
    <xf numFmtId="0" fontId="91" fillId="6" borderId="287" xfId="0" applyFont="1" applyFill="1" applyBorder="1" applyAlignment="1">
      <alignment horizontal="center" vertical="center"/>
    </xf>
    <xf numFmtId="0" fontId="91" fillId="6" borderId="288" xfId="0" applyFont="1" applyFill="1" applyBorder="1" applyAlignment="1">
      <alignment horizontal="center" vertical="center"/>
    </xf>
    <xf numFmtId="0" fontId="96" fillId="6" borderId="5" xfId="0" applyFont="1" applyFill="1" applyBorder="1"/>
    <xf numFmtId="0" fontId="96" fillId="6" borderId="0" xfId="0" applyFont="1" applyFill="1"/>
    <xf numFmtId="0" fontId="96" fillId="6" borderId="6" xfId="0" applyFont="1" applyFill="1" applyBorder="1"/>
    <xf numFmtId="0" fontId="82" fillId="6" borderId="289" xfId="0" applyFont="1" applyFill="1" applyBorder="1" applyAlignment="1">
      <alignment horizontal="left" vertical="center" indent="1"/>
    </xf>
    <xf numFmtId="0" fontId="82" fillId="6" borderId="290" xfId="0" applyFont="1" applyFill="1" applyBorder="1" applyAlignment="1">
      <alignment horizontal="left" vertical="center" indent="1"/>
    </xf>
    <xf numFmtId="0" fontId="42" fillId="19" borderId="291" xfId="0" applyFont="1" applyFill="1" applyBorder="1" applyAlignment="1">
      <alignment horizontal="left" vertical="top" wrapText="1" indent="1"/>
    </xf>
    <xf numFmtId="0" fontId="42" fillId="19" borderId="284" xfId="0" applyFont="1" applyFill="1" applyBorder="1" applyAlignment="1">
      <alignment horizontal="left" vertical="top" wrapText="1" indent="1"/>
    </xf>
    <xf numFmtId="0" fontId="42" fillId="19" borderId="292" xfId="0" applyFont="1" applyFill="1" applyBorder="1" applyAlignment="1">
      <alignment horizontal="left" vertical="top" wrapText="1" indent="1"/>
    </xf>
    <xf numFmtId="0" fontId="34" fillId="2" borderId="293" xfId="0" applyFont="1" applyFill="1" applyBorder="1" applyAlignment="1">
      <alignment horizontal="left" vertical="top" wrapText="1"/>
    </xf>
    <xf numFmtId="0" fontId="34" fillId="2" borderId="294" xfId="0" applyFont="1" applyFill="1" applyBorder="1" applyAlignment="1">
      <alignment horizontal="left" vertical="top" wrapText="1"/>
    </xf>
    <xf numFmtId="0" fontId="82" fillId="6" borderId="295" xfId="0" applyFont="1" applyFill="1" applyBorder="1" applyAlignment="1">
      <alignment horizontal="left" vertical="center" indent="1"/>
    </xf>
    <xf numFmtId="0" fontId="82" fillId="6" borderId="0" xfId="0" applyFont="1" applyFill="1" applyBorder="1" applyAlignment="1">
      <alignment horizontal="left" vertical="center" indent="1"/>
    </xf>
    <xf numFmtId="0" fontId="82" fillId="6" borderId="296" xfId="0" applyFont="1" applyFill="1" applyBorder="1" applyAlignment="1">
      <alignment horizontal="left" vertical="center" indent="1"/>
    </xf>
    <xf numFmtId="0" fontId="42" fillId="2" borderId="291" xfId="0" applyFont="1" applyFill="1" applyBorder="1" applyAlignment="1">
      <alignment horizontal="left" vertical="top" wrapText="1" indent="1"/>
    </xf>
    <xf numFmtId="0" fontId="42" fillId="2" borderId="284" xfId="0" applyFont="1" applyFill="1" applyBorder="1" applyAlignment="1">
      <alignment horizontal="left" vertical="top" wrapText="1" indent="1"/>
    </xf>
    <xf numFmtId="0" fontId="42" fillId="2" borderId="292" xfId="0" applyFont="1" applyFill="1" applyBorder="1" applyAlignment="1">
      <alignment horizontal="left" vertical="top" wrapText="1" indent="1"/>
    </xf>
    <xf numFmtId="0" fontId="82" fillId="6" borderId="293" xfId="0" applyFont="1" applyFill="1" applyBorder="1" applyAlignment="1">
      <alignment horizontal="left" vertical="center" indent="1"/>
    </xf>
    <xf numFmtId="0" fontId="82" fillId="6" borderId="162" xfId="0" applyFont="1" applyFill="1" applyBorder="1" applyAlignment="1">
      <alignment horizontal="left" vertical="center" indent="1"/>
    </xf>
    <xf numFmtId="0" fontId="82" fillId="6" borderId="294" xfId="0" applyFont="1" applyFill="1" applyBorder="1" applyAlignment="1">
      <alignment horizontal="left" vertical="center" indent="1"/>
    </xf>
    <xf numFmtId="0" fontId="0" fillId="2" borderId="2" xfId="0" applyFill="1" applyBorder="1"/>
    <xf numFmtId="0" fontId="0" fillId="2" borderId="297" xfId="0" applyFill="1" applyBorder="1"/>
    <xf numFmtId="0" fontId="0" fillId="2" borderId="298" xfId="0" applyFill="1" applyBorder="1"/>
    <xf numFmtId="0" fontId="42" fillId="19" borderId="284" xfId="0" applyFont="1" applyFill="1" applyBorder="1" applyAlignment="1">
      <alignment vertical="top" wrapText="1"/>
    </xf>
    <xf numFmtId="0" fontId="82" fillId="6" borderId="295" xfId="0" applyFont="1" applyFill="1" applyBorder="1" applyAlignment="1">
      <alignment vertical="center"/>
    </xf>
    <xf numFmtId="0" fontId="82" fillId="6" borderId="0" xfId="0" applyFont="1" applyFill="1" applyBorder="1" applyAlignment="1">
      <alignment vertical="center"/>
    </xf>
    <xf numFmtId="0" fontId="82" fillId="6" borderId="296" xfId="0" applyFont="1" applyFill="1" applyBorder="1" applyAlignment="1">
      <alignment vertical="center"/>
    </xf>
    <xf numFmtId="0" fontId="42" fillId="19" borderId="291" xfId="0" applyFont="1" applyFill="1" applyBorder="1" applyAlignment="1">
      <alignment vertical="top" wrapText="1"/>
    </xf>
    <xf numFmtId="0" fontId="42" fillId="19" borderId="292" xfId="0" applyFont="1" applyFill="1" applyBorder="1" applyAlignment="1">
      <alignment vertical="top" wrapText="1"/>
    </xf>
    <xf numFmtId="0" fontId="42" fillId="2" borderId="0" xfId="0" applyFont="1" applyFill="1" applyBorder="1" applyAlignment="1">
      <alignment vertical="top" wrapText="1"/>
    </xf>
    <xf numFmtId="0" fontId="42" fillId="2" borderId="295" xfId="0" applyFont="1" applyFill="1" applyBorder="1" applyAlignment="1">
      <alignment vertical="top" wrapText="1"/>
    </xf>
    <xf numFmtId="0" fontId="42" fillId="2" borderId="296" xfId="0" applyFont="1" applyFill="1" applyBorder="1" applyAlignment="1">
      <alignment vertical="top" wrapText="1"/>
    </xf>
    <xf numFmtId="0" fontId="42" fillId="19" borderId="302" xfId="0" applyFont="1" applyFill="1" applyBorder="1" applyAlignment="1">
      <alignment vertical="top" wrapText="1"/>
    </xf>
    <xf numFmtId="0" fontId="42" fillId="19" borderId="303" xfId="0" applyFont="1" applyFill="1" applyBorder="1" applyAlignment="1">
      <alignment vertical="top" wrapText="1"/>
    </xf>
    <xf numFmtId="0" fontId="42" fillId="19" borderId="304" xfId="0" applyFont="1" applyFill="1" applyBorder="1" applyAlignment="1">
      <alignment vertical="top" wrapText="1"/>
    </xf>
    <xf numFmtId="0" fontId="119" fillId="22" borderId="305" xfId="0" applyFont="1" applyFill="1" applyBorder="1" applyAlignment="1">
      <alignment horizontal="left" vertical="center" wrapText="1"/>
    </xf>
    <xf numFmtId="0" fontId="82" fillId="6" borderId="306" xfId="0" applyFont="1" applyFill="1" applyBorder="1" applyAlignment="1">
      <alignment horizontal="left" vertical="center"/>
    </xf>
    <xf numFmtId="0" fontId="82" fillId="6" borderId="307" xfId="0" applyFont="1" applyFill="1" applyBorder="1" applyAlignment="1">
      <alignment horizontal="left" vertical="center"/>
    </xf>
    <xf numFmtId="0" fontId="82" fillId="6" borderId="308" xfId="0" applyFont="1" applyFill="1" applyBorder="1" applyAlignment="1">
      <alignment horizontal="left" vertical="center"/>
    </xf>
    <xf numFmtId="0" fontId="119" fillId="22" borderId="309" xfId="0" applyFont="1" applyFill="1" applyBorder="1" applyAlignment="1">
      <alignment horizontal="left" vertical="center" wrapText="1"/>
    </xf>
    <xf numFmtId="0" fontId="64" fillId="22" borderId="311" xfId="0" applyFont="1" applyFill="1" applyBorder="1" applyAlignment="1">
      <alignment horizontal="left" vertical="center"/>
    </xf>
    <xf numFmtId="0" fontId="64" fillId="22" borderId="300" xfId="0" applyFont="1" applyFill="1" applyBorder="1" applyAlignment="1">
      <alignment horizontal="left" vertical="center"/>
    </xf>
    <xf numFmtId="0" fontId="119" fillId="22" borderId="313" xfId="0" applyFont="1" applyFill="1" applyBorder="1" applyAlignment="1">
      <alignment horizontal="left" vertical="center" wrapText="1"/>
    </xf>
    <xf numFmtId="0" fontId="119" fillId="22" borderId="314" xfId="0" applyFont="1" applyFill="1" applyBorder="1" applyAlignment="1">
      <alignment horizontal="left" vertical="center" wrapText="1"/>
    </xf>
    <xf numFmtId="0" fontId="64" fillId="2" borderId="300" xfId="0" applyFont="1" applyFill="1" applyBorder="1" applyAlignment="1">
      <alignment horizontal="left" vertical="center"/>
    </xf>
    <xf numFmtId="0" fontId="119" fillId="2" borderId="313" xfId="0" applyFont="1" applyFill="1" applyBorder="1" applyAlignment="1">
      <alignment horizontal="left" vertical="center" wrapText="1"/>
    </xf>
    <xf numFmtId="0" fontId="119" fillId="2" borderId="314" xfId="0" applyFont="1" applyFill="1" applyBorder="1" applyAlignment="1">
      <alignment horizontal="left" vertical="center" wrapText="1"/>
    </xf>
    <xf numFmtId="0" fontId="14" fillId="2" borderId="315" xfId="0" applyFont="1" applyFill="1" applyBorder="1" applyAlignment="1">
      <alignment horizontal="left" vertical="center"/>
    </xf>
    <xf numFmtId="0" fontId="38" fillId="2" borderId="316" xfId="0" applyFont="1" applyFill="1" applyBorder="1" applyAlignment="1">
      <alignment horizontal="right" vertical="center"/>
    </xf>
    <xf numFmtId="0" fontId="38" fillId="2" borderId="316" xfId="0" applyFont="1" applyFill="1" applyBorder="1" applyAlignment="1">
      <alignment horizontal="left" vertical="center"/>
    </xf>
    <xf numFmtId="0" fontId="38" fillId="2" borderId="316" xfId="0" applyFont="1" applyFill="1" applyBorder="1" applyAlignment="1">
      <alignment horizontal="left" vertical="center" wrapText="1"/>
    </xf>
    <xf numFmtId="0" fontId="38" fillId="2" borderId="317" xfId="0" applyFont="1" applyFill="1" applyBorder="1" applyAlignment="1">
      <alignment horizontal="left" vertical="center" wrapText="1"/>
    </xf>
    <xf numFmtId="0" fontId="16" fillId="2" borderId="318" xfId="0" applyFont="1" applyFill="1" applyBorder="1" applyAlignment="1">
      <alignment vertical="center"/>
    </xf>
    <xf numFmtId="0" fontId="16" fillId="2" borderId="164" xfId="0" applyFont="1" applyFill="1" applyBorder="1" applyAlignment="1">
      <alignment vertical="center"/>
    </xf>
    <xf numFmtId="0" fontId="16" fillId="2" borderId="164" xfId="0" applyFont="1" applyFill="1" applyBorder="1" applyAlignment="1">
      <alignment vertical="center" wrapText="1"/>
    </xf>
    <xf numFmtId="0" fontId="16" fillId="2" borderId="319" xfId="0" applyFont="1" applyFill="1" applyBorder="1" applyAlignment="1">
      <alignment vertical="center"/>
    </xf>
    <xf numFmtId="0" fontId="16" fillId="2" borderId="320" xfId="0" applyFont="1" applyFill="1" applyBorder="1" applyAlignment="1">
      <alignment vertical="center"/>
    </xf>
    <xf numFmtId="0" fontId="16" fillId="2" borderId="282" xfId="0" applyFont="1" applyFill="1" applyBorder="1" applyAlignment="1">
      <alignment vertical="center"/>
    </xf>
    <xf numFmtId="0" fontId="16" fillId="2" borderId="282" xfId="0" applyFont="1" applyFill="1" applyBorder="1" applyAlignment="1">
      <alignment vertical="center" wrapText="1"/>
    </xf>
    <xf numFmtId="0" fontId="16" fillId="2" borderId="321" xfId="0" applyFont="1" applyFill="1" applyBorder="1" applyAlignment="1">
      <alignment vertical="center"/>
    </xf>
    <xf numFmtId="0" fontId="64" fillId="39" borderId="322" xfId="0" applyFont="1" applyFill="1" applyBorder="1" applyAlignment="1">
      <alignment horizontal="center" vertical="center"/>
    </xf>
    <xf numFmtId="0" fontId="64" fillId="39" borderId="313" xfId="0" applyFont="1" applyFill="1" applyBorder="1" applyAlignment="1">
      <alignment horizontal="center" vertical="center"/>
    </xf>
    <xf numFmtId="0" fontId="64" fillId="39" borderId="323" xfId="0" applyFont="1" applyFill="1" applyBorder="1" applyAlignment="1">
      <alignment horizontal="center" vertical="center"/>
    </xf>
    <xf numFmtId="0" fontId="0" fillId="2" borderId="285" xfId="0" applyFill="1" applyBorder="1"/>
    <xf numFmtId="0" fontId="82" fillId="6" borderId="285" xfId="0" applyFont="1" applyFill="1" applyBorder="1" applyAlignment="1">
      <alignment horizontal="left"/>
    </xf>
    <xf numFmtId="0" fontId="0" fillId="2" borderId="324" xfId="0" applyFill="1" applyBorder="1"/>
    <xf numFmtId="0" fontId="0" fillId="2" borderId="325" xfId="0" applyFill="1" applyBorder="1"/>
    <xf numFmtId="0" fontId="64" fillId="39" borderId="284" xfId="0" applyFont="1" applyFill="1" applyBorder="1" applyAlignment="1">
      <alignment horizontal="center"/>
    </xf>
    <xf numFmtId="0" fontId="82" fillId="6" borderId="324" xfId="0" applyFont="1" applyFill="1" applyBorder="1" applyAlignment="1">
      <alignment horizontal="left"/>
    </xf>
    <xf numFmtId="0" fontId="82" fillId="6" borderId="325" xfId="0" applyFont="1" applyFill="1" applyBorder="1" applyAlignment="1">
      <alignment horizontal="left"/>
    </xf>
    <xf numFmtId="0" fontId="64" fillId="39" borderId="299" xfId="0" applyFont="1" applyFill="1" applyBorder="1" applyAlignment="1">
      <alignment horizontal="center"/>
    </xf>
    <xf numFmtId="0" fontId="64" fillId="39" borderId="301" xfId="0" applyFont="1" applyFill="1" applyBorder="1" applyAlignment="1">
      <alignment horizontal="center"/>
    </xf>
    <xf numFmtId="0" fontId="64" fillId="22" borderId="291" xfId="0" applyFont="1" applyFill="1" applyBorder="1" applyAlignment="1">
      <alignment horizontal="left" vertical="center"/>
    </xf>
    <xf numFmtId="0" fontId="119" fillId="22" borderId="326" xfId="0" applyFont="1" applyFill="1" applyBorder="1" applyAlignment="1">
      <alignment horizontal="center" vertical="center"/>
    </xf>
    <xf numFmtId="0" fontId="119" fillId="22" borderId="284" xfId="0" applyFont="1" applyFill="1" applyBorder="1" applyAlignment="1">
      <alignment vertical="center"/>
    </xf>
    <xf numFmtId="0" fontId="119" fillId="22" borderId="292" xfId="0" applyFont="1" applyFill="1" applyBorder="1" applyAlignment="1">
      <alignment vertical="center"/>
    </xf>
    <xf numFmtId="0" fontId="64" fillId="2" borderId="291" xfId="0" applyFont="1" applyFill="1" applyBorder="1" applyAlignment="1">
      <alignment horizontal="left" vertical="center"/>
    </xf>
    <xf numFmtId="0" fontId="119" fillId="2" borderId="326" xfId="0" applyFont="1" applyFill="1" applyBorder="1" applyAlignment="1">
      <alignment horizontal="center" vertical="center"/>
    </xf>
    <xf numFmtId="0" fontId="119" fillId="2" borderId="284" xfId="0" applyFont="1" applyFill="1" applyBorder="1" applyAlignment="1">
      <alignment vertical="center"/>
    </xf>
    <xf numFmtId="0" fontId="119" fillId="2" borderId="292" xfId="0" applyFont="1" applyFill="1" applyBorder="1" applyAlignment="1">
      <alignment vertical="center"/>
    </xf>
    <xf numFmtId="0" fontId="64" fillId="2" borderId="302" xfId="0" applyFont="1" applyFill="1" applyBorder="1" applyAlignment="1">
      <alignment horizontal="left" vertical="center"/>
    </xf>
    <xf numFmtId="0" fontId="119" fillId="2" borderId="327" xfId="0" applyFont="1" applyFill="1" applyBorder="1" applyAlignment="1">
      <alignment horizontal="center" vertical="center"/>
    </xf>
    <xf numFmtId="0" fontId="119" fillId="2" borderId="303" xfId="0" applyFont="1" applyFill="1" applyBorder="1" applyAlignment="1">
      <alignment vertical="center"/>
    </xf>
    <xf numFmtId="0" fontId="119" fillId="2" borderId="304" xfId="0" applyFont="1" applyFill="1" applyBorder="1" applyAlignment="1">
      <alignment vertical="center"/>
    </xf>
    <xf numFmtId="167" fontId="120" fillId="4" borderId="312" xfId="0" applyNumberFormat="1" applyFont="1" applyFill="1" applyBorder="1" applyAlignment="1">
      <alignment horizontal="right" vertical="center"/>
    </xf>
    <xf numFmtId="2" fontId="120" fillId="4" borderId="312" xfId="0" applyNumberFormat="1" applyFont="1" applyFill="1" applyBorder="1" applyAlignment="1">
      <alignment horizontal="right" vertical="center"/>
    </xf>
    <xf numFmtId="0" fontId="120" fillId="4" borderId="312" xfId="0" applyFont="1" applyFill="1" applyBorder="1" applyAlignment="1">
      <alignment horizontal="right" vertical="center"/>
    </xf>
    <xf numFmtId="0" fontId="120" fillId="4" borderId="310" xfId="0" applyFont="1" applyFill="1" applyBorder="1" applyAlignment="1">
      <alignment horizontal="right" vertical="center"/>
    </xf>
    <xf numFmtId="10" fontId="120" fillId="4" borderId="312" xfId="0" applyNumberFormat="1" applyFont="1" applyFill="1" applyBorder="1" applyAlignment="1">
      <alignment horizontal="right" vertical="center"/>
    </xf>
    <xf numFmtId="4" fontId="120" fillId="4" borderId="313" xfId="0" applyNumberFormat="1" applyFont="1" applyFill="1" applyBorder="1" applyAlignment="1">
      <alignment horizontal="left" vertical="center"/>
    </xf>
    <xf numFmtId="0" fontId="120" fillId="4" borderId="313" xfId="0" applyFont="1" applyFill="1" applyBorder="1" applyAlignment="1">
      <alignment horizontal="left" vertical="center"/>
    </xf>
    <xf numFmtId="10" fontId="120" fillId="4" borderId="313" xfId="0" applyNumberFormat="1" applyFont="1" applyFill="1" applyBorder="1" applyAlignment="1">
      <alignment horizontal="left" vertical="center"/>
    </xf>
    <xf numFmtId="3" fontId="120" fillId="4" borderId="312" xfId="0" applyNumberFormat="1" applyFont="1" applyFill="1" applyBorder="1" applyAlignment="1">
      <alignment horizontal="right" vertical="center"/>
    </xf>
    <xf numFmtId="4" fontId="64" fillId="45" borderId="312" xfId="0" applyNumberFormat="1" applyFont="1" applyFill="1" applyBorder="1" applyAlignment="1">
      <alignment horizontal="right" vertical="center"/>
    </xf>
    <xf numFmtId="0" fontId="64" fillId="45" borderId="312" xfId="0" applyFont="1" applyFill="1" applyBorder="1" applyAlignment="1">
      <alignment horizontal="right" vertical="center"/>
    </xf>
    <xf numFmtId="10" fontId="64" fillId="45" borderId="312" xfId="0" applyNumberFormat="1" applyFont="1" applyFill="1" applyBorder="1" applyAlignment="1">
      <alignment horizontal="right" vertical="center"/>
    </xf>
    <xf numFmtId="0" fontId="44" fillId="27" borderId="161" xfId="0" applyFont="1" applyFill="1" applyBorder="1" applyAlignment="1">
      <alignment horizontal="center" vertical="center"/>
    </xf>
  </cellXfs>
  <cellStyles count="1">
    <cellStyle name="Normal" xfId="0" builtinId="0"/>
  </cellStyles>
  <dxfs count="36">
    <dxf>
      <font>
        <b/>
        <i val="0"/>
        <color rgb="FF9C0006"/>
      </font>
      <fill>
        <patternFill patternType="solid">
          <fgColor indexed="64"/>
          <bgColor rgb="FFFFC7CE"/>
        </patternFill>
      </fill>
    </dxf>
    <dxf>
      <font>
        <b/>
        <i val="0"/>
        <color rgb="FF006100"/>
      </font>
      <fill>
        <patternFill patternType="solid">
          <fgColor indexed="64"/>
          <bgColor rgb="FFC6EFCE"/>
        </patternFill>
      </fill>
    </dxf>
    <dxf>
      <font>
        <b/>
        <i val="0"/>
        <color rgb="FF9C0006"/>
      </font>
      <fill>
        <patternFill patternType="solid">
          <fgColor indexed="64"/>
          <bgColor rgb="FFFFCCCC"/>
        </patternFill>
      </fill>
    </dxf>
    <dxf>
      <font>
        <b/>
        <i val="0"/>
        <color rgb="FF276221"/>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CCC"/>
        </patternFill>
      </fill>
    </dxf>
    <dxf>
      <font>
        <b val="0"/>
        <i/>
        <color rgb="FF375623"/>
      </font>
      <fill>
        <patternFill patternType="solid">
          <fgColor indexed="64"/>
          <bgColor rgb="FFEAF7E6"/>
        </patternFill>
      </fill>
    </dxf>
    <dxf>
      <font>
        <b val="0"/>
        <i/>
        <color rgb="FF666666"/>
      </font>
      <fill>
        <patternFill patternType="solid">
          <fgColor indexed="64"/>
          <bgColor rgb="FFE8E8E8"/>
        </patternFill>
      </fill>
    </dxf>
    <dxf>
      <font>
        <b/>
        <i val="0"/>
        <color rgb="FF276221"/>
      </font>
      <fill>
        <patternFill patternType="solid">
          <fgColor indexed="64"/>
          <bgColor rgb="FFC6EFCE"/>
        </patternFill>
      </fill>
    </dxf>
    <dxf>
      <font>
        <b/>
        <i val="0"/>
        <color rgb="FF1F3864"/>
      </font>
      <fill>
        <patternFill patternType="solid">
          <fgColor indexed="64"/>
          <bgColor rgb="FFD6E4F7"/>
        </patternFill>
      </fill>
    </dxf>
    <dxf>
      <font>
        <b/>
        <i val="0"/>
        <color rgb="FF9C0006"/>
      </font>
      <fill>
        <patternFill patternType="solid">
          <fgColor indexed="64"/>
          <bgColor rgb="FFFFCCCC"/>
        </patternFill>
      </fill>
    </dxf>
    <dxf>
      <font>
        <b/>
        <i val="0"/>
        <color rgb="FF9C6500"/>
      </font>
      <fill>
        <patternFill patternType="solid">
          <fgColor indexed="64"/>
          <bgColor rgb="FFFFEB9C"/>
        </patternFill>
      </fill>
    </dxf>
    <dxf>
      <font>
        <b/>
        <i val="0"/>
        <color rgb="FF276221"/>
      </font>
      <fill>
        <patternFill patternType="solid">
          <fgColor indexed="64"/>
          <bgColor rgb="FFC6EFCE"/>
        </patternFill>
      </fill>
    </dxf>
    <dxf>
      <font>
        <b/>
        <i val="0"/>
        <color rgb="FF9C0006"/>
      </font>
      <fill>
        <patternFill patternType="solid">
          <fgColor indexed="64"/>
          <bgColor rgb="FFFFCCCC"/>
        </patternFill>
      </fill>
    </dxf>
    <dxf>
      <font>
        <b/>
        <i val="0"/>
        <color rgb="FF9C6500"/>
      </font>
      <fill>
        <patternFill patternType="solid">
          <fgColor indexed="64"/>
          <bgColor rgb="FFFFEB9C"/>
        </patternFill>
      </fill>
    </dxf>
    <dxf>
      <font>
        <b/>
        <i val="0"/>
        <color rgb="FF276221"/>
      </font>
      <fill>
        <patternFill patternType="solid">
          <fgColor indexed="64"/>
          <bgColor rgb="FFC6EFCE"/>
        </patternFill>
      </fill>
    </dxf>
    <dxf>
      <font>
        <b/>
        <i val="0"/>
        <color rgb="FF9C6500"/>
      </font>
      <fill>
        <patternFill patternType="solid">
          <fgColor indexed="64"/>
          <bgColor rgb="FFFFEB9C"/>
        </patternFill>
      </fill>
    </dxf>
    <dxf>
      <font>
        <b/>
        <i val="0"/>
        <color rgb="FF9C0006"/>
      </font>
      <fill>
        <patternFill patternType="solid">
          <fgColor indexed="64"/>
          <bgColor rgb="FFFFCCCC"/>
        </patternFill>
      </fill>
    </dxf>
    <dxf>
      <font>
        <b/>
        <i val="0"/>
        <color rgb="FF276221"/>
      </font>
      <fill>
        <patternFill patternType="solid">
          <fgColor indexed="64"/>
          <bgColor rgb="FFC6EFCE"/>
        </patternFill>
      </fill>
    </dxf>
    <dxf>
      <font>
        <b/>
        <i val="0"/>
        <color rgb="FF9C6500"/>
      </font>
      <fill>
        <patternFill patternType="solid">
          <fgColor indexed="64"/>
          <bgColor rgb="FFFFEB9C"/>
        </patternFill>
      </fill>
    </dxf>
    <dxf>
      <font>
        <b/>
        <i val="0"/>
        <color rgb="FF9C0006"/>
      </font>
      <fill>
        <patternFill patternType="solid">
          <fgColor indexed="64"/>
          <bgColor rgb="FFFFCCCC"/>
        </patternFill>
      </fill>
    </dxf>
    <dxf>
      <font>
        <b/>
        <i val="0"/>
        <color rgb="FF276221"/>
      </font>
      <fill>
        <patternFill patternType="solid">
          <fgColor indexed="64"/>
          <bgColor rgb="FFC6EFCE"/>
        </patternFill>
      </fill>
    </dxf>
    <dxf>
      <font>
        <b/>
        <i val="0"/>
        <color rgb="FF9C6500"/>
      </font>
      <fill>
        <patternFill patternType="solid">
          <fgColor indexed="64"/>
          <bgColor rgb="FFFFEB9C"/>
        </patternFill>
      </fill>
    </dxf>
    <dxf>
      <font>
        <b/>
        <i val="0"/>
        <color rgb="FF9C0006"/>
      </font>
      <fill>
        <patternFill patternType="solid">
          <fgColor indexed="64"/>
          <bgColor rgb="FFFFCCCC"/>
        </patternFill>
      </fill>
    </dxf>
    <dxf>
      <font>
        <color rgb="FF006100"/>
      </font>
      <fill>
        <patternFill patternType="solid">
          <fgColor indexed="64"/>
          <bgColor rgb="FFC6EFCE"/>
        </patternFill>
      </fill>
    </dxf>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57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3D5C2A"/>
      </font>
      <fill>
        <patternFill patternType="solid">
          <fgColor indexed="64"/>
          <bgColor rgb="FFEBF2E6"/>
        </patternFill>
      </fill>
    </dxf>
    <dxf>
      <font>
        <b val="0"/>
        <i/>
        <color rgb="FF666666"/>
      </font>
      <fill>
        <patternFill patternType="solid">
          <fgColor indexed="64"/>
          <bgColor rgb="FFE8E8E8"/>
        </patternFill>
      </fill>
    </dxf>
  </dxfs>
  <tableStyles count="0" defaultTableStyle="TableStyleMedium2" defaultPivotStyle="PivotStyleLight16"/>
  <colors>
    <indexedColors>
      <rgbColor rgb="FF000000"/>
      <rgbColor rgb="FFFFFFFF"/>
      <rgbColor rgb="FFFF0000"/>
      <rgbColor rgb="FF00FF00"/>
      <rgbColor rgb="FF0000C0"/>
      <rgbColor rgb="FFE2EFDA"/>
      <rgbColor rgb="FFFF00FF"/>
      <rgbColor rgb="FF00FFFF"/>
      <rgbColor rgb="FF9C0006"/>
      <rgbColor rgb="FF006100"/>
      <rgbColor rgb="FF000080"/>
      <rgbColor rgb="FF808000"/>
      <rgbColor rgb="FF800080"/>
      <rgbColor rgb="FF2E75B6"/>
      <rgbColor rgb="FFBFBFBF"/>
      <rgbColor rgb="FF808080"/>
      <rgbColor rgb="FF8EA9DB"/>
      <rgbColor rgb="FF7030A0"/>
      <rgbColor rgb="FFFFF2CC"/>
      <rgbColor rgb="FFE7F2FF"/>
      <rgbColor rgb="FF660066"/>
      <rgbColor rgb="FFD6E4F0"/>
      <rgbColor rgb="FF0563C1"/>
      <rgbColor rgb="FFB4C6E7"/>
      <rgbColor rgb="FF000080"/>
      <rgbColor rgb="FFFF00FF"/>
      <rgbColor rgb="FFF2F2F2"/>
      <rgbColor rgb="FF00FFFF"/>
      <rgbColor rgb="FF800080"/>
      <rgbColor rgb="FFC00000"/>
      <rgbColor rgb="FF305496"/>
      <rgbColor rgb="FF0000FF"/>
      <rgbColor rgb="FF00CCFF"/>
      <rgbColor rgb="FFEAF3FC"/>
      <rgbColor rgb="FFC6EFCE"/>
      <rgbColor rgb="FFFFEB9C"/>
      <rgbColor rgb="FF9DC3E6"/>
      <rgbColor rgb="FFE7E6E6"/>
      <rgbColor rgb="FFD9E1F2"/>
      <rgbColor rgb="FFFFC7CE"/>
      <rgbColor rgb="FF4472C4"/>
      <rgbColor rgb="FFE7EEF8"/>
      <rgbColor rgb="FFA9D18E"/>
      <rgbColor rgb="FFFFC000"/>
      <rgbColor rgb="FFF5C24C"/>
      <rgbColor rgb="FFED7D31"/>
      <rgbColor rgb="FF666666"/>
      <rgbColor rgb="FF70AD47"/>
      <rgbColor rgb="FF13315C"/>
      <rgbColor rgb="FF5B9BD5"/>
      <rgbColor rgb="FF0B2545"/>
      <rgbColor rgb="FF555555"/>
      <rgbColor rgb="FF9C5700"/>
      <rgbColor rgb="FF595959"/>
      <rgbColor rgb="FF1F3864"/>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F32625-2098-482D-97E1-6F50246B78B0}">
  <we:reference id="WA200009404" version="1.0.0.8" store="Omex" storeType="OMEX"/>
  <we:alternateReferences>
    <we:reference id="WA200009404" version="1.0.0.8" store="WA200009404" storeType="OMEX"/>
  </we:alternateReferences>
  <we:properties>
    <we:property name="claude.fileId" value="&quot;51e06a0e-576d-4edc-bd27-451c5a6df045&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G46"/>
  <sheetViews>
    <sheetView showGridLines="0" zoomScaleNormal="100" workbookViewId="0">
      <selection activeCell="D8" sqref="D8"/>
    </sheetView>
  </sheetViews>
  <sheetFormatPr defaultColWidth="8.6640625" defaultRowHeight="14.4" x14ac:dyDescent="0.3"/>
  <cols>
    <col min="1" max="1" width="42.5546875" customWidth="1"/>
    <col min="2" max="2" width="35.21875" customWidth="1"/>
    <col min="3" max="3" width="2.21875" customWidth="1"/>
    <col min="4" max="4" width="25.88671875" customWidth="1"/>
    <col min="5" max="6" width="5.5546875" customWidth="1"/>
    <col min="7" max="7" width="36.44140625" customWidth="1"/>
    <col min="8" max="14" width="18" customWidth="1"/>
  </cols>
  <sheetData>
    <row r="1" spans="1:7" ht="42" customHeight="1" x14ac:dyDescent="0.3">
      <c r="A1" s="1310" t="s">
        <v>3</v>
      </c>
      <c r="B1" s="1310"/>
      <c r="C1" s="1310"/>
      <c r="D1" s="1310"/>
      <c r="E1" s="1310"/>
      <c r="F1" s="1310"/>
      <c r="G1" s="1310"/>
    </row>
    <row r="2" spans="1:7" ht="28.05" customHeight="1" x14ac:dyDescent="0.3">
      <c r="A2" s="1311" t="s">
        <v>670</v>
      </c>
      <c r="B2" s="1311"/>
      <c r="C2" s="1311"/>
      <c r="D2" s="1311"/>
      <c r="E2" s="1311"/>
      <c r="F2" s="1311"/>
      <c r="G2" s="1311"/>
    </row>
    <row r="3" spans="1:7" ht="4.05" customHeight="1" x14ac:dyDescent="0.3">
      <c r="A3" s="3"/>
      <c r="B3" s="3"/>
      <c r="C3" s="3"/>
      <c r="D3" s="3"/>
      <c r="E3" s="3"/>
      <c r="F3" s="3"/>
      <c r="G3" s="3"/>
    </row>
    <row r="4" spans="1:7" ht="25.95" customHeight="1" x14ac:dyDescent="0.3">
      <c r="A4" s="1312" t="str">
        <f>"As of: " &amp; TEXT(AsOfDate,"dd-mmm-yyyy")</f>
        <v>As of: 15-Apr-2026</v>
      </c>
      <c r="B4" s="1312"/>
      <c r="C4" s="1312"/>
      <c r="D4" s="1312"/>
      <c r="E4" s="1312"/>
      <c r="F4" s="1312"/>
      <c r="G4" s="1312"/>
    </row>
    <row r="5" spans="1:7" ht="16.05" customHeight="1" thickBot="1" x14ac:dyDescent="0.35">
      <c r="A5" s="2"/>
      <c r="B5" s="2"/>
      <c r="C5" s="2"/>
      <c r="D5" s="2"/>
      <c r="E5" s="2"/>
      <c r="F5" s="2"/>
      <c r="G5" s="2"/>
    </row>
    <row r="6" spans="1:7" ht="22.05" customHeight="1" x14ac:dyDescent="0.3">
      <c r="A6" s="2"/>
      <c r="B6" s="60" t="s">
        <v>671</v>
      </c>
      <c r="C6" s="61"/>
      <c r="D6" s="62" cm="1">
        <f t="array" ref="D6">ROUND(SUMPRODUCT(1/COUNTIF('Facility Master'!B5:B38,'Facility Master'!B5:B38&amp;"")),0)</f>
        <v>5</v>
      </c>
      <c r="E6" s="2"/>
      <c r="F6" s="2"/>
      <c r="G6" s="2"/>
    </row>
    <row r="7" spans="1:7" ht="22.05" customHeight="1" x14ac:dyDescent="0.3">
      <c r="A7" s="2"/>
      <c r="B7" s="63" t="s">
        <v>740</v>
      </c>
      <c r="C7" s="64"/>
      <c r="D7" s="65">
        <f>COUNTIF('Facility Master'!A5:A38,"&gt;0")</f>
        <v>34</v>
      </c>
      <c r="E7" s="2"/>
      <c r="F7" s="2"/>
      <c r="G7" s="2"/>
    </row>
    <row r="8" spans="1:7" ht="22.05" customHeight="1" x14ac:dyDescent="0.3">
      <c r="A8" s="2"/>
      <c r="B8" s="63" t="s">
        <v>511</v>
      </c>
      <c r="C8" s="64"/>
      <c r="D8" s="66">
        <f>Bucket1_DebtTotal</f>
        <v>1317.7</v>
      </c>
      <c r="E8" s="2"/>
      <c r="F8" s="2"/>
      <c r="G8" s="2"/>
    </row>
    <row r="9" spans="1:7" ht="22.05" customHeight="1" x14ac:dyDescent="0.3">
      <c r="A9" s="2"/>
      <c r="B9" s="63" t="s">
        <v>672</v>
      </c>
      <c r="C9" s="64"/>
      <c r="D9" s="66">
        <f>TotalBankingExposure</f>
        <v>2305.6999999999998</v>
      </c>
      <c r="E9" s="2"/>
      <c r="F9" s="2"/>
      <c r="G9" s="2"/>
    </row>
    <row r="10" spans="1:7" ht="22.05" customHeight="1" thickBot="1" x14ac:dyDescent="0.35">
      <c r="A10" s="2"/>
      <c r="B10" s="67" t="s">
        <v>4</v>
      </c>
      <c r="C10" s="68"/>
      <c r="D10" s="69">
        <f>AsOfDate</f>
        <v>46127</v>
      </c>
      <c r="E10" s="2"/>
      <c r="F10" s="2"/>
      <c r="G10" s="2"/>
    </row>
    <row r="11" spans="1:7" ht="12" customHeight="1" x14ac:dyDescent="0.3">
      <c r="A11" s="2"/>
      <c r="B11" s="2"/>
      <c r="C11" s="2"/>
      <c r="D11" s="2"/>
      <c r="E11" s="2"/>
      <c r="F11" s="2"/>
      <c r="G11" s="2"/>
    </row>
    <row r="12" spans="1:7" ht="4.05" customHeight="1" x14ac:dyDescent="0.3">
      <c r="A12" s="3"/>
      <c r="B12" s="3"/>
      <c r="C12" s="3"/>
      <c r="D12" s="3"/>
      <c r="E12" s="3"/>
      <c r="F12" s="3"/>
      <c r="G12" s="3"/>
    </row>
    <row r="13" spans="1:7" ht="28.05" customHeight="1" thickBot="1" x14ac:dyDescent="0.35">
      <c r="A13" s="1313" t="s">
        <v>5</v>
      </c>
      <c r="B13" s="1313"/>
      <c r="C13" s="1313"/>
      <c r="D13" s="1313"/>
      <c r="E13" s="1313"/>
      <c r="F13" s="1313"/>
      <c r="G13" s="1313"/>
    </row>
    <row r="14" spans="1:7" ht="22.05" customHeight="1" x14ac:dyDescent="0.3">
      <c r="A14" s="1314" t="s">
        <v>673</v>
      </c>
      <c r="B14" s="1315"/>
      <c r="C14" s="1315" t="s">
        <v>553</v>
      </c>
      <c r="D14" s="1315"/>
      <c r="E14" s="1315"/>
      <c r="F14" s="1315"/>
      <c r="G14" s="1316"/>
    </row>
    <row r="15" spans="1:7" ht="18" customHeight="1" x14ac:dyDescent="0.3">
      <c r="A15" s="1307" t="s">
        <v>674</v>
      </c>
      <c r="B15" s="1308"/>
      <c r="C15" s="1308" t="s">
        <v>675</v>
      </c>
      <c r="D15" s="1308"/>
      <c r="E15" s="1308"/>
      <c r="F15" s="1308"/>
      <c r="G15" s="1309"/>
    </row>
    <row r="16" spans="1:7" ht="18" customHeight="1" x14ac:dyDescent="0.3">
      <c r="A16" s="1304" t="s">
        <v>6</v>
      </c>
      <c r="B16" s="1305"/>
      <c r="C16" s="1305" t="s">
        <v>676</v>
      </c>
      <c r="D16" s="1305"/>
      <c r="E16" s="1305"/>
      <c r="F16" s="1305"/>
      <c r="G16" s="1306"/>
    </row>
    <row r="17" spans="1:7" ht="18" customHeight="1" x14ac:dyDescent="0.3">
      <c r="A17" s="1307" t="s">
        <v>7</v>
      </c>
      <c r="B17" s="1308"/>
      <c r="C17" s="1308" t="s">
        <v>677</v>
      </c>
      <c r="D17" s="1308"/>
      <c r="E17" s="1308"/>
      <c r="F17" s="1308"/>
      <c r="G17" s="1309"/>
    </row>
    <row r="18" spans="1:7" ht="18" customHeight="1" x14ac:dyDescent="0.3">
      <c r="A18" s="1304" t="s">
        <v>8</v>
      </c>
      <c r="B18" s="1305"/>
      <c r="C18" s="1305" t="s">
        <v>678</v>
      </c>
      <c r="D18" s="1305"/>
      <c r="E18" s="1305"/>
      <c r="F18" s="1305"/>
      <c r="G18" s="1306"/>
    </row>
    <row r="19" spans="1:7" ht="18" customHeight="1" x14ac:dyDescent="0.3">
      <c r="A19" s="1307" t="s">
        <v>9</v>
      </c>
      <c r="B19" s="1308"/>
      <c r="C19" s="1308" t="s">
        <v>679</v>
      </c>
      <c r="D19" s="1308"/>
      <c r="E19" s="1308"/>
      <c r="F19" s="1308"/>
      <c r="G19" s="1309"/>
    </row>
    <row r="20" spans="1:7" ht="18" customHeight="1" x14ac:dyDescent="0.3">
      <c r="A20" s="1304" t="s">
        <v>10</v>
      </c>
      <c r="B20" s="1305"/>
      <c r="C20" s="1305" t="s">
        <v>680</v>
      </c>
      <c r="D20" s="1305"/>
      <c r="E20" s="1305"/>
      <c r="F20" s="1305"/>
      <c r="G20" s="1306"/>
    </row>
    <row r="21" spans="1:7" ht="18" customHeight="1" x14ac:dyDescent="0.3">
      <c r="A21" s="1307" t="s">
        <v>11</v>
      </c>
      <c r="B21" s="1308"/>
      <c r="C21" s="1308" t="s">
        <v>681</v>
      </c>
      <c r="D21" s="1308"/>
      <c r="E21" s="1308"/>
      <c r="F21" s="1308"/>
      <c r="G21" s="1309"/>
    </row>
    <row r="22" spans="1:7" ht="18" customHeight="1" x14ac:dyDescent="0.3">
      <c r="A22" s="1304" t="s">
        <v>12</v>
      </c>
      <c r="B22" s="1305"/>
      <c r="C22" s="1305" t="s">
        <v>682</v>
      </c>
      <c r="D22" s="1305"/>
      <c r="E22" s="1305"/>
      <c r="F22" s="1305"/>
      <c r="G22" s="1306"/>
    </row>
    <row r="23" spans="1:7" ht="18" customHeight="1" x14ac:dyDescent="0.3">
      <c r="A23" s="1307" t="s">
        <v>13</v>
      </c>
      <c r="B23" s="1308"/>
      <c r="C23" s="1308" t="s">
        <v>683</v>
      </c>
      <c r="D23" s="1308"/>
      <c r="E23" s="1308"/>
      <c r="F23" s="1308"/>
      <c r="G23" s="1309"/>
    </row>
    <row r="24" spans="1:7" ht="18" customHeight="1" x14ac:dyDescent="0.3">
      <c r="A24" s="1304" t="s">
        <v>14</v>
      </c>
      <c r="B24" s="1305"/>
      <c r="C24" s="1305" t="s">
        <v>684</v>
      </c>
      <c r="D24" s="1305"/>
      <c r="E24" s="1305"/>
      <c r="F24" s="1305"/>
      <c r="G24" s="1306"/>
    </row>
    <row r="25" spans="1:7" ht="18" customHeight="1" x14ac:dyDescent="0.3">
      <c r="A25" s="1307" t="s">
        <v>15</v>
      </c>
      <c r="B25" s="1308"/>
      <c r="C25" s="1308" t="s">
        <v>685</v>
      </c>
      <c r="D25" s="1308"/>
      <c r="E25" s="1308"/>
      <c r="F25" s="1308"/>
      <c r="G25" s="1309"/>
    </row>
    <row r="26" spans="1:7" ht="18" customHeight="1" x14ac:dyDescent="0.3">
      <c r="A26" s="1304" t="s">
        <v>16</v>
      </c>
      <c r="B26" s="1305"/>
      <c r="C26" s="1305" t="s">
        <v>686</v>
      </c>
      <c r="D26" s="1305"/>
      <c r="E26" s="1305"/>
      <c r="F26" s="1305"/>
      <c r="G26" s="1306"/>
    </row>
    <row r="27" spans="1:7" ht="18" customHeight="1" x14ac:dyDescent="0.3">
      <c r="A27" s="1307" t="s">
        <v>17</v>
      </c>
      <c r="B27" s="1308"/>
      <c r="C27" s="1308" t="s">
        <v>687</v>
      </c>
      <c r="D27" s="1308"/>
      <c r="E27" s="1308"/>
      <c r="F27" s="1308"/>
      <c r="G27" s="1309"/>
    </row>
    <row r="28" spans="1:7" ht="18" customHeight="1" x14ac:dyDescent="0.3">
      <c r="A28" s="1304" t="s">
        <v>18</v>
      </c>
      <c r="B28" s="1305"/>
      <c r="C28" s="1305" t="s">
        <v>688</v>
      </c>
      <c r="D28" s="1305"/>
      <c r="E28" s="1305"/>
      <c r="F28" s="1305"/>
      <c r="G28" s="1306"/>
    </row>
    <row r="29" spans="1:7" ht="18" customHeight="1" x14ac:dyDescent="0.3">
      <c r="A29" s="1307" t="s">
        <v>19</v>
      </c>
      <c r="B29" s="1308"/>
      <c r="C29" s="1308" t="s">
        <v>689</v>
      </c>
      <c r="D29" s="1308"/>
      <c r="E29" s="1308"/>
      <c r="F29" s="1308"/>
      <c r="G29" s="1309"/>
    </row>
    <row r="30" spans="1:7" ht="18" customHeight="1" x14ac:dyDescent="0.3">
      <c r="A30" s="1304" t="s">
        <v>690</v>
      </c>
      <c r="B30" s="1305"/>
      <c r="C30" s="1305" t="s">
        <v>691</v>
      </c>
      <c r="D30" s="1305"/>
      <c r="E30" s="1305"/>
      <c r="F30" s="1305"/>
      <c r="G30" s="1306"/>
    </row>
    <row r="31" spans="1:7" ht="18" customHeight="1" x14ac:dyDescent="0.3">
      <c r="A31" s="1307" t="s">
        <v>692</v>
      </c>
      <c r="B31" s="1308"/>
      <c r="C31" s="1308" t="s">
        <v>693</v>
      </c>
      <c r="D31" s="1308"/>
      <c r="E31" s="1308"/>
      <c r="F31" s="1308"/>
      <c r="G31" s="1309"/>
    </row>
    <row r="32" spans="1:7" ht="18" customHeight="1" thickBot="1" x14ac:dyDescent="0.35">
      <c r="A32" s="1317" t="s">
        <v>1</v>
      </c>
      <c r="B32" s="1318"/>
      <c r="C32" s="1318" t="s">
        <v>694</v>
      </c>
      <c r="D32" s="1318"/>
      <c r="E32" s="1318"/>
      <c r="F32" s="1318"/>
      <c r="G32" s="1319"/>
    </row>
    <row r="33" ht="19.5" customHeight="1" x14ac:dyDescent="0.3"/>
    <row r="34" ht="19.5" customHeight="1" x14ac:dyDescent="0.3"/>
    <row r="35" ht="19.5" customHeight="1" x14ac:dyDescent="0.3"/>
    <row r="36" ht="19.5" customHeight="1" x14ac:dyDescent="0.3"/>
    <row r="37" ht="19.5" customHeight="1" x14ac:dyDescent="0.3"/>
    <row r="38" ht="19.5" customHeight="1" x14ac:dyDescent="0.3"/>
    <row r="39" ht="19.5" customHeight="1" x14ac:dyDescent="0.3"/>
    <row r="40" ht="19.5" customHeight="1" x14ac:dyDescent="0.3"/>
    <row r="41" ht="19.5" customHeight="1" x14ac:dyDescent="0.3"/>
    <row r="42" ht="10.050000000000001" customHeight="1" x14ac:dyDescent="0.3"/>
    <row r="43" ht="21.75" customHeight="1" x14ac:dyDescent="0.3"/>
    <row r="44" ht="39.75" customHeight="1" x14ac:dyDescent="0.3"/>
    <row r="45" ht="21.75" customHeight="1" x14ac:dyDescent="0.3"/>
    <row r="46" ht="15" customHeight="1" x14ac:dyDescent="0.3"/>
  </sheetData>
  <mergeCells count="42">
    <mergeCell ref="A15:B15"/>
    <mergeCell ref="C15:G15"/>
    <mergeCell ref="A16:B16"/>
    <mergeCell ref="C16:G16"/>
    <mergeCell ref="A17:B17"/>
    <mergeCell ref="C17:G17"/>
    <mergeCell ref="A29:B29"/>
    <mergeCell ref="C29:G29"/>
    <mergeCell ref="A21:B21"/>
    <mergeCell ref="C21:G21"/>
    <mergeCell ref="A22:B22"/>
    <mergeCell ref="C22:G22"/>
    <mergeCell ref="A23:B23"/>
    <mergeCell ref="C23:G23"/>
    <mergeCell ref="A24:B24"/>
    <mergeCell ref="C24:G24"/>
    <mergeCell ref="A25:B25"/>
    <mergeCell ref="C25:G25"/>
    <mergeCell ref="A26:B26"/>
    <mergeCell ref="C26:G26"/>
    <mergeCell ref="A27:B27"/>
    <mergeCell ref="C27:G27"/>
    <mergeCell ref="A30:B30"/>
    <mergeCell ref="C30:G30"/>
    <mergeCell ref="A31:B31"/>
    <mergeCell ref="C31:G31"/>
    <mergeCell ref="A32:B32"/>
    <mergeCell ref="C32:G32"/>
    <mergeCell ref="A1:G1"/>
    <mergeCell ref="A2:G2"/>
    <mergeCell ref="A4:G4"/>
    <mergeCell ref="A13:G13"/>
    <mergeCell ref="A14:B14"/>
    <mergeCell ref="C14:G14"/>
    <mergeCell ref="A28:B28"/>
    <mergeCell ref="C28:G28"/>
    <mergeCell ref="A18:B18"/>
    <mergeCell ref="C18:G18"/>
    <mergeCell ref="A19:B19"/>
    <mergeCell ref="C19:G19"/>
    <mergeCell ref="A20:B20"/>
    <mergeCell ref="C20:G20"/>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sheetPr>
  <dimension ref="A1:Z37"/>
  <sheetViews>
    <sheetView showGridLines="0" zoomScaleNormal="100" workbookViewId="0">
      <pane ySplit="3" topLeftCell="A4" activePane="bottomLeft" state="frozen"/>
      <selection pane="bottomLeft" activeCell="F15" sqref="F15"/>
    </sheetView>
  </sheetViews>
  <sheetFormatPr defaultColWidth="8.6640625" defaultRowHeight="14.4" x14ac:dyDescent="0.3"/>
  <cols>
    <col min="1" max="1" width="3" bestFit="1" customWidth="1"/>
    <col min="2" max="2" width="29.77734375" bestFit="1" customWidth="1"/>
    <col min="3" max="3" width="8.21875" bestFit="1" customWidth="1"/>
    <col min="4" max="4" width="7" bestFit="1" customWidth="1"/>
    <col min="5" max="5" width="5.88671875" bestFit="1" customWidth="1"/>
    <col min="6" max="6" width="6.44140625" bestFit="1" customWidth="1"/>
    <col min="7" max="7" width="40" customWidth="1"/>
  </cols>
  <sheetData>
    <row r="1" spans="1:26" ht="25.95" customHeight="1" x14ac:dyDescent="0.3">
      <c r="A1" s="1325" t="s">
        <v>668</v>
      </c>
      <c r="B1" s="1325"/>
      <c r="C1" s="1325"/>
      <c r="D1" s="1325"/>
      <c r="E1" s="1325"/>
      <c r="F1" s="1325"/>
    </row>
    <row r="2" spans="1:26" ht="7.95" customHeight="1" thickBot="1" x14ac:dyDescent="0.35">
      <c r="A2" s="2"/>
      <c r="B2" s="2"/>
      <c r="C2" s="2"/>
      <c r="D2" s="2"/>
      <c r="E2" s="2"/>
      <c r="F2" s="2"/>
    </row>
    <row r="3" spans="1:26" ht="22.05" customHeight="1" x14ac:dyDescent="0.3">
      <c r="A3" s="10" t="s">
        <v>173</v>
      </c>
      <c r="B3" s="11" t="s">
        <v>553</v>
      </c>
      <c r="C3" s="11" t="s">
        <v>288</v>
      </c>
      <c r="D3" s="11" t="s">
        <v>269</v>
      </c>
      <c r="E3" s="11" t="s">
        <v>0</v>
      </c>
      <c r="F3" s="12" t="s">
        <v>554</v>
      </c>
    </row>
    <row r="4" spans="1:26" s="2" customFormat="1" ht="18" customHeight="1" x14ac:dyDescent="0.3">
      <c r="A4" s="37">
        <v>1</v>
      </c>
      <c r="B4" s="39" t="str">
        <f>'Validation Engine'!B13</f>
        <v>FM row count = 34</v>
      </c>
      <c r="C4" s="39">
        <f>'Validation Engine'!C13</f>
        <v>34</v>
      </c>
      <c r="D4" s="39">
        <f>'Validation Engine'!D13</f>
        <v>34</v>
      </c>
      <c r="E4" s="39" t="str">
        <f>'Validation Engine'!E13</f>
        <v>PASS</v>
      </c>
      <c r="F4" s="289" t="str">
        <f>'Validation Engine'!G13</f>
        <v>FM</v>
      </c>
      <c r="G4"/>
      <c r="H4"/>
      <c r="I4"/>
      <c r="J4"/>
      <c r="K4"/>
      <c r="L4"/>
      <c r="M4"/>
      <c r="N4"/>
      <c r="O4"/>
      <c r="P4"/>
      <c r="Q4"/>
      <c r="R4"/>
      <c r="S4"/>
      <c r="T4"/>
      <c r="U4"/>
      <c r="V4"/>
      <c r="W4"/>
      <c r="X4"/>
      <c r="Y4"/>
      <c r="Z4"/>
    </row>
    <row r="5" spans="1:26" ht="18" customHeight="1" x14ac:dyDescent="0.3">
      <c r="A5" s="41">
        <v>2</v>
      </c>
      <c r="B5" s="43" t="str">
        <f>'Validation Engine'!B14</f>
        <v>Sub-limit count</v>
      </c>
      <c r="C5" s="43">
        <f>'Validation Engine'!C14</f>
        <v>11</v>
      </c>
      <c r="D5" s="43">
        <f>'Validation Engine'!D14</f>
        <v>11</v>
      </c>
      <c r="E5" s="43" t="str">
        <f>'Validation Engine'!E14</f>
        <v>PASS</v>
      </c>
      <c r="F5" s="289" t="str">
        <f>'Validation Engine'!G14</f>
        <v>FM</v>
      </c>
    </row>
    <row r="6" spans="1:26" ht="18" customHeight="1" x14ac:dyDescent="0.3">
      <c r="A6" s="37">
        <v>3</v>
      </c>
      <c r="B6" s="39" t="str">
        <f>'Validation Engine'!B15</f>
        <v>Bucket 1 (Debt) count</v>
      </c>
      <c r="C6" s="39">
        <f>'Validation Engine'!C15</f>
        <v>13</v>
      </c>
      <c r="D6" s="39">
        <f>'Validation Engine'!D15</f>
        <v>13</v>
      </c>
      <c r="E6" s="39" t="str">
        <f>'Validation Engine'!E15</f>
        <v>PASS</v>
      </c>
      <c r="F6" s="289" t="str">
        <f>'Validation Engine'!G15</f>
        <v>FM</v>
      </c>
    </row>
    <row r="7" spans="1:26" ht="18" customHeight="1" x14ac:dyDescent="0.3">
      <c r="A7" s="41">
        <v>4</v>
      </c>
      <c r="B7" s="43" t="str">
        <f>'Validation Engine'!B16</f>
        <v>Bucket 2 (NFB) count</v>
      </c>
      <c r="C7" s="43">
        <f>'Validation Engine'!C16</f>
        <v>7</v>
      </c>
      <c r="D7" s="43">
        <f>'Validation Engine'!D16</f>
        <v>7</v>
      </c>
      <c r="E7" s="43" t="str">
        <f>'Validation Engine'!E16</f>
        <v>PASS</v>
      </c>
      <c r="F7" s="289" t="str">
        <f>'Validation Engine'!G16</f>
        <v>FM</v>
      </c>
    </row>
    <row r="8" spans="1:26" ht="18" customHeight="1" x14ac:dyDescent="0.3">
      <c r="A8" s="37">
        <v>5</v>
      </c>
      <c r="B8" s="39" t="str">
        <f>'Validation Engine'!B17</f>
        <v>Bucket 3 (Separate) count</v>
      </c>
      <c r="C8" s="39">
        <f>'Validation Engine'!C17</f>
        <v>3</v>
      </c>
      <c r="D8" s="39">
        <f>'Validation Engine'!D17</f>
        <v>3</v>
      </c>
      <c r="E8" s="39" t="str">
        <f>'Validation Engine'!E17</f>
        <v>PASS</v>
      </c>
      <c r="F8" s="289" t="str">
        <f>'Validation Engine'!G17</f>
        <v>FM</v>
      </c>
    </row>
    <row r="9" spans="1:26" ht="18" customHeight="1" x14ac:dyDescent="0.3">
      <c r="A9" s="41">
        <v>6</v>
      </c>
      <c r="B9" s="43" t="str">
        <f>'Validation Engine'!B18</f>
        <v>All 5 lenders represented</v>
      </c>
      <c r="C9" s="43">
        <f>'Validation Engine'!C18</f>
        <v>5</v>
      </c>
      <c r="D9" s="43">
        <f>'Validation Engine'!D18</f>
        <v>5.0000000000000009</v>
      </c>
      <c r="E9" s="43" t="str">
        <f>'Validation Engine'!E18</f>
        <v>PASS</v>
      </c>
      <c r="F9" s="289" t="str">
        <f>'Validation Engine'!G18</f>
        <v>FM</v>
      </c>
    </row>
    <row r="10" spans="1:26" ht="18" customHeight="1" x14ac:dyDescent="0.3">
      <c r="A10" s="37">
        <v>7</v>
      </c>
      <c r="B10" s="39" t="str">
        <f>'Validation Engine'!B19</f>
        <v>No outstanding &gt; sanctioned</v>
      </c>
      <c r="C10" s="39">
        <f>'Validation Engine'!C19</f>
        <v>0</v>
      </c>
      <c r="D10" s="39">
        <f>'Validation Engine'!D19</f>
        <v>0</v>
      </c>
      <c r="E10" s="39" t="str">
        <f>'Validation Engine'!E19</f>
        <v>PASS</v>
      </c>
      <c r="F10" s="289" t="str">
        <f>'Validation Engine'!G19</f>
        <v>FM</v>
      </c>
    </row>
    <row r="11" spans="1:26" ht="18" customHeight="1" x14ac:dyDescent="0.3">
      <c r="A11" s="41">
        <v>8</v>
      </c>
      <c r="B11" s="43" t="str">
        <f>'Validation Engine'!B20</f>
        <v>No TL maturity &lt; drawdown</v>
      </c>
      <c r="C11" s="43">
        <f>'Validation Engine'!C20</f>
        <v>0</v>
      </c>
      <c r="D11" s="43">
        <f>'Validation Engine'!D20</f>
        <v>0</v>
      </c>
      <c r="E11" s="43" t="str">
        <f>'Validation Engine'!E20</f>
        <v>PASS</v>
      </c>
      <c r="F11" s="289" t="str">
        <f>'Validation Engine'!G20</f>
        <v>FM</v>
      </c>
    </row>
    <row r="12" spans="1:26" ht="18" customHeight="1" x14ac:dyDescent="0.3">
      <c r="A12" s="37">
        <v>9</v>
      </c>
      <c r="B12" s="39" t="str">
        <f>'Validation Engine'!B21</f>
        <v>Bucket 1 Debt Total = 1,317.7</v>
      </c>
      <c r="C12" s="39">
        <f>'Validation Engine'!C21</f>
        <v>1317.7</v>
      </c>
      <c r="D12" s="39">
        <f>'Validation Engine'!D21</f>
        <v>1317.7</v>
      </c>
      <c r="E12" s="39" t="str">
        <f>'Validation Engine'!E21</f>
        <v>PASS</v>
      </c>
      <c r="F12" s="290" t="str">
        <f>'Validation Engine'!G21</f>
        <v>Bucket</v>
      </c>
    </row>
    <row r="13" spans="1:26" ht="18" customHeight="1" x14ac:dyDescent="0.3">
      <c r="A13" s="41">
        <v>10</v>
      </c>
      <c r="B13" s="43" t="str">
        <f>'Validation Engine'!B22</f>
        <v>Bucket 1 TL Total = 670.7</v>
      </c>
      <c r="C13" s="43">
        <f>'Validation Engine'!C22</f>
        <v>670.7</v>
      </c>
      <c r="D13" s="43">
        <f>'Validation Engine'!D22</f>
        <v>670.7</v>
      </c>
      <c r="E13" s="43" t="str">
        <f>'Validation Engine'!E22</f>
        <v>PASS</v>
      </c>
      <c r="F13" s="290" t="str">
        <f>'Validation Engine'!G22</f>
        <v>Bucket</v>
      </c>
    </row>
    <row r="14" spans="1:26" ht="18" customHeight="1" x14ac:dyDescent="0.3">
      <c r="A14" s="37">
        <v>11</v>
      </c>
      <c r="B14" s="39" t="str">
        <f>'Validation Engine'!B23</f>
        <v>Bucket 1 WC FB = 647.0</v>
      </c>
      <c r="C14" s="39">
        <f>'Validation Engine'!C23</f>
        <v>647</v>
      </c>
      <c r="D14" s="39">
        <f>'Validation Engine'!D23</f>
        <v>647</v>
      </c>
      <c r="E14" s="39" t="str">
        <f>'Validation Engine'!E23</f>
        <v>PASS</v>
      </c>
      <c r="F14" s="290" t="str">
        <f>'Validation Engine'!G23</f>
        <v>Bucket</v>
      </c>
    </row>
    <row r="15" spans="1:26" ht="18" customHeight="1" x14ac:dyDescent="0.3">
      <c r="A15" s="41">
        <v>12</v>
      </c>
      <c r="B15" s="43" t="str">
        <f>'Validation Engine'!B24</f>
        <v>Bucket 2 NFB Total = 865</v>
      </c>
      <c r="C15" s="43">
        <f>'Validation Engine'!C24</f>
        <v>865</v>
      </c>
      <c r="D15" s="43">
        <f>'Validation Engine'!D24</f>
        <v>865</v>
      </c>
      <c r="E15" s="43" t="str">
        <f>'Validation Engine'!E24</f>
        <v>PASS</v>
      </c>
      <c r="F15" s="290" t="str">
        <f>'Validation Engine'!G24</f>
        <v>Bucket</v>
      </c>
    </row>
    <row r="16" spans="1:26" ht="18" customHeight="1" x14ac:dyDescent="0.3">
      <c r="A16" s="37">
        <v>13</v>
      </c>
      <c r="B16" s="39" t="str">
        <f>'Validation Engine'!B25</f>
        <v>Bucket 3 Separate = 123</v>
      </c>
      <c r="C16" s="39">
        <f>'Validation Engine'!C25</f>
        <v>123</v>
      </c>
      <c r="D16" s="39">
        <f>'Validation Engine'!D25</f>
        <v>123</v>
      </c>
      <c r="E16" s="39" t="str">
        <f>'Validation Engine'!E25</f>
        <v>PASS</v>
      </c>
      <c r="F16" s="290" t="str">
        <f>'Validation Engine'!G25</f>
        <v>Bucket</v>
      </c>
    </row>
    <row r="17" spans="1:6" ht="18" customHeight="1" x14ac:dyDescent="0.3">
      <c r="A17" s="41">
        <v>14</v>
      </c>
      <c r="B17" s="43" t="str">
        <f>'Validation Engine'!B26</f>
        <v>WC FB outstanding ≤ cap-basis sanctioned</v>
      </c>
      <c r="C17" s="43" t="b">
        <f>'Validation Engine'!C26</f>
        <v>1</v>
      </c>
      <c r="D17" s="43" t="b">
        <f>'Validation Engine'!D26</f>
        <v>1</v>
      </c>
      <c r="E17" s="43" t="str">
        <f>'Validation Engine'!E26</f>
        <v>PASS</v>
      </c>
      <c r="F17" s="290" t="str">
        <f>'Validation Engine'!G26</f>
        <v>Bucket</v>
      </c>
    </row>
    <row r="18" spans="1:6" ht="18" customHeight="1" x14ac:dyDescent="0.3">
      <c r="A18" s="37">
        <v>15</v>
      </c>
      <c r="B18" s="39" t="str">
        <f>'Validation Engine'!B27</f>
        <v>Each cap group: Bucket=1 outstanding ≤ Group Cap</v>
      </c>
      <c r="C18" s="39">
        <f>'Validation Engine'!C27</f>
        <v>0</v>
      </c>
      <c r="D18" s="39">
        <f>'Validation Engine'!D27</f>
        <v>0</v>
      </c>
      <c r="E18" s="39" t="str">
        <f>'Validation Engine'!E27</f>
        <v>PASS</v>
      </c>
      <c r="F18" s="291" t="str">
        <f>'Validation Engine'!G27</f>
        <v>TL</v>
      </c>
    </row>
    <row r="19" spans="1:6" ht="18" customHeight="1" x14ac:dyDescent="0.3">
      <c r="A19" s="41">
        <v>16</v>
      </c>
      <c r="B19" s="43" t="str">
        <f>'Validation Engine'!B28</f>
        <v>YBL TL principal value</v>
      </c>
      <c r="C19" s="43">
        <f>'Validation Engine'!C28</f>
        <v>320.7</v>
      </c>
      <c r="D19" s="43">
        <f>'Validation Engine'!D28</f>
        <v>320.7</v>
      </c>
      <c r="E19" s="43" t="str">
        <f>'Validation Engine'!E28</f>
        <v>PASS</v>
      </c>
      <c r="F19" s="291" t="str">
        <f>'Validation Engine'!G28</f>
        <v>TL</v>
      </c>
    </row>
    <row r="20" spans="1:6" ht="18" customHeight="1" x14ac:dyDescent="0.3">
      <c r="A20" s="37">
        <v>17</v>
      </c>
      <c r="B20" s="39" t="str">
        <f>'Validation Engine'!B29</f>
        <v>Bajaj TL principal value</v>
      </c>
      <c r="C20" s="39">
        <f>'Validation Engine'!C29</f>
        <v>150</v>
      </c>
      <c r="D20" s="39">
        <f>'Validation Engine'!D29</f>
        <v>150</v>
      </c>
      <c r="E20" s="39" t="str">
        <f>'Validation Engine'!E29</f>
        <v>PASS</v>
      </c>
      <c r="F20" s="291" t="str">
        <f>'Validation Engine'!G29</f>
        <v>TL</v>
      </c>
    </row>
    <row r="21" spans="1:6" ht="18" customHeight="1" x14ac:dyDescent="0.3">
      <c r="A21" s="41">
        <v>18</v>
      </c>
      <c r="B21" s="43" t="str">
        <f>'Validation Engine'!B30</f>
        <v>Schedule sanctioned sum</v>
      </c>
      <c r="C21" s="43">
        <f>'Validation Engine'!C30</f>
        <v>670.7</v>
      </c>
      <c r="D21" s="43">
        <f>'Validation Engine'!D30</f>
        <v>670.7</v>
      </c>
      <c r="E21" s="43" t="str">
        <f>'Validation Engine'!E30</f>
        <v>PASS</v>
      </c>
      <c r="F21" s="291" t="str">
        <f>'Validation Engine'!G30</f>
        <v>TL</v>
      </c>
    </row>
    <row r="22" spans="1:6" ht="18" customHeight="1" x14ac:dyDescent="0.3">
      <c r="A22" s="37">
        <v>19</v>
      </c>
      <c r="B22" s="39" t="str">
        <f>'Validation Engine'!B31</f>
        <v>Covenant count = 24</v>
      </c>
      <c r="C22" s="39">
        <f>'Validation Engine'!C31</f>
        <v>24</v>
      </c>
      <c r="D22" s="39">
        <f>'Validation Engine'!D31</f>
        <v>24</v>
      </c>
      <c r="E22" s="39" t="str">
        <f>'Validation Engine'!E31</f>
        <v>PASS</v>
      </c>
      <c r="F22" s="292" t="str">
        <f>'Validation Engine'!G31</f>
        <v>Cov</v>
      </c>
    </row>
    <row r="23" spans="1:6" ht="18" customHeight="1" x14ac:dyDescent="0.3">
      <c r="A23" s="41">
        <v>20</v>
      </c>
      <c r="B23" s="43" t="str">
        <f>'Validation Engine'!B32</f>
        <v>EBITDA populated</v>
      </c>
      <c r="C23" s="43">
        <f>'Validation Engine'!C32</f>
        <v>1</v>
      </c>
      <c r="D23" s="43">
        <f>'Validation Engine'!D32</f>
        <v>1</v>
      </c>
      <c r="E23" s="43" t="str">
        <f>'Validation Engine'!E32</f>
        <v>PASS</v>
      </c>
      <c r="F23" s="293" t="str">
        <f>'Validation Engine'!G32</f>
        <v>Inputs</v>
      </c>
    </row>
    <row r="24" spans="1:6" ht="18" customHeight="1" x14ac:dyDescent="0.3">
      <c r="A24" s="37">
        <v>21</v>
      </c>
      <c r="B24" s="39" t="str">
        <f>'Validation Engine'!B33</f>
        <v>TotalDebt populated</v>
      </c>
      <c r="C24" s="39">
        <f>'Validation Engine'!C33</f>
        <v>1</v>
      </c>
      <c r="D24" s="39">
        <f>'Validation Engine'!D33</f>
        <v>1</v>
      </c>
      <c r="E24" s="39" t="str">
        <f>'Validation Engine'!E33</f>
        <v>PASS</v>
      </c>
      <c r="F24" s="293" t="str">
        <f>'Validation Engine'!G33</f>
        <v>Inputs</v>
      </c>
    </row>
    <row r="25" spans="1:6" ht="18" customHeight="1" x14ac:dyDescent="0.3">
      <c r="A25" s="41">
        <v>22</v>
      </c>
      <c r="B25" s="43" t="str">
        <f>'Validation Engine'!B34</f>
        <v>TNW populated</v>
      </c>
      <c r="C25" s="43">
        <f>'Validation Engine'!C34</f>
        <v>1</v>
      </c>
      <c r="D25" s="43">
        <f>'Validation Engine'!D34</f>
        <v>1</v>
      </c>
      <c r="E25" s="43" t="str">
        <f>'Validation Engine'!E34</f>
        <v>PASS</v>
      </c>
      <c r="F25" s="293" t="str">
        <f>'Validation Engine'!G34</f>
        <v>Inputs</v>
      </c>
    </row>
    <row r="26" spans="1:6" ht="18" customHeight="1" x14ac:dyDescent="0.3">
      <c r="A26" s="37">
        <v>23</v>
      </c>
      <c r="B26" s="39" t="str">
        <f>'Validation Engine'!B35</f>
        <v>AsOfDate set</v>
      </c>
      <c r="C26" s="39">
        <f>'Validation Engine'!C35</f>
        <v>1</v>
      </c>
      <c r="D26" s="39">
        <f>'Validation Engine'!D35</f>
        <v>1</v>
      </c>
      <c r="E26" s="39" t="str">
        <f>'Validation Engine'!E35</f>
        <v>PASS</v>
      </c>
      <c r="F26" s="293" t="str">
        <f>'Validation Engine'!G35</f>
        <v>Inputs</v>
      </c>
    </row>
    <row r="27" spans="1:6" ht="18" customHeight="1" x14ac:dyDescent="0.3">
      <c r="A27" s="41">
        <v>24</v>
      </c>
      <c r="B27" s="43" t="str">
        <f>'Validation Engine'!B36</f>
        <v>FX rate positive</v>
      </c>
      <c r="C27" s="43">
        <f>'Validation Engine'!C36</f>
        <v>1</v>
      </c>
      <c r="D27" s="43">
        <f>'Validation Engine'!D36</f>
        <v>1</v>
      </c>
      <c r="E27" s="43" t="str">
        <f>'Validation Engine'!E36</f>
        <v>PASS</v>
      </c>
      <c r="F27" s="293" t="str">
        <f>'Validation Engine'!G36</f>
        <v>Inputs</v>
      </c>
    </row>
    <row r="28" spans="1:6" ht="18" customHeight="1" x14ac:dyDescent="0.3">
      <c r="A28" s="37">
        <v>25</v>
      </c>
      <c r="B28" s="39" t="str">
        <f>'Validation Engine'!B37</f>
        <v>DaysInYear &gt; 0</v>
      </c>
      <c r="C28" s="39">
        <f>'Validation Engine'!C37</f>
        <v>1</v>
      </c>
      <c r="D28" s="39">
        <f>'Validation Engine'!D37</f>
        <v>1</v>
      </c>
      <c r="E28" s="39" t="str">
        <f>'Validation Engine'!E37</f>
        <v>PASS</v>
      </c>
      <c r="F28" s="293" t="str">
        <f>'Validation Engine'!G37</f>
        <v>Inputs</v>
      </c>
    </row>
    <row r="29" spans="1:6" ht="18" customHeight="1" x14ac:dyDescent="0.3">
      <c r="A29" s="41">
        <v>26</v>
      </c>
      <c r="B29" s="43" t="str">
        <f>'Validation Engine'!B38</f>
        <v>All facilities have bucket assignment</v>
      </c>
      <c r="C29" s="43">
        <f>'Validation Engine'!C38</f>
        <v>0</v>
      </c>
      <c r="D29" s="43">
        <f>'Validation Engine'!D38</f>
        <v>0</v>
      </c>
      <c r="E29" s="43" t="str">
        <f>'Validation Engine'!E38</f>
        <v>PASS</v>
      </c>
      <c r="F29" s="294" t="str">
        <f>'Validation Engine'!G38</f>
        <v>Arch</v>
      </c>
    </row>
    <row r="30" spans="1:6" ht="18" customHeight="1" x14ac:dyDescent="0.3">
      <c r="A30" s="37">
        <v>27</v>
      </c>
      <c r="B30" s="39" t="str">
        <f>'Validation Engine'!B39</f>
        <v>SubLimit + Bucket1+2+3 = 34</v>
      </c>
      <c r="C30" s="39">
        <f>'Validation Engine'!C39</f>
        <v>34</v>
      </c>
      <c r="D30" s="39">
        <f>'Validation Engine'!D39</f>
        <v>34</v>
      </c>
      <c r="E30" s="39" t="str">
        <f>'Validation Engine'!E39</f>
        <v>PASS</v>
      </c>
      <c r="F30" s="294" t="str">
        <f>'Validation Engine'!G39</f>
        <v>Arch</v>
      </c>
    </row>
    <row r="31" spans="1:6" ht="18" customHeight="1" x14ac:dyDescent="0.3">
      <c r="A31" s="41">
        <v>28</v>
      </c>
      <c r="B31" s="43" t="str">
        <f>'Validation Engine'!B40</f>
        <v>No facility both bucket and sub-limit</v>
      </c>
      <c r="C31" s="43">
        <f>'Validation Engine'!C40</f>
        <v>0</v>
      </c>
      <c r="D31" s="43">
        <f>'Validation Engine'!D40</f>
        <v>0</v>
      </c>
      <c r="E31" s="43" t="str">
        <f>'Validation Engine'!E40</f>
        <v>PASS</v>
      </c>
      <c r="F31" s="294" t="str">
        <f>'Validation Engine'!G40</f>
        <v>Arch</v>
      </c>
    </row>
    <row r="32" spans="1:6" ht="18" customHeight="1" x14ac:dyDescent="0.3">
      <c r="A32" s="37">
        <v>29</v>
      </c>
      <c r="B32" s="39" t="str">
        <f>'Validation Engine'!B41</f>
        <v>RBL INR WC face values sum</v>
      </c>
      <c r="C32" s="39">
        <f>'Validation Engine'!C41</f>
        <v>400</v>
      </c>
      <c r="D32" s="39">
        <f>'Validation Engine'!D41</f>
        <v>400</v>
      </c>
      <c r="E32" s="39" t="str">
        <f>'Validation Engine'!E41</f>
        <v>PASS</v>
      </c>
      <c r="F32" s="295" t="str">
        <f>'Validation Engine'!G41</f>
        <v>Caps</v>
      </c>
    </row>
    <row r="33" spans="1:6" ht="18" customHeight="1" x14ac:dyDescent="0.3">
      <c r="A33" s="41">
        <v>30</v>
      </c>
      <c r="B33" s="43" t="str">
        <f>'Validation Engine'!B42</f>
        <v>ICICI FB face values</v>
      </c>
      <c r="C33" s="43">
        <f>'Validation Engine'!C42</f>
        <v>100</v>
      </c>
      <c r="D33" s="43">
        <f>'Validation Engine'!D42</f>
        <v>100</v>
      </c>
      <c r="E33" s="43" t="str">
        <f>'Validation Engine'!E42</f>
        <v>PASS</v>
      </c>
      <c r="F33" s="295" t="str">
        <f>'Validation Engine'!G42</f>
        <v>Caps</v>
      </c>
    </row>
    <row r="34" spans="1:6" ht="18" customHeight="1" x14ac:dyDescent="0.3">
      <c r="A34" s="37"/>
      <c r="B34" s="39"/>
      <c r="C34" s="39"/>
      <c r="D34" s="39"/>
      <c r="E34" s="39"/>
      <c r="F34" s="40"/>
    </row>
    <row r="35" spans="1:6" ht="18" customHeight="1" x14ac:dyDescent="0.3">
      <c r="A35" s="1397" t="str">
        <f>IF(COUNTIF(E4:E33,"FAIL")=0,"✓ ALL CHECKS PASSED","⚠ "&amp;COUNTIF(E4:E33,"FAIL")&amp;" CHECK(S) REQUIRE ATTENTION")</f>
        <v>✓ ALL CHECKS PASSED</v>
      </c>
      <c r="B35" s="1398"/>
      <c r="C35" s="1398"/>
      <c r="D35" s="1398"/>
      <c r="E35" s="1398"/>
      <c r="F35" s="1399"/>
    </row>
    <row r="36" spans="1:6" ht="18" customHeight="1" x14ac:dyDescent="0.3">
      <c r="A36" s="37"/>
      <c r="B36" s="39"/>
      <c r="C36" s="39"/>
      <c r="D36" s="39"/>
      <c r="E36" s="39"/>
      <c r="F36" s="40"/>
    </row>
    <row r="37" spans="1:6" ht="18" customHeight="1" thickBot="1" x14ac:dyDescent="0.35">
      <c r="A37" s="1400" t="s">
        <v>669</v>
      </c>
      <c r="B37" s="1401"/>
      <c r="C37" s="1401"/>
      <c r="D37" s="1401"/>
      <c r="E37" s="1401"/>
      <c r="F37" s="1402"/>
    </row>
  </sheetData>
  <mergeCells count="3">
    <mergeCell ref="A1:F1"/>
    <mergeCell ref="A35:F35"/>
    <mergeCell ref="A37:F37"/>
  </mergeCells>
  <conditionalFormatting sqref="A35">
    <cfRule type="containsText" dxfId="6" priority="5" operator="containsText" text="ATTENTION">
      <formula>NOT(ISERROR(SEARCH("ATTENTION",A35)))</formula>
    </cfRule>
  </conditionalFormatting>
  <conditionalFormatting sqref="E4:E33">
    <cfRule type="cellIs" dxfId="5" priority="1" operator="equal">
      <formula>"PASS"</formula>
    </cfRule>
    <cfRule type="cellIs" dxfId="4" priority="2" operator="equal">
      <formula>"FAIL"</formula>
    </cfRule>
    <cfRule type="containsText" dxfId="3" priority="3" operator="containsText" text="PASS">
      <formula>NOT(ISERROR(SEARCH("PASS",E4)))</formula>
    </cfRule>
    <cfRule type="containsText" dxfId="2" priority="4" operator="containsText" text="FAIL">
      <formula>NOT(ISERROR(SEARCH("FAIL",E4)))</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595959"/>
  </sheetPr>
  <dimension ref="A1:F106"/>
  <sheetViews>
    <sheetView showGridLines="0" zoomScaleNormal="100" workbookViewId="0">
      <selection activeCell="L10" sqref="L10"/>
    </sheetView>
  </sheetViews>
  <sheetFormatPr defaultColWidth="8.6640625" defaultRowHeight="14.4" x14ac:dyDescent="0.3"/>
  <cols>
    <col min="1" max="1" width="103.6640625" customWidth="1"/>
    <col min="2" max="6" width="1.88671875" customWidth="1"/>
  </cols>
  <sheetData>
    <row r="1" spans="1:6" ht="30" customHeight="1" thickBot="1" x14ac:dyDescent="0.35">
      <c r="A1" s="1421" t="s">
        <v>695</v>
      </c>
      <c r="B1" s="1420"/>
      <c r="C1" s="1420"/>
      <c r="D1" s="1420"/>
      <c r="E1" s="1420"/>
      <c r="F1" s="1422"/>
    </row>
    <row r="2" spans="1:6" ht="4.05" customHeight="1" x14ac:dyDescent="0.3">
      <c r="A2" s="1423"/>
      <c r="B2" s="1424"/>
      <c r="C2" s="1424"/>
      <c r="D2" s="1424"/>
      <c r="E2" s="1424"/>
      <c r="F2" s="1425"/>
    </row>
    <row r="3" spans="1:6" ht="22.05" customHeight="1" x14ac:dyDescent="0.3">
      <c r="A3" s="1426" t="s">
        <v>696</v>
      </c>
      <c r="B3" s="1403"/>
      <c r="C3" s="1403"/>
      <c r="D3" s="1403"/>
      <c r="E3" s="1403"/>
      <c r="F3" s="1427"/>
    </row>
    <row r="4" spans="1:6" ht="44.4" customHeight="1" x14ac:dyDescent="0.3">
      <c r="A4" s="1428" t="s">
        <v>697</v>
      </c>
      <c r="B4" s="1429"/>
      <c r="C4" s="1429"/>
      <c r="D4" s="1429"/>
      <c r="E4" s="1429"/>
      <c r="F4" s="1430"/>
    </row>
    <row r="5" spans="1:6" ht="6" customHeight="1" x14ac:dyDescent="0.3">
      <c r="A5" s="1431"/>
      <c r="B5" s="652"/>
      <c r="C5" s="652"/>
      <c r="D5" s="652"/>
      <c r="E5" s="652"/>
      <c r="F5" s="1432"/>
    </row>
    <row r="6" spans="1:6" ht="22.05" customHeight="1" x14ac:dyDescent="0.3">
      <c r="A6" s="1433" t="s">
        <v>698</v>
      </c>
      <c r="B6" s="1434"/>
      <c r="C6" s="1434"/>
      <c r="D6" s="1434"/>
      <c r="E6" s="1434"/>
      <c r="F6" s="1435"/>
    </row>
    <row r="7" spans="1:6" ht="51" customHeight="1" x14ac:dyDescent="0.3">
      <c r="A7" s="1436" t="s">
        <v>699</v>
      </c>
      <c r="B7" s="1437"/>
      <c r="C7" s="1437"/>
      <c r="D7" s="1437"/>
      <c r="E7" s="1437"/>
      <c r="F7" s="1438"/>
    </row>
    <row r="8" spans="1:6" ht="6" customHeight="1" x14ac:dyDescent="0.3">
      <c r="A8" s="1431"/>
      <c r="B8" s="652"/>
      <c r="C8" s="652"/>
      <c r="D8" s="652"/>
      <c r="E8" s="652"/>
      <c r="F8" s="1432"/>
    </row>
    <row r="9" spans="1:6" ht="22.05" customHeight="1" x14ac:dyDescent="0.3">
      <c r="A9" s="1433" t="s">
        <v>700</v>
      </c>
      <c r="B9" s="1434"/>
      <c r="C9" s="1434"/>
      <c r="D9" s="1434"/>
      <c r="E9" s="1434"/>
      <c r="F9" s="1435"/>
    </row>
    <row r="10" spans="1:6" ht="71.400000000000006" customHeight="1" x14ac:dyDescent="0.3">
      <c r="A10" s="1428" t="s">
        <v>701</v>
      </c>
      <c r="B10" s="1429"/>
      <c r="C10" s="1429"/>
      <c r="D10" s="1429"/>
      <c r="E10" s="1429"/>
      <c r="F10" s="1430"/>
    </row>
    <row r="11" spans="1:6" ht="22.05" customHeight="1" x14ac:dyDescent="0.3">
      <c r="A11" s="1439" t="s">
        <v>702</v>
      </c>
      <c r="B11" s="1440"/>
      <c r="C11" s="1440"/>
      <c r="D11" s="1440"/>
      <c r="E11" s="1440"/>
      <c r="F11" s="1441"/>
    </row>
    <row r="12" spans="1:6" ht="73.8" customHeight="1" x14ac:dyDescent="0.3">
      <c r="A12" s="1436" t="s">
        <v>703</v>
      </c>
      <c r="B12" s="1437"/>
      <c r="C12" s="1437"/>
      <c r="D12" s="1437"/>
      <c r="E12" s="1437"/>
      <c r="F12" s="1438"/>
    </row>
    <row r="13" spans="1:6" ht="22.05" customHeight="1" x14ac:dyDescent="0.3">
      <c r="A13" s="1439" t="s">
        <v>704</v>
      </c>
      <c r="B13" s="1440"/>
      <c r="C13" s="1440"/>
      <c r="D13" s="1440"/>
      <c r="E13" s="1440"/>
      <c r="F13" s="1441"/>
    </row>
    <row r="14" spans="1:6" ht="33.6" customHeight="1" x14ac:dyDescent="0.3">
      <c r="A14" s="1428" t="s">
        <v>705</v>
      </c>
      <c r="B14" s="1429"/>
      <c r="C14" s="1429"/>
      <c r="D14" s="1429"/>
      <c r="E14" s="1429"/>
      <c r="F14" s="1430"/>
    </row>
    <row r="15" spans="1:6" ht="22.05" customHeight="1" x14ac:dyDescent="0.3">
      <c r="A15" s="1439" t="s">
        <v>706</v>
      </c>
      <c r="B15" s="1440"/>
      <c r="C15" s="1440"/>
      <c r="D15" s="1440"/>
      <c r="E15" s="1440"/>
      <c r="F15" s="1441"/>
    </row>
    <row r="16" spans="1:6" ht="81.599999999999994" customHeight="1" x14ac:dyDescent="0.3">
      <c r="A16" s="1436" t="s">
        <v>778</v>
      </c>
      <c r="B16" s="1437"/>
      <c r="C16" s="1437"/>
      <c r="D16" s="1437"/>
      <c r="E16" s="1437"/>
      <c r="F16" s="1438"/>
    </row>
    <row r="17" spans="1:6" ht="22.05" customHeight="1" x14ac:dyDescent="0.3">
      <c r="A17" s="1439" t="s">
        <v>707</v>
      </c>
      <c r="B17" s="1440"/>
      <c r="C17" s="1440"/>
      <c r="D17" s="1440"/>
      <c r="E17" s="1440"/>
      <c r="F17" s="1441"/>
    </row>
    <row r="18" spans="1:6" ht="48" customHeight="1" x14ac:dyDescent="0.3">
      <c r="A18" s="1428" t="s">
        <v>708</v>
      </c>
      <c r="B18" s="1429"/>
      <c r="C18" s="1429"/>
      <c r="D18" s="1429"/>
      <c r="E18" s="1429"/>
      <c r="F18" s="1430"/>
    </row>
    <row r="19" spans="1:6" ht="22.05" customHeight="1" x14ac:dyDescent="0.3">
      <c r="A19" s="1439" t="s">
        <v>709</v>
      </c>
      <c r="B19" s="1440"/>
      <c r="C19" s="1440"/>
      <c r="D19" s="1440"/>
      <c r="E19" s="1440"/>
      <c r="F19" s="1441"/>
    </row>
    <row r="20" spans="1:6" ht="82.8" customHeight="1" x14ac:dyDescent="0.3">
      <c r="A20" s="1436" t="s">
        <v>710</v>
      </c>
      <c r="B20" s="1437"/>
      <c r="C20" s="1437"/>
      <c r="D20" s="1437"/>
      <c r="E20" s="1437"/>
      <c r="F20" s="1438"/>
    </row>
    <row r="21" spans="1:6" ht="22.05" customHeight="1" x14ac:dyDescent="0.3">
      <c r="A21" s="1439" t="s">
        <v>711</v>
      </c>
      <c r="B21" s="1440"/>
      <c r="C21" s="1440"/>
      <c r="D21" s="1440"/>
      <c r="E21" s="1440"/>
      <c r="F21" s="1441"/>
    </row>
    <row r="22" spans="1:6" ht="57.6" customHeight="1" x14ac:dyDescent="0.3">
      <c r="A22" s="1428" t="s">
        <v>712</v>
      </c>
      <c r="B22" s="1429"/>
      <c r="C22" s="1429"/>
      <c r="D22" s="1429"/>
      <c r="E22" s="1429"/>
      <c r="F22" s="1430"/>
    </row>
    <row r="23" spans="1:6" ht="22.05" customHeight="1" x14ac:dyDescent="0.3">
      <c r="A23" s="1439" t="s">
        <v>713</v>
      </c>
      <c r="B23" s="1440"/>
      <c r="C23" s="1440"/>
      <c r="D23" s="1440"/>
      <c r="E23" s="1440"/>
      <c r="F23" s="1441"/>
    </row>
    <row r="24" spans="1:6" ht="44.4" customHeight="1" x14ac:dyDescent="0.3">
      <c r="A24" s="1436" t="s">
        <v>714</v>
      </c>
      <c r="B24" s="1437"/>
      <c r="C24" s="1437"/>
      <c r="D24" s="1437"/>
      <c r="E24" s="1437"/>
      <c r="F24" s="1438"/>
    </row>
    <row r="25" spans="1:6" ht="6" customHeight="1" x14ac:dyDescent="0.3">
      <c r="A25" s="1431"/>
      <c r="B25" s="652"/>
      <c r="C25" s="652"/>
      <c r="D25" s="652"/>
      <c r="E25" s="652"/>
      <c r="F25" s="1432"/>
    </row>
    <row r="26" spans="1:6" ht="22.05" customHeight="1" x14ac:dyDescent="0.3">
      <c r="A26" s="1433" t="s">
        <v>715</v>
      </c>
      <c r="B26" s="1434"/>
      <c r="C26" s="1434"/>
      <c r="D26" s="1434"/>
      <c r="E26" s="1434"/>
      <c r="F26" s="1435"/>
    </row>
    <row r="27" spans="1:6" ht="61.8" customHeight="1" x14ac:dyDescent="0.3">
      <c r="A27" s="1428" t="s">
        <v>716</v>
      </c>
      <c r="B27" s="1429"/>
      <c r="C27" s="1429"/>
      <c r="D27" s="1429"/>
      <c r="E27" s="1429"/>
      <c r="F27" s="1430"/>
    </row>
    <row r="28" spans="1:6" ht="6" customHeight="1" x14ac:dyDescent="0.3">
      <c r="A28" s="1431"/>
      <c r="B28" s="652"/>
      <c r="C28" s="652"/>
      <c r="D28" s="652"/>
      <c r="E28" s="652"/>
      <c r="F28" s="1432"/>
    </row>
    <row r="29" spans="1:6" ht="22.05" customHeight="1" x14ac:dyDescent="0.3">
      <c r="A29" s="1433" t="s">
        <v>717</v>
      </c>
      <c r="B29" s="1434"/>
      <c r="C29" s="1434"/>
      <c r="D29" s="1434"/>
      <c r="E29" s="1434"/>
      <c r="F29" s="1435"/>
    </row>
    <row r="30" spans="1:6" ht="45" customHeight="1" x14ac:dyDescent="0.3">
      <c r="A30" s="1436" t="s">
        <v>718</v>
      </c>
      <c r="B30" s="1437"/>
      <c r="C30" s="1437"/>
      <c r="D30" s="1437"/>
      <c r="E30" s="1437"/>
      <c r="F30" s="1438"/>
    </row>
    <row r="31" spans="1:6" ht="6" customHeight="1" x14ac:dyDescent="0.3">
      <c r="A31" s="1431"/>
      <c r="B31" s="652"/>
      <c r="C31" s="652"/>
      <c r="D31" s="652"/>
      <c r="E31" s="652"/>
      <c r="F31" s="1432"/>
    </row>
    <row r="32" spans="1:6" ht="22.05" customHeight="1" x14ac:dyDescent="0.3">
      <c r="A32" s="1433" t="s">
        <v>719</v>
      </c>
      <c r="B32" s="1434"/>
      <c r="C32" s="1434"/>
      <c r="D32" s="1434"/>
      <c r="E32" s="1434"/>
      <c r="F32" s="1435"/>
    </row>
    <row r="33" spans="1:6" ht="46.8" customHeight="1" x14ac:dyDescent="0.3">
      <c r="A33" s="1428" t="s">
        <v>720</v>
      </c>
      <c r="B33" s="1429"/>
      <c r="C33" s="1429"/>
      <c r="D33" s="1429"/>
      <c r="E33" s="1429"/>
      <c r="F33" s="1430"/>
    </row>
    <row r="34" spans="1:6" ht="6" customHeight="1" x14ac:dyDescent="0.3">
      <c r="A34" s="1431"/>
      <c r="B34" s="652"/>
      <c r="C34" s="652"/>
      <c r="D34" s="652"/>
      <c r="E34" s="652"/>
      <c r="F34" s="1432"/>
    </row>
    <row r="35" spans="1:6" ht="22.05" customHeight="1" x14ac:dyDescent="0.3">
      <c r="A35" s="1433" t="s">
        <v>721</v>
      </c>
      <c r="B35" s="1434"/>
      <c r="C35" s="1434"/>
      <c r="D35" s="1434"/>
      <c r="E35" s="1434"/>
      <c r="F35" s="1435"/>
    </row>
    <row r="36" spans="1:6" ht="45.6" customHeight="1" x14ac:dyDescent="0.3">
      <c r="A36" s="1436" t="s">
        <v>722</v>
      </c>
      <c r="B36" s="1437"/>
      <c r="C36" s="1437"/>
      <c r="D36" s="1437"/>
      <c r="E36" s="1437"/>
      <c r="F36" s="1438"/>
    </row>
    <row r="37" spans="1:6" ht="6" customHeight="1" x14ac:dyDescent="0.3">
      <c r="A37" s="1431"/>
      <c r="B37" s="652"/>
      <c r="C37" s="652"/>
      <c r="D37" s="652"/>
      <c r="E37" s="652"/>
      <c r="F37" s="1432"/>
    </row>
    <row r="38" spans="1:6" ht="22.05" customHeight="1" x14ac:dyDescent="0.3">
      <c r="A38" s="1433" t="s">
        <v>723</v>
      </c>
      <c r="B38" s="1434"/>
      <c r="C38" s="1434"/>
      <c r="D38" s="1434"/>
      <c r="E38" s="1434"/>
      <c r="F38" s="1435"/>
    </row>
    <row r="39" spans="1:6" ht="60" customHeight="1" x14ac:dyDescent="0.3">
      <c r="A39" s="1428" t="s">
        <v>724</v>
      </c>
      <c r="B39" s="1429"/>
      <c r="C39" s="1429"/>
      <c r="D39" s="1429"/>
      <c r="E39" s="1429"/>
      <c r="F39" s="1430"/>
    </row>
    <row r="40" spans="1:6" ht="6" customHeight="1" x14ac:dyDescent="0.3">
      <c r="A40" s="1431"/>
      <c r="B40" s="652"/>
      <c r="C40" s="652"/>
      <c r="D40" s="652"/>
      <c r="E40" s="652"/>
      <c r="F40" s="1432"/>
    </row>
    <row r="41" spans="1:6" ht="22.05" customHeight="1" x14ac:dyDescent="0.3">
      <c r="A41" s="1433" t="s">
        <v>725</v>
      </c>
      <c r="B41" s="1434"/>
      <c r="C41" s="1434"/>
      <c r="D41" s="1434"/>
      <c r="E41" s="1434"/>
      <c r="F41" s="1435"/>
    </row>
    <row r="42" spans="1:6" ht="37.799999999999997" customHeight="1" x14ac:dyDescent="0.3">
      <c r="A42" s="1436" t="s">
        <v>726</v>
      </c>
      <c r="B42" s="1437"/>
      <c r="C42" s="1437"/>
      <c r="D42" s="1437"/>
      <c r="E42" s="1437"/>
      <c r="F42" s="1438"/>
    </row>
    <row r="43" spans="1:6" ht="6" customHeight="1" x14ac:dyDescent="0.3">
      <c r="A43" s="1443"/>
      <c r="B43" s="1442"/>
      <c r="C43" s="1442"/>
      <c r="D43" s="1442"/>
      <c r="E43" s="1442"/>
      <c r="F43" s="1444"/>
    </row>
    <row r="44" spans="1:6" ht="22.05" customHeight="1" x14ac:dyDescent="0.3">
      <c r="A44" s="1446" t="s">
        <v>741</v>
      </c>
      <c r="B44" s="1447"/>
      <c r="C44" s="1447"/>
      <c r="D44" s="1447"/>
      <c r="E44" s="1447"/>
      <c r="F44" s="1448"/>
    </row>
    <row r="45" spans="1:6" ht="96.6" x14ac:dyDescent="0.3">
      <c r="A45" s="1449" t="s">
        <v>742</v>
      </c>
      <c r="B45" s="1445"/>
      <c r="C45" s="1445"/>
      <c r="D45" s="1445"/>
      <c r="E45" s="1445"/>
      <c r="F45" s="1450"/>
    </row>
    <row r="46" spans="1:6" x14ac:dyDescent="0.3">
      <c r="A46" s="1452"/>
      <c r="B46" s="1451"/>
      <c r="C46" s="1451"/>
      <c r="D46" s="1451"/>
      <c r="E46" s="1451"/>
      <c r="F46" s="1453"/>
    </row>
    <row r="47" spans="1:6" ht="22.05" customHeight="1" x14ac:dyDescent="0.3">
      <c r="A47" s="1446" t="s">
        <v>743</v>
      </c>
      <c r="B47" s="1447"/>
      <c r="C47" s="1447"/>
      <c r="D47" s="1447"/>
      <c r="E47" s="1447"/>
      <c r="F47" s="1448"/>
    </row>
    <row r="48" spans="1:6" ht="55.8" thickBot="1" x14ac:dyDescent="0.35">
      <c r="A48" s="1454" t="s">
        <v>744</v>
      </c>
      <c r="B48" s="1455"/>
      <c r="C48" s="1455"/>
      <c r="D48" s="1455"/>
      <c r="E48" s="1455"/>
      <c r="F48" s="1456"/>
    </row>
    <row r="49" ht="36" customHeight="1" x14ac:dyDescent="0.3"/>
    <row r="50" ht="21.75" customHeight="1" x14ac:dyDescent="0.3"/>
    <row r="51" ht="51.75" customHeight="1" x14ac:dyDescent="0.3"/>
    <row r="52" ht="36" customHeight="1" x14ac:dyDescent="0.3"/>
    <row r="53" ht="21.75" customHeight="1" x14ac:dyDescent="0.3"/>
    <row r="54" ht="36" customHeight="1" x14ac:dyDescent="0.3"/>
    <row r="55" ht="36" customHeight="1" x14ac:dyDescent="0.3"/>
    <row r="56" ht="21.75" customHeight="1" x14ac:dyDescent="0.3"/>
    <row r="57" ht="36" customHeight="1" x14ac:dyDescent="0.3"/>
    <row r="58" ht="36" customHeight="1" x14ac:dyDescent="0.3"/>
    <row r="59" ht="21.75" customHeight="1" x14ac:dyDescent="0.3"/>
    <row r="60" ht="36" customHeight="1" x14ac:dyDescent="0.3"/>
    <row r="61" ht="36" customHeight="1" x14ac:dyDescent="0.3"/>
    <row r="62" ht="36" customHeight="1" x14ac:dyDescent="0.3"/>
    <row r="63" ht="21.75" customHeight="1" x14ac:dyDescent="0.3"/>
    <row r="64" ht="36" customHeight="1" x14ac:dyDescent="0.3"/>
    <row r="65" ht="36" customHeight="1" x14ac:dyDescent="0.3"/>
    <row r="66" ht="21.75" customHeight="1" x14ac:dyDescent="0.3"/>
    <row r="67" ht="51.75" customHeight="1" x14ac:dyDescent="0.3"/>
    <row r="68" ht="36" customHeight="1" x14ac:dyDescent="0.3"/>
    <row r="69" ht="21.75" customHeight="1" x14ac:dyDescent="0.3"/>
    <row r="70" ht="36" customHeight="1" x14ac:dyDescent="0.3"/>
    <row r="71" ht="21.75" customHeight="1" x14ac:dyDescent="0.3"/>
    <row r="72" ht="36" customHeight="1" x14ac:dyDescent="0.3"/>
    <row r="73" ht="120" customHeight="1" x14ac:dyDescent="0.3"/>
    <row r="74" ht="36" customHeight="1" x14ac:dyDescent="0.3"/>
    <row r="75" ht="36" customHeight="1" x14ac:dyDescent="0.3"/>
    <row r="76" ht="36" customHeight="1" x14ac:dyDescent="0.3"/>
    <row r="77" ht="21.75" customHeight="1" x14ac:dyDescent="0.3"/>
    <row r="78" ht="36" customHeight="1" x14ac:dyDescent="0.3"/>
    <row r="79" ht="36" customHeight="1" x14ac:dyDescent="0.3"/>
    <row r="80" ht="36" customHeight="1" x14ac:dyDescent="0.3"/>
    <row r="81" ht="36" customHeight="1" x14ac:dyDescent="0.3"/>
    <row r="82" ht="36" customHeight="1" x14ac:dyDescent="0.3"/>
    <row r="83" ht="36" customHeight="1" x14ac:dyDescent="0.3"/>
    <row r="84" ht="21.75" customHeight="1" x14ac:dyDescent="0.3"/>
    <row r="85" ht="36" customHeight="1" x14ac:dyDescent="0.3"/>
    <row r="86" ht="36" customHeight="1" x14ac:dyDescent="0.3"/>
    <row r="87" ht="36" customHeight="1" x14ac:dyDescent="0.3"/>
    <row r="88" ht="36" customHeight="1" x14ac:dyDescent="0.3"/>
    <row r="89" ht="36" customHeight="1" x14ac:dyDescent="0.3"/>
    <row r="90" ht="36" customHeight="1" x14ac:dyDescent="0.3"/>
    <row r="91" ht="36" customHeight="1" x14ac:dyDescent="0.3"/>
    <row r="92" ht="36" customHeight="1" x14ac:dyDescent="0.3"/>
    <row r="93" ht="36" customHeight="1" x14ac:dyDescent="0.3"/>
    <row r="94" ht="36" customHeight="1" x14ac:dyDescent="0.3"/>
    <row r="95" ht="36" customHeight="1" x14ac:dyDescent="0.3"/>
    <row r="96" ht="36" customHeight="1" x14ac:dyDescent="0.3"/>
    <row r="97" ht="36" customHeight="1" x14ac:dyDescent="0.3"/>
    <row r="98" ht="36" customHeight="1" x14ac:dyDescent="0.3"/>
    <row r="99" ht="36" customHeight="1" x14ac:dyDescent="0.3"/>
    <row r="100" ht="36" customHeight="1" x14ac:dyDescent="0.3"/>
    <row r="101" ht="36" customHeight="1" x14ac:dyDescent="0.3"/>
    <row r="102" ht="36" customHeight="1" x14ac:dyDescent="0.3"/>
    <row r="103" ht="36" customHeight="1" x14ac:dyDescent="0.3"/>
    <row r="104" ht="36" customHeight="1" x14ac:dyDescent="0.3"/>
    <row r="105" ht="21.75" customHeight="1" x14ac:dyDescent="0.3"/>
    <row r="106" ht="36" customHeight="1" x14ac:dyDescent="0.3"/>
  </sheetData>
  <mergeCells count="33">
    <mergeCell ref="A9:F9"/>
    <mergeCell ref="A38:F38"/>
    <mergeCell ref="A11:F11"/>
    <mergeCell ref="A13:F13"/>
    <mergeCell ref="A42:F42"/>
    <mergeCell ref="A15:F15"/>
    <mergeCell ref="A16:F16"/>
    <mergeCell ref="A17:F17"/>
    <mergeCell ref="A18:F18"/>
    <mergeCell ref="A19:F19"/>
    <mergeCell ref="A20:F20"/>
    <mergeCell ref="A21:F21"/>
    <mergeCell ref="A22:F22"/>
    <mergeCell ref="A23:F23"/>
    <mergeCell ref="A24:F24"/>
    <mergeCell ref="A26:F26"/>
    <mergeCell ref="A1:F1"/>
    <mergeCell ref="A3:F3"/>
    <mergeCell ref="A4:F4"/>
    <mergeCell ref="A6:F6"/>
    <mergeCell ref="A7:F7"/>
    <mergeCell ref="A10:F10"/>
    <mergeCell ref="A36:F36"/>
    <mergeCell ref="A12:F12"/>
    <mergeCell ref="A39:F39"/>
    <mergeCell ref="A41:F41"/>
    <mergeCell ref="A27:F27"/>
    <mergeCell ref="A29:F29"/>
    <mergeCell ref="A30:F30"/>
    <mergeCell ref="A32:F32"/>
    <mergeCell ref="A33:F33"/>
    <mergeCell ref="A14:F14"/>
    <mergeCell ref="A35:F3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pageSetUpPr fitToPage="1"/>
  </sheetPr>
  <dimension ref="A1:AA78"/>
  <sheetViews>
    <sheetView showGridLines="0" tabSelected="1" zoomScaleNormal="93" workbookViewId="0">
      <selection activeCell="J13" sqref="J13:L13"/>
    </sheetView>
  </sheetViews>
  <sheetFormatPr defaultColWidth="8.6640625" defaultRowHeight="14.4" x14ac:dyDescent="0.3"/>
  <cols>
    <col min="1" max="1" width="15.33203125" bestFit="1" customWidth="1"/>
    <col min="2" max="2" width="16.44140625" bestFit="1" customWidth="1"/>
    <col min="3" max="3" width="11.33203125" bestFit="1" customWidth="1"/>
    <col min="4" max="4" width="23.33203125" bestFit="1" customWidth="1"/>
    <col min="5" max="5" width="9.88671875" bestFit="1" customWidth="1"/>
    <col min="6" max="6" width="15.5546875" bestFit="1" customWidth="1"/>
    <col min="7" max="7" width="16.6640625" customWidth="1"/>
    <col min="8" max="8" width="7.5546875" bestFit="1" customWidth="1"/>
    <col min="9" max="9" width="16.6640625" customWidth="1"/>
    <col min="10" max="10" width="13.77734375" bestFit="1" customWidth="1"/>
    <col min="11" max="13" width="16.6640625" customWidth="1"/>
    <col min="14" max="14" width="15" customWidth="1"/>
  </cols>
  <sheetData>
    <row r="1" spans="1:27" ht="36" customHeight="1" x14ac:dyDescent="0.3">
      <c r="A1" s="1287" t="s">
        <v>510</v>
      </c>
      <c r="B1" s="1287"/>
      <c r="C1" s="1287"/>
      <c r="D1" s="1287"/>
      <c r="E1" s="1287"/>
      <c r="F1" s="1287"/>
      <c r="G1" s="1287"/>
      <c r="H1" s="1287"/>
      <c r="I1" s="1287"/>
      <c r="J1" s="1287"/>
      <c r="K1" s="1287"/>
      <c r="L1" s="1287"/>
      <c r="M1" s="869"/>
      <c r="AA1" s="1"/>
    </row>
    <row r="2" spans="1:27" ht="19.95" customHeight="1" x14ac:dyDescent="0.3">
      <c r="A2" s="1288" t="str">
        <f>"As of: " &amp; TEXT(AsOfDate,"dd-mmm-yyyy") &amp; "  •  Financial Basis: " &amp; FinBasis &amp; "  •  All figures in INR Crores"</f>
        <v>As of: 15-Apr-2026  •  Financial Basis: Projected  •  All figures in INR Crores</v>
      </c>
      <c r="B2" s="1288"/>
      <c r="C2" s="1288"/>
      <c r="D2" s="1288"/>
      <c r="E2" s="1288"/>
      <c r="F2" s="1288"/>
      <c r="G2" s="1288"/>
      <c r="H2" s="1288"/>
      <c r="I2" s="1288"/>
      <c r="J2" s="1288"/>
      <c r="K2" s="1288"/>
      <c r="L2" s="1288"/>
      <c r="M2" s="870"/>
    </row>
    <row r="3" spans="1:27" ht="7.95" customHeight="1" x14ac:dyDescent="0.3">
      <c r="A3" s="854"/>
      <c r="B3" s="854"/>
      <c r="C3" s="854"/>
      <c r="D3" s="854"/>
      <c r="E3" s="854"/>
      <c r="F3" s="854"/>
      <c r="G3" s="854"/>
      <c r="H3" s="854"/>
      <c r="I3" s="854"/>
      <c r="J3" s="854"/>
      <c r="K3" s="854"/>
      <c r="L3" s="854"/>
      <c r="M3" s="854"/>
    </row>
    <row r="4" spans="1:27" ht="18" customHeight="1" x14ac:dyDescent="0.3">
      <c r="A4" s="1253" t="s">
        <v>511</v>
      </c>
      <c r="B4" s="1254"/>
      <c r="C4" s="1254"/>
      <c r="D4" s="1259" t="s">
        <v>513</v>
      </c>
      <c r="E4" s="1260"/>
      <c r="F4" s="1260"/>
      <c r="G4" s="1265" t="s">
        <v>515</v>
      </c>
      <c r="H4" s="1266"/>
      <c r="I4" s="1266"/>
      <c r="J4" s="1245" t="s">
        <v>517</v>
      </c>
      <c r="K4" s="1246"/>
      <c r="L4" s="1247"/>
      <c r="M4" s="854"/>
    </row>
    <row r="5" spans="1:27" ht="34.049999999999997" customHeight="1" x14ac:dyDescent="0.3">
      <c r="A5" s="1255">
        <f>Bucket1_DebtTotal</f>
        <v>1317.7</v>
      </c>
      <c r="B5" s="1256"/>
      <c r="C5" s="1256"/>
      <c r="D5" s="1261">
        <f>Bucket1_TL_Total</f>
        <v>670.7</v>
      </c>
      <c r="E5" s="1262"/>
      <c r="F5" s="1262"/>
      <c r="G5" s="1267">
        <f>Bucket1_WCFB_Total</f>
        <v>647</v>
      </c>
      <c r="H5" s="1268"/>
      <c r="I5" s="1268"/>
      <c r="J5" s="1275">
        <f>Bucket2_NFBTotal</f>
        <v>865</v>
      </c>
      <c r="K5" s="1276"/>
      <c r="L5" s="1277"/>
      <c r="M5" s="854"/>
    </row>
    <row r="6" spans="1:27" ht="16.05" customHeight="1" x14ac:dyDescent="0.3">
      <c r="A6" s="1257" t="s">
        <v>512</v>
      </c>
      <c r="B6" s="1258"/>
      <c r="C6" s="1258"/>
      <c r="D6" s="1263" t="s">
        <v>514</v>
      </c>
      <c r="E6" s="1264"/>
      <c r="F6" s="1264"/>
      <c r="G6" s="1269" t="s">
        <v>516</v>
      </c>
      <c r="H6" s="1270"/>
      <c r="I6" s="1270"/>
      <c r="J6" s="1284" t="s">
        <v>518</v>
      </c>
      <c r="K6" s="1285"/>
      <c r="L6" s="1286"/>
      <c r="M6" s="855"/>
    </row>
    <row r="7" spans="1:27" ht="7.95" customHeight="1" x14ac:dyDescent="0.3">
      <c r="A7" s="854"/>
      <c r="B7" s="854"/>
      <c r="C7" s="854"/>
      <c r="D7" s="854"/>
      <c r="E7" s="854"/>
      <c r="F7" s="854"/>
      <c r="G7" s="854"/>
      <c r="H7" s="854"/>
      <c r="I7" s="854"/>
      <c r="J7" s="854"/>
      <c r="K7" s="854"/>
      <c r="L7" s="854"/>
      <c r="M7" s="854"/>
    </row>
    <row r="8" spans="1:27" ht="18" customHeight="1" x14ac:dyDescent="0.3">
      <c r="A8" s="1253" t="s">
        <v>403</v>
      </c>
      <c r="B8" s="1254"/>
      <c r="C8" s="1254"/>
      <c r="D8" s="1259" t="s">
        <v>519</v>
      </c>
      <c r="E8" s="1260"/>
      <c r="F8" s="1260"/>
      <c r="G8" s="1265" t="s">
        <v>520</v>
      </c>
      <c r="H8" s="1266"/>
      <c r="I8" s="1266"/>
      <c r="J8" s="1245" t="s">
        <v>522</v>
      </c>
      <c r="K8" s="1246"/>
      <c r="L8" s="1247"/>
      <c r="M8" s="854"/>
    </row>
    <row r="9" spans="1:27" ht="34.049999999999997" customHeight="1" x14ac:dyDescent="0.3">
      <c r="A9" s="1255">
        <f>TotalBankingExposure</f>
        <v>2305.6999999999998</v>
      </c>
      <c r="B9" s="1256"/>
      <c r="C9" s="1256"/>
      <c r="D9" s="1261">
        <f>IFERROR(SUMIFS('Facility Master'!O:O,'Facility Master'!J:J,1),0)</f>
        <v>1266.9163120567375</v>
      </c>
      <c r="E9" s="1262"/>
      <c r="F9" s="1262"/>
      <c r="G9" s="1278">
        <f>WtAvgDebtCost</f>
        <v>7.5153916473349042E-2</v>
      </c>
      <c r="H9" s="1268"/>
      <c r="I9" s="1268"/>
      <c r="J9" s="1275">
        <f>TotalIntComm</f>
        <v>105.63872269503545</v>
      </c>
      <c r="K9" s="1276"/>
      <c r="L9" s="1277"/>
      <c r="M9" s="854"/>
      <c r="AA9" s="1"/>
    </row>
    <row r="10" spans="1:27" ht="16.05" customHeight="1" x14ac:dyDescent="0.3">
      <c r="A10" s="1257" t="s">
        <v>176</v>
      </c>
      <c r="B10" s="1258"/>
      <c r="C10" s="1258"/>
      <c r="D10" s="1263" t="s">
        <v>776</v>
      </c>
      <c r="E10" s="1264"/>
      <c r="F10" s="1264"/>
      <c r="G10" s="1269" t="s">
        <v>521</v>
      </c>
      <c r="H10" s="1270"/>
      <c r="I10" s="1270"/>
      <c r="J10" s="1284" t="s">
        <v>523</v>
      </c>
      <c r="K10" s="1285"/>
      <c r="L10" s="1286"/>
      <c r="M10" s="855"/>
    </row>
    <row r="11" spans="1:27" ht="7.95" customHeight="1" x14ac:dyDescent="0.3">
      <c r="A11" s="854"/>
      <c r="B11" s="854"/>
      <c r="C11" s="854"/>
      <c r="D11" s="854"/>
      <c r="E11" s="854"/>
      <c r="F11" s="854"/>
      <c r="G11" s="854"/>
      <c r="H11" s="854"/>
      <c r="I11" s="854"/>
      <c r="J11" s="854"/>
      <c r="K11" s="854"/>
      <c r="L11" s="854"/>
      <c r="M11" s="854"/>
    </row>
    <row r="12" spans="1:27" ht="18" customHeight="1" x14ac:dyDescent="0.3">
      <c r="A12" s="1279" t="s">
        <v>266</v>
      </c>
      <c r="B12" s="1280"/>
      <c r="C12" s="1280"/>
      <c r="D12" s="1279" t="s">
        <v>267</v>
      </c>
      <c r="E12" s="1280"/>
      <c r="F12" s="1280"/>
      <c r="G12" s="1279" t="s">
        <v>268</v>
      </c>
      <c r="H12" s="1280"/>
      <c r="I12" s="1280"/>
      <c r="J12" s="1279" t="s">
        <v>527</v>
      </c>
      <c r="K12" s="1280"/>
      <c r="L12" s="1281"/>
      <c r="M12" s="854"/>
    </row>
    <row r="13" spans="1:27" ht="34.049999999999997" customHeight="1" x14ac:dyDescent="0.3">
      <c r="A13" s="1291">
        <f>IFERROR(34-COUNTIF('Facility Master'!F:F,TRUE),0)</f>
        <v>23</v>
      </c>
      <c r="B13" s="1252"/>
      <c r="C13" s="1252"/>
      <c r="D13" s="1251">
        <f>IFERROR(_xlfn.MINIFS('Facility Master'!AB:AB,'Facility Master'!D:D,"FB-Term",'Facility Master'!J:J,1),"")</f>
        <v>47208</v>
      </c>
      <c r="E13" s="1252"/>
      <c r="F13" s="1252"/>
      <c r="G13" s="1251">
        <f>IFERROR(_xlfn.MAXIFS('Facility Master'!AB:AB,'Facility Master'!D:D,"FB-Term",'Facility Master'!J:J,1),"")</f>
        <v>49948</v>
      </c>
      <c r="H13" s="1252"/>
      <c r="I13" s="1252"/>
      <c r="J13" s="1282">
        <f>IFERROR(SUMIFS('Facility Master'!O:O,'Facility Master'!J:J,1)/SUMIFS('Facility Master'!M:M,'Facility Master'!J:J,1),0)</f>
        <v>0.83476069846263257</v>
      </c>
      <c r="K13" s="1252"/>
      <c r="L13" s="1283"/>
      <c r="M13" s="854"/>
    </row>
    <row r="14" spans="1:27" ht="16.05" customHeight="1" x14ac:dyDescent="0.3">
      <c r="A14" s="1248" t="s">
        <v>524</v>
      </c>
      <c r="B14" s="1249"/>
      <c r="C14" s="1249"/>
      <c r="D14" s="1248" t="s">
        <v>525</v>
      </c>
      <c r="E14" s="1249"/>
      <c r="F14" s="1249"/>
      <c r="G14" s="1248" t="s">
        <v>526</v>
      </c>
      <c r="H14" s="1249"/>
      <c r="I14" s="1249"/>
      <c r="J14" s="1248" t="s">
        <v>777</v>
      </c>
      <c r="K14" s="1249"/>
      <c r="L14" s="1250"/>
      <c r="M14" s="855"/>
    </row>
    <row r="15" spans="1:27" ht="10.050000000000001" customHeight="1" x14ac:dyDescent="0.3">
      <c r="A15" s="854"/>
      <c r="B15" s="854"/>
      <c r="C15" s="854"/>
      <c r="D15" s="854"/>
      <c r="E15" s="854"/>
      <c r="F15" s="854"/>
      <c r="G15" s="854"/>
      <c r="H15" s="854"/>
      <c r="I15" s="854"/>
      <c r="J15" s="854"/>
      <c r="K15" s="854"/>
      <c r="L15" s="854"/>
      <c r="M15" s="854"/>
    </row>
    <row r="16" spans="1:27" ht="22.05" customHeight="1" x14ac:dyDescent="0.3">
      <c r="A16" s="1289" t="s">
        <v>528</v>
      </c>
      <c r="B16" s="1289"/>
      <c r="C16" s="1289"/>
      <c r="D16" s="1289"/>
      <c r="E16" s="1289"/>
      <c r="F16" s="1289"/>
      <c r="G16" s="1289"/>
      <c r="H16" s="1289"/>
      <c r="I16" s="1289"/>
      <c r="J16" s="1289"/>
      <c r="K16" s="1289"/>
      <c r="L16" s="1289"/>
      <c r="M16" s="871"/>
    </row>
    <row r="17" spans="1:13" ht="19.95" customHeight="1" x14ac:dyDescent="0.3">
      <c r="A17" s="6" t="s">
        <v>174</v>
      </c>
      <c r="B17" s="6" t="s">
        <v>253</v>
      </c>
      <c r="C17" s="6" t="s">
        <v>472</v>
      </c>
      <c r="D17" s="6" t="s">
        <v>473</v>
      </c>
      <c r="E17" s="6" t="s">
        <v>529</v>
      </c>
      <c r="F17" s="6" t="s">
        <v>530</v>
      </c>
      <c r="M17" s="854"/>
    </row>
    <row r="18" spans="1:13" ht="30" customHeight="1" x14ac:dyDescent="0.3">
      <c r="A18" s="7">
        <f>CovenantCount</f>
        <v>24</v>
      </c>
      <c r="B18" s="7">
        <f>CovenantCompliant</f>
        <v>24</v>
      </c>
      <c r="C18" s="7">
        <f>CovenantNearBreach</f>
        <v>0</v>
      </c>
      <c r="D18" s="7">
        <f>CovenantBreached</f>
        <v>0</v>
      </c>
      <c r="E18" s="7">
        <f>CovenantPending</f>
        <v>0</v>
      </c>
      <c r="F18" s="8">
        <f>PortfolioCompliancePct</f>
        <v>1</v>
      </c>
      <c r="M18" s="854"/>
    </row>
    <row r="19" spans="1:13" ht="7.95" customHeight="1" x14ac:dyDescent="0.3">
      <c r="A19" s="854"/>
      <c r="B19" s="854"/>
      <c r="C19" s="854"/>
      <c r="D19" s="854"/>
      <c r="E19" s="854"/>
      <c r="F19" s="854"/>
      <c r="G19" s="854"/>
      <c r="H19" s="854"/>
      <c r="I19" s="854"/>
      <c r="J19" s="854"/>
      <c r="K19" s="854"/>
      <c r="L19" s="854"/>
      <c r="M19" s="854"/>
    </row>
    <row r="20" spans="1:13" ht="22.05" customHeight="1" x14ac:dyDescent="0.3">
      <c r="A20" s="1294" t="str">
        <f>"Portfolio Compliance: " &amp; TEXT(PortfolioCompliancePct,"0.0%") &amp; " (" &amp; CovenantCompliant &amp; " of " &amp; CovenantCount &amp; " covenants Compliant). " &amp; CovenantNearBreach &amp; " Near Breach. " &amp; CovenantBreached &amp; " Breached. " &amp; CovenantPending &amp; " Pending Input."</f>
        <v>Portfolio Compliance: 100.0% (24 of 24 covenants Compliant). 0 Near Breach. 0 Breached. 0 Pending Input.</v>
      </c>
      <c r="B20" s="1294"/>
      <c r="C20" s="1294"/>
      <c r="D20" s="1294"/>
      <c r="E20" s="1294"/>
      <c r="F20" s="1294"/>
      <c r="G20" s="1294"/>
      <c r="H20" s="1294"/>
      <c r="I20" s="1294"/>
      <c r="J20" s="1294"/>
      <c r="K20" s="1294"/>
      <c r="L20" s="1294"/>
      <c r="M20" s="873"/>
    </row>
    <row r="21" spans="1:13" ht="7.95" customHeight="1" x14ac:dyDescent="0.3">
      <c r="A21" s="854"/>
      <c r="B21" s="854"/>
      <c r="C21" s="854"/>
      <c r="D21" s="854"/>
      <c r="E21" s="854"/>
      <c r="F21" s="854"/>
      <c r="G21" s="854"/>
      <c r="H21" s="854"/>
      <c r="I21" s="854"/>
      <c r="J21" s="854"/>
      <c r="K21" s="854"/>
      <c r="L21" s="854"/>
      <c r="M21" s="854"/>
    </row>
    <row r="22" spans="1:13" ht="7.95" customHeight="1" x14ac:dyDescent="0.3">
      <c r="A22" s="854"/>
      <c r="B22" s="854"/>
      <c r="C22" s="854"/>
      <c r="D22" s="854"/>
      <c r="E22" s="854"/>
      <c r="F22" s="854"/>
      <c r="G22" s="854"/>
      <c r="H22" s="854"/>
      <c r="I22" s="854"/>
      <c r="J22" s="854"/>
      <c r="K22" s="854"/>
      <c r="L22" s="854"/>
      <c r="M22" s="854"/>
    </row>
    <row r="23" spans="1:13" ht="22.05" customHeight="1" thickBot="1" x14ac:dyDescent="0.35">
      <c r="A23" s="1290" t="s">
        <v>531</v>
      </c>
      <c r="B23" s="1290"/>
      <c r="C23" s="1290"/>
      <c r="D23" s="1290"/>
      <c r="E23" s="1290"/>
      <c r="F23" s="1290"/>
      <c r="G23" s="1290"/>
      <c r="H23" s="1290"/>
      <c r="I23" s="1290"/>
      <c r="J23" s="1290"/>
      <c r="K23" s="1290"/>
      <c r="L23" s="1290"/>
      <c r="M23" s="871"/>
    </row>
    <row r="24" spans="1:13" ht="19.95" customHeight="1" x14ac:dyDescent="0.3">
      <c r="A24" s="10" t="s">
        <v>52</v>
      </c>
      <c r="B24" s="11" t="s">
        <v>532</v>
      </c>
      <c r="C24" s="11" t="s">
        <v>390</v>
      </c>
      <c r="D24" s="12" t="s">
        <v>533</v>
      </c>
      <c r="E24" s="854"/>
      <c r="F24" s="854"/>
      <c r="G24" s="854"/>
      <c r="H24" s="854"/>
      <c r="I24" s="854"/>
      <c r="J24" s="854"/>
      <c r="K24" s="854"/>
      <c r="L24" s="854"/>
      <c r="M24" s="854"/>
    </row>
    <row r="25" spans="1:13" ht="18" customHeight="1" x14ac:dyDescent="0.3">
      <c r="A25" s="284" t="s">
        <v>61</v>
      </c>
      <c r="B25" s="14">
        <f>'Lender Summary'!D5</f>
        <v>572</v>
      </c>
      <c r="C25" s="15">
        <f>IFERROR(B25/Bucket1_DebtTotal,0)</f>
        <v>0.43408970175305456</v>
      </c>
      <c r="D25" s="16">
        <f>'Lender Summary'!D44</f>
        <v>0.43674372208006251</v>
      </c>
      <c r="E25" s="854"/>
      <c r="F25" s="854"/>
      <c r="G25" s="854"/>
      <c r="H25" s="854"/>
      <c r="I25" s="854"/>
      <c r="J25" s="854"/>
      <c r="K25" s="854"/>
      <c r="L25" s="854"/>
      <c r="M25" s="854"/>
    </row>
    <row r="26" spans="1:13" ht="18" customHeight="1" x14ac:dyDescent="0.3">
      <c r="A26" s="285" t="s">
        <v>123</v>
      </c>
      <c r="B26" s="18">
        <f>'Lender Summary'!D6</f>
        <v>495.7</v>
      </c>
      <c r="C26" s="19">
        <f>IFERROR(B26/Bucket1_DebtTotal,0)</f>
        <v>0.37618577824998101</v>
      </c>
      <c r="D26" s="20">
        <f>'Lender Summary'!D45</f>
        <v>0.30173049399314744</v>
      </c>
      <c r="E26" s="854"/>
      <c r="F26" s="854"/>
      <c r="G26" s="854"/>
      <c r="H26" s="854"/>
      <c r="I26" s="854"/>
      <c r="J26" s="854"/>
      <c r="K26" s="854"/>
      <c r="L26" s="854"/>
      <c r="M26" s="854"/>
    </row>
    <row r="27" spans="1:13" ht="18" customHeight="1" x14ac:dyDescent="0.3">
      <c r="A27" s="286" t="s">
        <v>137</v>
      </c>
      <c r="B27" s="14">
        <f>'Lender Summary'!D7</f>
        <v>150</v>
      </c>
      <c r="C27" s="15">
        <f>IFERROR(B27/Bucket1_DebtTotal,0)</f>
        <v>0.11383471199817864</v>
      </c>
      <c r="D27" s="16">
        <f>'Lender Summary'!D46</f>
        <v>6.5056165155917944E-2</v>
      </c>
      <c r="E27" s="854"/>
      <c r="F27" s="854"/>
      <c r="G27" s="854"/>
      <c r="H27" s="854"/>
      <c r="I27" s="854"/>
      <c r="J27" s="854"/>
      <c r="K27" s="854"/>
      <c r="L27" s="854"/>
      <c r="M27" s="854"/>
    </row>
    <row r="28" spans="1:13" ht="18" customHeight="1" x14ac:dyDescent="0.3">
      <c r="A28" s="287" t="s">
        <v>143</v>
      </c>
      <c r="B28" s="18">
        <f>'Lender Summary'!D8</f>
        <v>50</v>
      </c>
      <c r="C28" s="19">
        <f>IFERROR(B28/Bucket1_DebtTotal,0)</f>
        <v>3.7944903999392883E-2</v>
      </c>
      <c r="D28" s="20">
        <f>'Lender Summary'!D47</f>
        <v>8.6741553541223926E-2</v>
      </c>
      <c r="E28" s="854"/>
      <c r="F28" s="854"/>
      <c r="G28" s="854"/>
      <c r="H28" s="854"/>
      <c r="I28" s="854"/>
      <c r="J28" s="854"/>
      <c r="K28" s="854"/>
      <c r="L28" s="854"/>
      <c r="M28" s="854"/>
    </row>
    <row r="29" spans="1:13" ht="18" customHeight="1" thickBot="1" x14ac:dyDescent="0.35">
      <c r="A29" s="288" t="s">
        <v>159</v>
      </c>
      <c r="B29" s="22">
        <f>'Lender Summary'!D9</f>
        <v>50</v>
      </c>
      <c r="C29" s="23">
        <f>IFERROR(B29/Bucket1_DebtTotal,0)</f>
        <v>3.7944903999392883E-2</v>
      </c>
      <c r="D29" s="24">
        <f>'Lender Summary'!D48</f>
        <v>0.10972806522964827</v>
      </c>
      <c r="E29" s="854"/>
      <c r="F29" s="854"/>
      <c r="G29" s="854"/>
      <c r="H29" s="854"/>
      <c r="I29" s="854"/>
      <c r="J29" s="854"/>
      <c r="K29" s="854"/>
      <c r="L29" s="854"/>
      <c r="M29" s="854"/>
    </row>
    <row r="30" spans="1:13" ht="7.95" customHeight="1" x14ac:dyDescent="0.3">
      <c r="A30" s="854"/>
      <c r="B30" s="854"/>
      <c r="C30" s="854"/>
      <c r="D30" s="854"/>
      <c r="E30" s="854"/>
      <c r="F30" s="854"/>
      <c r="G30" s="854"/>
      <c r="H30" s="854"/>
      <c r="I30" s="854"/>
      <c r="J30" s="854"/>
      <c r="K30" s="854"/>
      <c r="L30" s="854"/>
      <c r="M30" s="854"/>
    </row>
    <row r="31" spans="1:13" ht="7.95" customHeight="1" x14ac:dyDescent="0.3">
      <c r="A31" s="854"/>
      <c r="B31" s="854"/>
      <c r="C31" s="854"/>
      <c r="D31" s="854"/>
      <c r="E31" s="854"/>
      <c r="F31" s="854"/>
      <c r="G31" s="854"/>
      <c r="H31" s="854"/>
      <c r="I31" s="854"/>
      <c r="J31" s="854"/>
      <c r="K31" s="854"/>
      <c r="L31" s="854"/>
      <c r="M31" s="854"/>
    </row>
    <row r="32" spans="1:13" ht="22.05" customHeight="1" thickBot="1" x14ac:dyDescent="0.35">
      <c r="A32" s="1290" t="s">
        <v>534</v>
      </c>
      <c r="B32" s="1290"/>
      <c r="C32" s="1290"/>
      <c r="D32" s="1290"/>
      <c r="E32" s="1290"/>
      <c r="F32" s="1290"/>
      <c r="G32" s="1290"/>
      <c r="H32" s="1290"/>
      <c r="I32" s="1290"/>
      <c r="J32" s="1290"/>
      <c r="K32" s="1290"/>
      <c r="L32" s="1290"/>
      <c r="M32" s="871"/>
    </row>
    <row r="33" spans="1:13" ht="19.95" customHeight="1" x14ac:dyDescent="0.3">
      <c r="A33" s="10" t="s">
        <v>274</v>
      </c>
      <c r="B33" s="11" t="s">
        <v>535</v>
      </c>
      <c r="C33" s="11" t="s">
        <v>182</v>
      </c>
      <c r="D33" s="11" t="s">
        <v>536</v>
      </c>
      <c r="E33" s="12" t="s">
        <v>537</v>
      </c>
      <c r="F33" s="854"/>
      <c r="G33" s="854"/>
      <c r="H33" s="854"/>
      <c r="I33" s="854"/>
      <c r="J33" s="854"/>
      <c r="K33" s="854"/>
      <c r="L33" s="854"/>
      <c r="M33" s="854"/>
    </row>
    <row r="34" spans="1:13" ht="18" customHeight="1" x14ac:dyDescent="0.3">
      <c r="A34" s="13" t="s">
        <v>538</v>
      </c>
      <c r="B34" s="25">
        <f>DATE(2023,4,1)</f>
        <v>45017</v>
      </c>
      <c r="C34" s="25">
        <f>DATE(2024,3,31)</f>
        <v>45382</v>
      </c>
      <c r="D34" s="14">
        <f>IFERROR(SUMIFS('Repayment Schedule'!S:S,'Repayment Schedule'!B:B,"&gt;="&amp;B34,'Repayment Schedule'!B:B,"&lt;="&amp;C34),0)</f>
        <v>0</v>
      </c>
      <c r="E34" s="26">
        <f>D34</f>
        <v>0</v>
      </c>
      <c r="F34" s="854"/>
      <c r="G34" s="854"/>
      <c r="H34" s="854"/>
      <c r="I34" s="854"/>
      <c r="J34" s="854"/>
      <c r="K34" s="854"/>
      <c r="L34" s="854"/>
      <c r="M34" s="854"/>
    </row>
    <row r="35" spans="1:13" ht="18" customHeight="1" x14ac:dyDescent="0.3">
      <c r="A35" s="17" t="s">
        <v>275</v>
      </c>
      <c r="B35" s="27">
        <f>DATE(2024,4,1)</f>
        <v>45383</v>
      </c>
      <c r="C35" s="27">
        <f>DATE(2025,3,31)</f>
        <v>45747</v>
      </c>
      <c r="D35" s="18">
        <f>IFERROR(SUMIFS('Repayment Schedule'!S:S,'Repayment Schedule'!B:B,"&gt;="&amp;B35,'Repayment Schedule'!B:B,"&lt;="&amp;C35),0)</f>
        <v>6.823404255319149</v>
      </c>
      <c r="E35" s="28">
        <f t="shared" ref="E35:E47" si="0">E34+D35</f>
        <v>6.823404255319149</v>
      </c>
      <c r="F35" s="854"/>
      <c r="G35" s="854"/>
      <c r="H35" s="854"/>
      <c r="I35" s="854"/>
      <c r="J35" s="854"/>
      <c r="K35" s="854"/>
      <c r="L35" s="854"/>
      <c r="M35" s="854"/>
    </row>
    <row r="36" spans="1:13" ht="18" customHeight="1" x14ac:dyDescent="0.3">
      <c r="A36" s="13" t="s">
        <v>276</v>
      </c>
      <c r="B36" s="25">
        <f>DATE(2025,4,1)</f>
        <v>45748</v>
      </c>
      <c r="C36" s="25">
        <f>DATE(2026,3,31)</f>
        <v>46112</v>
      </c>
      <c r="D36" s="14">
        <f>IFERROR(SUMIFS('Repayment Schedule'!S:S,'Repayment Schedule'!B:B,"&gt;="&amp;B36,'Repayment Schedule'!B:B,"&lt;="&amp;C36),0)</f>
        <v>43.960283687943267</v>
      </c>
      <c r="E36" s="26">
        <f t="shared" si="0"/>
        <v>50.783687943262414</v>
      </c>
      <c r="F36" s="854"/>
      <c r="G36" s="854"/>
      <c r="H36" s="854"/>
      <c r="I36" s="854"/>
      <c r="J36" s="854"/>
      <c r="K36" s="854"/>
      <c r="L36" s="854"/>
      <c r="M36" s="854"/>
    </row>
    <row r="37" spans="1:13" ht="18" customHeight="1" x14ac:dyDescent="0.3">
      <c r="A37" s="17" t="s">
        <v>277</v>
      </c>
      <c r="B37" s="27">
        <f>DATE(2026,4,1)</f>
        <v>46113</v>
      </c>
      <c r="C37" s="27">
        <f>DATE(2027,3,31)</f>
        <v>46477</v>
      </c>
      <c r="D37" s="18">
        <f>IFERROR(SUMIFS('Repayment Schedule'!S:S,'Repayment Schedule'!B:B,"&gt;="&amp;B37,'Repayment Schedule'!B:B,"&lt;="&amp;C37),0)</f>
        <v>110.03171225937186</v>
      </c>
      <c r="E37" s="28">
        <f t="shared" si="0"/>
        <v>160.81540020263427</v>
      </c>
      <c r="F37" s="854"/>
      <c r="G37" s="854"/>
      <c r="H37" s="854"/>
      <c r="I37" s="854"/>
      <c r="J37" s="854"/>
      <c r="K37" s="854"/>
      <c r="L37" s="854"/>
      <c r="M37" s="854"/>
    </row>
    <row r="38" spans="1:13" ht="18" customHeight="1" x14ac:dyDescent="0.3">
      <c r="A38" s="13" t="s">
        <v>278</v>
      </c>
      <c r="B38" s="25">
        <f>DATE(2027,4,1)</f>
        <v>46478</v>
      </c>
      <c r="C38" s="25">
        <f>DATE(2028,3,31)</f>
        <v>46843</v>
      </c>
      <c r="D38" s="14">
        <f>IFERROR(SUMIFS('Repayment Schedule'!S:S,'Repayment Schedule'!B:B,"&gt;="&amp;B38,'Repayment Schedule'!B:B,"&lt;="&amp;C38),0)</f>
        <v>115.3888551165147</v>
      </c>
      <c r="E38" s="26">
        <f t="shared" si="0"/>
        <v>276.20425531914896</v>
      </c>
      <c r="F38" s="854"/>
      <c r="G38" s="854"/>
      <c r="H38" s="854"/>
      <c r="I38" s="854"/>
      <c r="J38" s="854"/>
      <c r="K38" s="854"/>
      <c r="L38" s="854"/>
      <c r="M38" s="854"/>
    </row>
    <row r="39" spans="1:13" ht="18" customHeight="1" x14ac:dyDescent="0.3">
      <c r="A39" s="17" t="s">
        <v>279</v>
      </c>
      <c r="B39" s="27">
        <f>DATE(2028,4,1)</f>
        <v>46844</v>
      </c>
      <c r="C39" s="27">
        <f>DATE(2029,3,31)</f>
        <v>47208</v>
      </c>
      <c r="D39" s="18">
        <f>IFERROR(SUMIFS('Repayment Schedule'!S:S,'Repayment Schedule'!B:B,"&gt;="&amp;B39,'Repayment Schedule'!B:B,"&lt;="&amp;C39),0)</f>
        <v>98.721821783181369</v>
      </c>
      <c r="E39" s="28">
        <f t="shared" si="0"/>
        <v>374.92607710233034</v>
      </c>
      <c r="F39" s="854"/>
      <c r="G39" s="854"/>
      <c r="H39" s="854"/>
      <c r="I39" s="854"/>
      <c r="J39" s="854"/>
      <c r="K39" s="854"/>
      <c r="L39" s="854"/>
      <c r="M39" s="854"/>
    </row>
    <row r="40" spans="1:13" ht="18" customHeight="1" x14ac:dyDescent="0.3">
      <c r="A40" s="13" t="s">
        <v>280</v>
      </c>
      <c r="B40" s="25">
        <f>DATE(2029,4,1)</f>
        <v>47209</v>
      </c>
      <c r="C40" s="25">
        <f>DATE(2030,3,31)</f>
        <v>47573</v>
      </c>
      <c r="D40" s="14">
        <f>IFERROR(SUMIFS('Repayment Schedule'!S:S,'Repayment Schedule'!B:B,"&gt;="&amp;B40,'Repayment Schedule'!B:B,"&lt;="&amp;C40),0)</f>
        <v>48.722188449848019</v>
      </c>
      <c r="E40" s="26">
        <f t="shared" si="0"/>
        <v>423.64826555217837</v>
      </c>
      <c r="F40" s="854"/>
      <c r="G40" s="854"/>
      <c r="H40" s="854"/>
      <c r="I40" s="854"/>
      <c r="J40" s="854"/>
      <c r="K40" s="854"/>
      <c r="L40" s="854"/>
      <c r="M40" s="854"/>
    </row>
    <row r="41" spans="1:13" ht="18" customHeight="1" x14ac:dyDescent="0.3">
      <c r="A41" s="17" t="s">
        <v>281</v>
      </c>
      <c r="B41" s="27">
        <f>DATE(2030,4,1)</f>
        <v>47574</v>
      </c>
      <c r="C41" s="27">
        <f>DATE(2031,3,31)</f>
        <v>47938</v>
      </c>
      <c r="D41" s="18">
        <f>IFERROR(SUMIFS('Repayment Schedule'!S:S,'Repayment Schedule'!B:B,"&gt;="&amp;B41,'Repayment Schedule'!B:B,"&lt;="&amp;C41),0)</f>
        <v>48.722188449848019</v>
      </c>
      <c r="E41" s="28">
        <f t="shared" si="0"/>
        <v>472.37045400202641</v>
      </c>
      <c r="F41" s="854"/>
      <c r="G41" s="854"/>
      <c r="H41" s="854"/>
      <c r="I41" s="854"/>
      <c r="J41" s="854"/>
      <c r="K41" s="854"/>
      <c r="L41" s="854"/>
      <c r="M41" s="854"/>
    </row>
    <row r="42" spans="1:13" ht="18" customHeight="1" x14ac:dyDescent="0.3">
      <c r="A42" s="13" t="s">
        <v>282</v>
      </c>
      <c r="B42" s="25">
        <f>DATE(2031,4,1)</f>
        <v>47939</v>
      </c>
      <c r="C42" s="25">
        <f>DATE(2032,3,31)</f>
        <v>48304</v>
      </c>
      <c r="D42" s="14">
        <f>IFERROR(SUMIFS('Repayment Schedule'!S:S,'Repayment Schedule'!B:B,"&gt;="&amp;B42,'Repayment Schedule'!B:B,"&lt;="&amp;C42),0)</f>
        <v>48.722188449848019</v>
      </c>
      <c r="E42" s="26">
        <f t="shared" si="0"/>
        <v>521.09264245187444</v>
      </c>
      <c r="F42" s="854"/>
      <c r="G42" s="854"/>
      <c r="H42" s="854"/>
      <c r="I42" s="854"/>
      <c r="J42" s="854"/>
      <c r="K42" s="854"/>
      <c r="L42" s="854"/>
      <c r="M42" s="854"/>
    </row>
    <row r="43" spans="1:13" ht="18" customHeight="1" x14ac:dyDescent="0.3">
      <c r="A43" s="17" t="s">
        <v>283</v>
      </c>
      <c r="B43" s="27">
        <f>DATE(2032,4,1)</f>
        <v>48305</v>
      </c>
      <c r="C43" s="27">
        <f>DATE(2033,3,31)</f>
        <v>48669</v>
      </c>
      <c r="D43" s="18">
        <f>IFERROR(SUMIFS('Repayment Schedule'!S:S,'Repayment Schedule'!B:B,"&gt;="&amp;B43,'Repayment Schedule'!B:B,"&lt;="&amp;C43),0)</f>
        <v>48.722188449848019</v>
      </c>
      <c r="E43" s="28">
        <f t="shared" si="0"/>
        <v>569.81483090172242</v>
      </c>
      <c r="F43" s="854"/>
      <c r="G43" s="854"/>
      <c r="H43" s="854"/>
      <c r="I43" s="854"/>
      <c r="J43" s="854"/>
      <c r="K43" s="854"/>
      <c r="L43" s="854"/>
      <c r="M43" s="854"/>
    </row>
    <row r="44" spans="1:13" ht="18" customHeight="1" x14ac:dyDescent="0.3">
      <c r="A44" s="13" t="s">
        <v>284</v>
      </c>
      <c r="B44" s="25">
        <f>DATE(2033,4,1)</f>
        <v>48670</v>
      </c>
      <c r="C44" s="25">
        <f>DATE(2034,3,31)</f>
        <v>49034</v>
      </c>
      <c r="D44" s="14">
        <f>IFERROR(SUMIFS('Repayment Schedule'!S:S,'Repayment Schedule'!B:B,"&gt;="&amp;B44,'Repayment Schedule'!B:B,"&lt;="&amp;C44),0)</f>
        <v>32.65075987841945</v>
      </c>
      <c r="E44" s="26">
        <f t="shared" si="0"/>
        <v>602.46559078014184</v>
      </c>
      <c r="F44" s="854"/>
      <c r="G44" s="854"/>
      <c r="H44" s="854"/>
      <c r="I44" s="854"/>
      <c r="J44" s="854"/>
      <c r="K44" s="854"/>
      <c r="L44" s="854"/>
      <c r="M44" s="854"/>
    </row>
    <row r="45" spans="1:13" ht="18" customHeight="1" x14ac:dyDescent="0.3">
      <c r="A45" s="17" t="s">
        <v>285</v>
      </c>
      <c r="B45" s="27">
        <f>DATE(2034,4,1)</f>
        <v>49035</v>
      </c>
      <c r="C45" s="27">
        <f>DATE(2035,3,31)</f>
        <v>49399</v>
      </c>
      <c r="D45" s="18">
        <f>IFERROR(SUMIFS('Repayment Schedule'!S:S,'Repayment Schedule'!B:B,"&gt;="&amp;B45,'Repayment Schedule'!B:B,"&lt;="&amp;C45),0)</f>
        <v>27.293617021276596</v>
      </c>
      <c r="E45" s="28">
        <f t="shared" si="0"/>
        <v>629.75920780141848</v>
      </c>
      <c r="F45" s="854"/>
      <c r="G45" s="854"/>
      <c r="H45" s="854"/>
      <c r="I45" s="854"/>
      <c r="J45" s="854"/>
      <c r="K45" s="854"/>
      <c r="L45" s="854"/>
      <c r="M45" s="854"/>
    </row>
    <row r="46" spans="1:13" ht="18" customHeight="1" x14ac:dyDescent="0.3">
      <c r="A46" s="13" t="s">
        <v>286</v>
      </c>
      <c r="B46" s="25">
        <f>DATE(2035,4,1)</f>
        <v>49400</v>
      </c>
      <c r="C46" s="25">
        <f>DATE(2036,3,31)</f>
        <v>49765</v>
      </c>
      <c r="D46" s="14">
        <f>IFERROR(SUMIFS('Repayment Schedule'!S:S,'Repayment Schedule'!B:B,"&gt;="&amp;B46,'Repayment Schedule'!B:B,"&lt;="&amp;C46),0)</f>
        <v>27.293617021276596</v>
      </c>
      <c r="E46" s="26">
        <f t="shared" si="0"/>
        <v>657.05282482269513</v>
      </c>
      <c r="F46" s="854"/>
      <c r="G46" s="854"/>
      <c r="H46" s="854"/>
      <c r="I46" s="854"/>
      <c r="J46" s="854"/>
      <c r="K46" s="854"/>
      <c r="L46" s="854"/>
      <c r="M46" s="854"/>
    </row>
    <row r="47" spans="1:13" ht="18" customHeight="1" thickBot="1" x14ac:dyDescent="0.35">
      <c r="A47" s="29" t="s">
        <v>287</v>
      </c>
      <c r="B47" s="30">
        <f>DATE(2036,4,1)</f>
        <v>49766</v>
      </c>
      <c r="C47" s="30">
        <f>DATE(2037,3,31)</f>
        <v>50130</v>
      </c>
      <c r="D47" s="31">
        <f>IFERROR(SUMIFS('Repayment Schedule'!S:S,'Repayment Schedule'!B:B,"&gt;="&amp;B47,'Repayment Schedule'!B:B,"&lt;="&amp;C47),0)</f>
        <v>13.646808510638298</v>
      </c>
      <c r="E47" s="32">
        <f t="shared" si="0"/>
        <v>670.6996333333334</v>
      </c>
      <c r="F47" s="854"/>
      <c r="G47" s="854"/>
      <c r="H47" s="854"/>
      <c r="I47" s="854"/>
      <c r="J47" s="854"/>
      <c r="K47" s="854"/>
      <c r="L47" s="854"/>
      <c r="M47" s="854"/>
    </row>
    <row r="48" spans="1:13" ht="7.95" customHeight="1" x14ac:dyDescent="0.3">
      <c r="A48" s="854"/>
      <c r="B48" s="854"/>
      <c r="C48" s="854"/>
      <c r="D48" s="854"/>
      <c r="E48" s="854"/>
      <c r="F48" s="854"/>
      <c r="G48" s="854"/>
      <c r="H48" s="854"/>
      <c r="I48" s="854"/>
      <c r="J48" s="854"/>
      <c r="K48" s="854"/>
      <c r="L48" s="854"/>
      <c r="M48" s="854"/>
    </row>
    <row r="49" spans="1:13" ht="7.95" customHeight="1" x14ac:dyDescent="0.3">
      <c r="A49" s="854"/>
      <c r="B49" s="854"/>
      <c r="C49" s="854"/>
      <c r="D49" s="854"/>
      <c r="E49" s="854"/>
      <c r="F49" s="854"/>
      <c r="G49" s="854"/>
      <c r="H49" s="854"/>
      <c r="I49" s="854"/>
      <c r="J49" s="854"/>
      <c r="K49" s="854"/>
      <c r="L49" s="854"/>
      <c r="M49" s="854"/>
    </row>
    <row r="50" spans="1:13" ht="22.05" customHeight="1" thickBot="1" x14ac:dyDescent="0.35">
      <c r="A50" s="1290" t="s">
        <v>539</v>
      </c>
      <c r="B50" s="1290"/>
      <c r="C50" s="1290"/>
      <c r="D50" s="1290"/>
      <c r="E50" s="1290"/>
      <c r="F50" s="1290"/>
      <c r="G50" s="1290"/>
      <c r="H50" s="1290"/>
      <c r="I50" s="1290"/>
      <c r="J50" s="1290"/>
      <c r="K50" s="1290"/>
      <c r="L50" s="1290"/>
      <c r="M50" s="871"/>
    </row>
    <row r="51" spans="1:13" ht="19.95" customHeight="1" x14ac:dyDescent="0.3">
      <c r="A51" s="33" t="s">
        <v>339</v>
      </c>
      <c r="B51" s="34" t="s">
        <v>540</v>
      </c>
      <c r="C51" s="854"/>
      <c r="D51" s="854"/>
      <c r="E51" s="854"/>
      <c r="F51" s="854"/>
      <c r="G51" s="854"/>
      <c r="H51" s="854"/>
      <c r="I51" s="854"/>
      <c r="J51" s="854"/>
      <c r="K51" s="854"/>
      <c r="L51" s="854"/>
      <c r="M51" s="854"/>
    </row>
    <row r="52" spans="1:13" ht="18" customHeight="1" x14ac:dyDescent="0.3">
      <c r="A52" s="13" t="s">
        <v>532</v>
      </c>
      <c r="B52" s="26">
        <f>Bucket1_DebtTotal</f>
        <v>1317.7</v>
      </c>
      <c r="C52" s="854"/>
      <c r="D52" s="854"/>
      <c r="E52" s="854"/>
      <c r="F52" s="854"/>
      <c r="G52" s="854"/>
      <c r="H52" s="854"/>
      <c r="I52" s="854"/>
      <c r="J52" s="854"/>
      <c r="K52" s="854"/>
      <c r="L52" s="854"/>
      <c r="M52" s="854"/>
    </row>
    <row r="53" spans="1:13" ht="18" customHeight="1" x14ac:dyDescent="0.3">
      <c r="A53" s="17" t="s">
        <v>541</v>
      </c>
      <c r="B53" s="28">
        <f>Bucket2_NFBTotal</f>
        <v>865</v>
      </c>
      <c r="C53" s="854"/>
      <c r="D53" s="854"/>
      <c r="E53" s="854"/>
      <c r="F53" s="854"/>
      <c r="G53" s="854"/>
      <c r="H53" s="854"/>
      <c r="I53" s="854"/>
      <c r="J53" s="854"/>
      <c r="K53" s="854"/>
      <c r="L53" s="854"/>
      <c r="M53" s="854"/>
    </row>
    <row r="54" spans="1:13" ht="18" customHeight="1" thickBot="1" x14ac:dyDescent="0.35">
      <c r="A54" s="21" t="s">
        <v>542</v>
      </c>
      <c r="B54" s="35">
        <f>Bucket3_SeparateTotal</f>
        <v>123</v>
      </c>
      <c r="C54" s="854"/>
      <c r="D54" s="854"/>
      <c r="E54" s="854"/>
      <c r="F54" s="854"/>
      <c r="G54" s="854"/>
      <c r="H54" s="854"/>
      <c r="I54" s="854"/>
      <c r="J54" s="854"/>
      <c r="K54" s="854"/>
      <c r="L54" s="854"/>
      <c r="M54" s="854"/>
    </row>
    <row r="55" spans="1:13" ht="7.95" customHeight="1" x14ac:dyDescent="0.3">
      <c r="A55" s="854"/>
      <c r="B55" s="854"/>
      <c r="C55" s="854"/>
      <c r="D55" s="854"/>
      <c r="E55" s="854"/>
      <c r="F55" s="854"/>
      <c r="G55" s="854"/>
      <c r="H55" s="854"/>
      <c r="I55" s="854"/>
      <c r="J55" s="854"/>
      <c r="K55" s="854"/>
      <c r="L55" s="854"/>
      <c r="M55" s="854"/>
    </row>
    <row r="56" spans="1:13" ht="7.95" customHeight="1" x14ac:dyDescent="0.3">
      <c r="A56" s="854"/>
      <c r="B56" s="854"/>
      <c r="C56" s="854"/>
      <c r="D56" s="854"/>
      <c r="E56" s="854"/>
      <c r="F56" s="854"/>
      <c r="G56" s="854"/>
      <c r="H56" s="854"/>
      <c r="I56" s="854"/>
      <c r="J56" s="854"/>
      <c r="K56" s="854"/>
      <c r="L56" s="854"/>
      <c r="M56" s="854"/>
    </row>
    <row r="57" spans="1:13" ht="22.05" customHeight="1" thickBot="1" x14ac:dyDescent="0.35">
      <c r="A57" s="1292" t="s">
        <v>543</v>
      </c>
      <c r="B57" s="1292"/>
      <c r="C57" s="1292"/>
      <c r="D57" s="1292"/>
      <c r="E57" s="1292"/>
      <c r="F57" s="1292"/>
      <c r="G57" s="1292"/>
      <c r="H57" s="1292"/>
      <c r="I57" s="1292"/>
      <c r="J57" s="1292"/>
      <c r="K57" s="1292"/>
      <c r="L57" s="1292"/>
      <c r="M57" s="871"/>
    </row>
    <row r="58" spans="1:13" ht="31.95" customHeight="1" x14ac:dyDescent="0.3">
      <c r="A58" s="877" t="s">
        <v>544</v>
      </c>
      <c r="B58" s="1295" t="str">
        <f>"Sanctioned Debt of ₹" &amp; TEXT(Bucket1_DebtTotal,"#,##0.0") &amp; " Cr is split between Term Loans (₹" &amp; TEXT(Bucket1_TL_Total,"#,##0.0") &amp; " Cr, " &amp; TEXT(Bucket1_TL_Total/Bucket1_DebtTotal,"0%") &amp; ") and Working Capital fund-based facilities (₹" &amp; TEXT(Bucket1_WCFB_Total,"#,##0.0") &amp; " Cr, " &amp; TEXT(Bucket1_WCFB_Total/Bucket1_DebtTotal,"0%") &amp; ")."</f>
        <v>Sanctioned Debt of ₹1,317.7 Cr is split between Term Loans (₹670.7 Cr, 51%) and Working Capital fund-based facilities (₹647.0 Cr, 49%).</v>
      </c>
      <c r="C58" s="1295"/>
      <c r="D58" s="1295"/>
      <c r="E58" s="1295"/>
      <c r="F58" s="1295"/>
      <c r="G58" s="1295"/>
      <c r="H58" s="1295"/>
      <c r="I58" s="1295"/>
      <c r="J58" s="1295"/>
      <c r="K58" s="1295"/>
      <c r="L58" s="1295"/>
      <c r="M58" s="874"/>
    </row>
    <row r="59" spans="1:13" ht="31.95" customHeight="1" x14ac:dyDescent="0.3">
      <c r="A59" s="878" t="s">
        <v>544</v>
      </c>
      <c r="B59" s="1296" t="str">
        <f>"NFB Contingent commitments of ₹" &amp; TEXT(Bucket2_NFBTotal,"#,##0.0") &amp; " Cr (" &amp; TEXT(Bucket2_NFBTotal/TotalBankingExposure,"0%") &amp; " of total banking exposure) generate annual commission of ₹" &amp; TEXT(Bucket2_Commission,"#,##0.00") &amp; " Cr at current pricing."</f>
        <v>NFB Contingent commitments of ₹865.0 Cr (38% of total banking exposure) generate annual commission of ₹3.18 Cr at current pricing.</v>
      </c>
      <c r="C59" s="1296"/>
      <c r="D59" s="1296"/>
      <c r="E59" s="1296"/>
      <c r="F59" s="1296"/>
      <c r="G59" s="1296"/>
      <c r="H59" s="1296"/>
      <c r="I59" s="1296"/>
      <c r="J59" s="1296"/>
      <c r="K59" s="1296"/>
      <c r="L59" s="1296"/>
      <c r="M59" s="875"/>
    </row>
    <row r="60" spans="1:13" ht="31.95" customHeight="1" x14ac:dyDescent="0.3">
      <c r="A60" s="879" t="s">
        <v>544</v>
      </c>
      <c r="B60" s="1297" t="str">
        <f>"Most concentrated lender by sanctioned debt: " &amp; INDEX('Lender Summary'!A5:A9,MATCH(MAX('Lender Summary'!D5:D9),'Lender Summary'!D5:D9,0)) &amp; " at " &amp; TEXT(MAX('Lender Summary'!E5:E9),"0.0%") &amp; " of total."</f>
        <v>Most concentrated lender by sanctioned debt: RBL Bank at 43.4% of total.</v>
      </c>
      <c r="C60" s="1297"/>
      <c r="D60" s="1297"/>
      <c r="E60" s="1297"/>
      <c r="F60" s="1297"/>
      <c r="G60" s="1297"/>
      <c r="H60" s="1297"/>
      <c r="I60" s="1297"/>
      <c r="J60" s="1297"/>
      <c r="K60" s="1297"/>
      <c r="L60" s="1297"/>
      <c r="M60" s="875"/>
    </row>
    <row r="61" spans="1:13" ht="31.95" customHeight="1" x14ac:dyDescent="0.3">
      <c r="A61" s="878" t="s">
        <v>544</v>
      </c>
      <c r="B61" s="1296" t="str">
        <f>"RBL Term Loan modelled at indicative 9.75% (1Y MCLR + 75 bps). Confirm actual rate with RBL at drawdown and update Facility Master Col S row 13."</f>
        <v>RBL Term Loan modelled at indicative 9.75% (1Y MCLR + 75 bps). Confirm actual rate with RBL at drawdown and update Facility Master Col S row 13.</v>
      </c>
      <c r="C61" s="1296"/>
      <c r="D61" s="1296"/>
      <c r="E61" s="1296"/>
      <c r="F61" s="1296"/>
      <c r="G61" s="1296"/>
      <c r="H61" s="1296"/>
      <c r="I61" s="1296"/>
      <c r="J61" s="1296"/>
      <c r="K61" s="1296"/>
      <c r="L61" s="1296"/>
      <c r="M61" s="875"/>
    </row>
    <row r="62" spans="1:13" ht="31.95" customHeight="1" thickBot="1" x14ac:dyDescent="0.35">
      <c r="A62" s="880" t="s">
        <v>544</v>
      </c>
      <c r="B62" s="1298" t="str">
        <f>"Working capital facilities operate on annual renewal cycles; review the Renewal Calendar and update validity dates as renewal letters are received."</f>
        <v>Working capital facilities operate on annual renewal cycles; review the Renewal Calendar and update validity dates as renewal letters are received.</v>
      </c>
      <c r="C62" s="1298"/>
      <c r="D62" s="1298"/>
      <c r="E62" s="1298"/>
      <c r="F62" s="1298"/>
      <c r="G62" s="1298"/>
      <c r="H62" s="1298"/>
      <c r="I62" s="1298"/>
      <c r="J62" s="1298"/>
      <c r="K62" s="1298"/>
      <c r="L62" s="1298"/>
      <c r="M62" s="876"/>
    </row>
    <row r="63" spans="1:13" ht="7.95" customHeight="1" x14ac:dyDescent="0.3">
      <c r="A63" s="854"/>
      <c r="B63" s="854"/>
      <c r="C63" s="854"/>
      <c r="D63" s="854"/>
      <c r="E63" s="854"/>
      <c r="F63" s="854"/>
      <c r="G63" s="854"/>
      <c r="H63" s="854"/>
      <c r="I63" s="854"/>
      <c r="J63" s="854"/>
      <c r="K63" s="854"/>
      <c r="L63" s="854"/>
      <c r="M63" s="854"/>
    </row>
    <row r="64" spans="1:13" ht="7.95" customHeight="1" thickBot="1" x14ac:dyDescent="0.35">
      <c r="A64" s="854"/>
      <c r="B64" s="854"/>
      <c r="C64" s="854"/>
      <c r="D64" s="854"/>
      <c r="E64" s="854"/>
      <c r="F64" s="854"/>
      <c r="G64" s="854"/>
      <c r="H64" s="854"/>
      <c r="I64" s="854"/>
      <c r="J64" s="854"/>
      <c r="K64" s="854"/>
      <c r="L64" s="854"/>
      <c r="M64" s="854"/>
    </row>
    <row r="65" spans="1:13" ht="22.05" customHeight="1" x14ac:dyDescent="0.3">
      <c r="A65" s="1301" t="s">
        <v>545</v>
      </c>
      <c r="B65" s="1302"/>
      <c r="C65" s="1302"/>
      <c r="D65" s="1302"/>
      <c r="E65" s="1302"/>
      <c r="F65" s="1302"/>
      <c r="G65" s="1302"/>
      <c r="H65" s="1302"/>
      <c r="I65" s="1302"/>
      <c r="J65" s="1302"/>
      <c r="K65" s="1302"/>
      <c r="L65" s="1303"/>
      <c r="M65" s="868"/>
    </row>
    <row r="66" spans="1:13" ht="18" customHeight="1" x14ac:dyDescent="0.3">
      <c r="A66" s="861"/>
      <c r="B66" s="1271" t="s">
        <v>546</v>
      </c>
      <c r="C66" s="1272"/>
      <c r="D66" s="1271" t="s">
        <v>547</v>
      </c>
      <c r="E66" s="1272"/>
      <c r="F66" s="1271" t="s">
        <v>548</v>
      </c>
      <c r="G66" s="1272"/>
      <c r="H66" s="1271" t="s">
        <v>549</v>
      </c>
      <c r="I66" s="1272"/>
      <c r="J66" s="1271" t="s">
        <v>550</v>
      </c>
      <c r="K66" s="1299"/>
      <c r="L66" s="863"/>
      <c r="M66" s="857"/>
    </row>
    <row r="67" spans="1:13" ht="30" customHeight="1" x14ac:dyDescent="0.3">
      <c r="A67" s="862"/>
      <c r="B67" s="1273" t="str">
        <f>IFERROR(IF('Validation Engine'!B5="PASS","✓","—"),"—")</f>
        <v>✓</v>
      </c>
      <c r="C67" s="1274"/>
      <c r="D67" s="1273" t="str">
        <f>IFERROR(IF('Validation Engine'!B6="PASS","✓","—"),"—")</f>
        <v>✓</v>
      </c>
      <c r="E67" s="1274"/>
      <c r="F67" s="1273" t="str">
        <f>IFERROR(IF('Validation Engine'!B7="PASS","✓","—"),"—")</f>
        <v>✓</v>
      </c>
      <c r="G67" s="1274"/>
      <c r="H67" s="1273" t="str">
        <f>IFERROR(IF('Validation Engine'!B8="PASS","✓","—"),"—")</f>
        <v>✓</v>
      </c>
      <c r="I67" s="1274"/>
      <c r="J67" s="1273" t="str">
        <f>IFERROR(IF('Validation Engine'!B9="PASS","✓","—"),"—")</f>
        <v>✓</v>
      </c>
      <c r="K67" s="1300"/>
      <c r="L67" s="864"/>
      <c r="M67" s="858"/>
    </row>
    <row r="68" spans="1:13" ht="18" customHeight="1" thickBot="1" x14ac:dyDescent="0.35">
      <c r="A68" s="859"/>
      <c r="B68" s="865"/>
      <c r="C68" s="866"/>
      <c r="D68" s="865"/>
      <c r="E68" s="866"/>
      <c r="F68" s="865"/>
      <c r="G68" s="866"/>
      <c r="H68" s="865"/>
      <c r="I68" s="866"/>
      <c r="J68" s="865"/>
      <c r="K68" s="867"/>
      <c r="L68" s="860"/>
      <c r="M68" s="856"/>
    </row>
    <row r="69" spans="1:13" ht="30" customHeight="1" x14ac:dyDescent="0.3">
      <c r="A69" s="1293" t="s">
        <v>551</v>
      </c>
      <c r="B69" s="1293"/>
      <c r="C69" s="1293"/>
      <c r="D69" s="1293"/>
      <c r="E69" s="1293"/>
      <c r="F69" s="1293"/>
      <c r="G69" s="1293"/>
      <c r="H69" s="1293"/>
      <c r="I69" s="1293"/>
      <c r="J69" s="1293"/>
      <c r="K69" s="1293"/>
      <c r="L69" s="1293"/>
      <c r="M69" s="872"/>
    </row>
    <row r="70" spans="1:13" ht="24" customHeight="1" x14ac:dyDescent="0.3"/>
    <row r="72" spans="1:13" ht="45.75" customHeight="1" x14ac:dyDescent="0.3"/>
    <row r="73" spans="1:13" ht="45.75" customHeight="1" x14ac:dyDescent="0.3"/>
    <row r="74" spans="1:13" ht="45.75" customHeight="1" x14ac:dyDescent="0.3"/>
    <row r="75" spans="1:13" ht="45.75" customHeight="1" x14ac:dyDescent="0.3"/>
    <row r="76" spans="1:13" ht="45.75" customHeight="1" x14ac:dyDescent="0.3"/>
    <row r="77" spans="1:13" ht="45.75" customHeight="1" x14ac:dyDescent="0.3"/>
    <row r="78" spans="1:13" ht="45.75" customHeight="1" x14ac:dyDescent="0.3"/>
  </sheetData>
  <mergeCells count="61">
    <mergeCell ref="A50:L50"/>
    <mergeCell ref="A57:L57"/>
    <mergeCell ref="A69:L69"/>
    <mergeCell ref="A20:L20"/>
    <mergeCell ref="B58:L58"/>
    <mergeCell ref="B59:L59"/>
    <mergeCell ref="B60:L60"/>
    <mergeCell ref="B61:L61"/>
    <mergeCell ref="B62:L62"/>
    <mergeCell ref="H66:I66"/>
    <mergeCell ref="H67:I67"/>
    <mergeCell ref="J66:K66"/>
    <mergeCell ref="J67:K67"/>
    <mergeCell ref="A65:L65"/>
    <mergeCell ref="B66:C66"/>
    <mergeCell ref="B67:C67"/>
    <mergeCell ref="A1:L1"/>
    <mergeCell ref="A2:L2"/>
    <mergeCell ref="A16:L16"/>
    <mergeCell ref="A23:L23"/>
    <mergeCell ref="A32:L32"/>
    <mergeCell ref="A8:C8"/>
    <mergeCell ref="A9:C9"/>
    <mergeCell ref="A10:C10"/>
    <mergeCell ref="J5:L5"/>
    <mergeCell ref="J6:L6"/>
    <mergeCell ref="A12:C12"/>
    <mergeCell ref="A13:C13"/>
    <mergeCell ref="A14:C14"/>
    <mergeCell ref="D13:F13"/>
    <mergeCell ref="D14:F14"/>
    <mergeCell ref="G12:I12"/>
    <mergeCell ref="D66:E66"/>
    <mergeCell ref="D67:E67"/>
    <mergeCell ref="F66:G66"/>
    <mergeCell ref="F67:G67"/>
    <mergeCell ref="J8:L8"/>
    <mergeCell ref="J9:L9"/>
    <mergeCell ref="D8:F8"/>
    <mergeCell ref="D9:F9"/>
    <mergeCell ref="G8:I8"/>
    <mergeCell ref="G9:I9"/>
    <mergeCell ref="J12:L12"/>
    <mergeCell ref="J13:L13"/>
    <mergeCell ref="D10:F10"/>
    <mergeCell ref="G10:I10"/>
    <mergeCell ref="J10:L10"/>
    <mergeCell ref="D12:F12"/>
    <mergeCell ref="J4:L4"/>
    <mergeCell ref="J14:L14"/>
    <mergeCell ref="G13:I13"/>
    <mergeCell ref="G14:I14"/>
    <mergeCell ref="A4:C4"/>
    <mergeCell ref="A5:C5"/>
    <mergeCell ref="A6:C6"/>
    <mergeCell ref="D4:F4"/>
    <mergeCell ref="D5:F5"/>
    <mergeCell ref="D6:F6"/>
    <mergeCell ref="G4:I4"/>
    <mergeCell ref="G5:I5"/>
    <mergeCell ref="G6:I6"/>
  </mergeCells>
  <conditionalFormatting sqref="C18">
    <cfRule type="cellIs" dxfId="15" priority="5" operator="greaterThan">
      <formula>0</formula>
    </cfRule>
  </conditionalFormatting>
  <conditionalFormatting sqref="D18">
    <cfRule type="cellIs" dxfId="14" priority="4" operator="greaterThan">
      <formula>0</formula>
    </cfRule>
  </conditionalFormatting>
  <conditionalFormatting sqref="F18">
    <cfRule type="cellIs" dxfId="13" priority="1" operator="greaterThanOrEqual">
      <formula>0.9</formula>
    </cfRule>
    <cfRule type="cellIs" dxfId="12" priority="2" operator="between">
      <formula>0.7</formula>
      <formula>0.9</formula>
    </cfRule>
    <cfRule type="cellIs" dxfId="11" priority="3" operator="lessThan">
      <formula>0.7</formula>
    </cfRule>
  </conditionalFormatting>
  <pageMargins left="0.75" right="0.75" top="1" bottom="1" header="0.511811023622047" footer="0.511811023622047"/>
  <pageSetup paperSize="9" fitToHeight="0" orientation="landscape"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E79"/>
  <sheetViews>
    <sheetView showGridLines="0" topLeftCell="A42" zoomScale="93" zoomScaleNormal="99" workbookViewId="0">
      <selection activeCell="J67" sqref="J67"/>
    </sheetView>
  </sheetViews>
  <sheetFormatPr defaultColWidth="8.6640625" defaultRowHeight="14.4" x14ac:dyDescent="0.3"/>
  <cols>
    <col min="1" max="1" width="37" customWidth="1"/>
    <col min="2" max="2" width="20.33203125" customWidth="1"/>
    <col min="3" max="4" width="17.5546875" customWidth="1"/>
    <col min="5" max="5" width="37" customWidth="1"/>
  </cols>
  <sheetData>
    <row r="1" spans="1:5" ht="30" customHeight="1" thickBot="1" x14ac:dyDescent="0.35">
      <c r="A1" s="1421" t="s">
        <v>20</v>
      </c>
      <c r="B1" s="1420"/>
      <c r="C1" s="1420"/>
      <c r="D1" s="1420"/>
      <c r="E1" s="1422"/>
    </row>
    <row r="2" spans="1:5" ht="4.95" customHeight="1" thickBot="1" x14ac:dyDescent="0.35">
      <c r="A2" s="3"/>
      <c r="B2" s="3"/>
      <c r="C2" s="3"/>
      <c r="D2" s="3"/>
      <c r="E2" s="3"/>
    </row>
    <row r="3" spans="1:5" ht="22.05" customHeight="1" x14ac:dyDescent="0.3">
      <c r="A3" s="1458" t="s">
        <v>295</v>
      </c>
      <c r="B3" s="1459" t="s">
        <v>21</v>
      </c>
      <c r="C3" s="1459" t="s">
        <v>22</v>
      </c>
      <c r="D3" s="1459" t="s">
        <v>1</v>
      </c>
      <c r="E3" s="1460"/>
    </row>
    <row r="4" spans="1:5" ht="41.4" x14ac:dyDescent="0.3">
      <c r="A4" s="1463" t="s">
        <v>4</v>
      </c>
      <c r="B4" s="1506">
        <f>DATE(2026,4,15)</f>
        <v>46127</v>
      </c>
      <c r="C4" s="1464" t="s">
        <v>296</v>
      </c>
      <c r="D4" s="1464" t="s">
        <v>319</v>
      </c>
      <c r="E4" s="1465"/>
    </row>
    <row r="5" spans="1:5" ht="69" x14ac:dyDescent="0.3">
      <c r="A5" s="1466" t="s">
        <v>23</v>
      </c>
      <c r="B5" s="1507">
        <v>92.98</v>
      </c>
      <c r="C5" s="1467" t="s">
        <v>24</v>
      </c>
      <c r="D5" s="1467" t="s">
        <v>320</v>
      </c>
      <c r="E5" s="1468"/>
    </row>
    <row r="6" spans="1:5" ht="96.6" x14ac:dyDescent="0.3">
      <c r="A6" s="1463" t="s">
        <v>25</v>
      </c>
      <c r="B6" s="1508" t="b">
        <v>1</v>
      </c>
      <c r="C6" s="1464" t="s">
        <v>26</v>
      </c>
      <c r="D6" s="1464" t="s">
        <v>321</v>
      </c>
      <c r="E6" s="1465"/>
    </row>
    <row r="7" spans="1:5" ht="55.2" x14ac:dyDescent="0.3">
      <c r="A7" s="1466" t="s">
        <v>27</v>
      </c>
      <c r="B7" s="1508">
        <v>365</v>
      </c>
      <c r="C7" s="1467" t="s">
        <v>28</v>
      </c>
      <c r="D7" s="1467" t="s">
        <v>322</v>
      </c>
      <c r="E7" s="1468"/>
    </row>
    <row r="8" spans="1:5" ht="55.2" x14ac:dyDescent="0.3">
      <c r="A8" s="1462" t="s">
        <v>297</v>
      </c>
      <c r="B8" s="1509" t="s">
        <v>29</v>
      </c>
      <c r="C8" s="1457" t="s">
        <v>30</v>
      </c>
      <c r="D8" s="1457" t="s">
        <v>323</v>
      </c>
      <c r="E8" s="1461"/>
    </row>
    <row r="9" spans="1:5" ht="15" thickBot="1" x14ac:dyDescent="0.35">
      <c r="A9" s="1469"/>
      <c r="B9" s="1470"/>
      <c r="C9" s="1471"/>
      <c r="D9" s="1472"/>
      <c r="E9" s="1473"/>
    </row>
    <row r="10" spans="1:5" ht="6" customHeight="1" thickBot="1" x14ac:dyDescent="0.35">
      <c r="A10" s="1474"/>
      <c r="B10" s="1475"/>
      <c r="C10" s="1475"/>
      <c r="D10" s="1476"/>
      <c r="E10" s="1477"/>
    </row>
    <row r="11" spans="1:5" ht="22.05" customHeight="1" x14ac:dyDescent="0.3">
      <c r="A11" s="1458" t="s">
        <v>298</v>
      </c>
      <c r="B11" s="1459" t="s">
        <v>32</v>
      </c>
      <c r="C11" s="1459"/>
      <c r="D11" s="1459" t="s">
        <v>33</v>
      </c>
      <c r="E11" s="1460"/>
    </row>
    <row r="12" spans="1:5" ht="27.6" x14ac:dyDescent="0.3">
      <c r="A12" s="1463" t="s">
        <v>85</v>
      </c>
      <c r="B12" s="1510">
        <v>0.09</v>
      </c>
      <c r="C12" s="1464"/>
      <c r="D12" s="1464" t="s">
        <v>324</v>
      </c>
      <c r="E12" s="1465"/>
    </row>
    <row r="13" spans="1:5" ht="27.6" x14ac:dyDescent="0.3">
      <c r="A13" s="1466" t="s">
        <v>127</v>
      </c>
      <c r="B13" s="1510">
        <v>0.09</v>
      </c>
      <c r="C13" s="1467"/>
      <c r="D13" s="1467" t="s">
        <v>325</v>
      </c>
      <c r="E13" s="1468"/>
    </row>
    <row r="14" spans="1:5" ht="41.4" x14ac:dyDescent="0.3">
      <c r="A14" s="1463" t="s">
        <v>144</v>
      </c>
      <c r="B14" s="1510">
        <v>8.3000000000000004E-2</v>
      </c>
      <c r="C14" s="1464"/>
      <c r="D14" s="1464" t="s">
        <v>326</v>
      </c>
      <c r="E14" s="1465"/>
    </row>
    <row r="15" spans="1:5" ht="41.4" x14ac:dyDescent="0.3">
      <c r="A15" s="1466" t="s">
        <v>161</v>
      </c>
      <c r="B15" s="1510">
        <v>9.7500000000000003E-2</v>
      </c>
      <c r="C15" s="1467"/>
      <c r="D15" s="1467" t="s">
        <v>327</v>
      </c>
      <c r="E15" s="1468"/>
    </row>
    <row r="16" spans="1:5" ht="41.4" x14ac:dyDescent="0.3">
      <c r="A16" s="1463" t="s">
        <v>139</v>
      </c>
      <c r="B16" s="1510">
        <v>8.5000000000000006E-2</v>
      </c>
      <c r="C16" s="1464"/>
      <c r="D16" s="1464" t="s">
        <v>328</v>
      </c>
      <c r="E16" s="1465"/>
    </row>
    <row r="17" spans="1:5" ht="27.6" x14ac:dyDescent="0.3">
      <c r="A17" s="1466" t="s">
        <v>299</v>
      </c>
      <c r="B17" s="1510">
        <v>4.2999999999999997E-2</v>
      </c>
      <c r="C17" s="1467"/>
      <c r="D17" s="1467" t="s">
        <v>329</v>
      </c>
      <c r="E17" s="1468"/>
    </row>
    <row r="18" spans="1:5" ht="27.6" x14ac:dyDescent="0.3">
      <c r="A18" s="1463" t="s">
        <v>34</v>
      </c>
      <c r="B18" s="1510">
        <v>5.1799999999999999E-2</v>
      </c>
      <c r="C18" s="1464"/>
      <c r="D18" s="1464" t="s">
        <v>330</v>
      </c>
      <c r="E18" s="1465"/>
    </row>
    <row r="19" spans="1:5" ht="27.6" x14ac:dyDescent="0.3">
      <c r="A19" s="1466" t="s">
        <v>147</v>
      </c>
      <c r="B19" s="1510">
        <v>5.2499999999999998E-2</v>
      </c>
      <c r="C19" s="1467"/>
      <c r="D19" s="1467" t="s">
        <v>331</v>
      </c>
      <c r="E19" s="1468"/>
    </row>
    <row r="20" spans="1:5" ht="42" thickBot="1" x14ac:dyDescent="0.35">
      <c r="A20" s="1463" t="s">
        <v>300</v>
      </c>
      <c r="B20" s="1510">
        <v>7.0000000000000007E-2</v>
      </c>
      <c r="C20" s="1464"/>
      <c r="D20" s="1464" t="s">
        <v>332</v>
      </c>
      <c r="E20" s="1465"/>
    </row>
    <row r="21" spans="1:5" ht="6" customHeight="1" thickBot="1" x14ac:dyDescent="0.35">
      <c r="A21" s="1478"/>
      <c r="B21" s="1479"/>
      <c r="C21" s="1479"/>
      <c r="D21" s="1480"/>
      <c r="E21" s="1481"/>
    </row>
    <row r="22" spans="1:5" ht="22.05" customHeight="1" x14ac:dyDescent="0.3">
      <c r="A22" s="1458" t="s">
        <v>301</v>
      </c>
      <c r="B22" s="1459" t="s">
        <v>333</v>
      </c>
      <c r="C22" s="1459" t="s">
        <v>302</v>
      </c>
      <c r="D22" s="1459" t="s">
        <v>303</v>
      </c>
      <c r="E22" s="1460"/>
    </row>
    <row r="23" spans="1:5" x14ac:dyDescent="0.3">
      <c r="A23" s="1482"/>
      <c r="B23" s="1483"/>
      <c r="C23" s="1483"/>
      <c r="D23" s="1483"/>
      <c r="E23" s="1484"/>
    </row>
    <row r="24" spans="1:5" x14ac:dyDescent="0.3">
      <c r="A24" s="1463" t="s">
        <v>272</v>
      </c>
      <c r="B24" s="1515" cm="1">
        <f t="array" ref="B24">IFERROR(IF(FinBasis="Actual",C24,D24),0)</f>
        <v>383.96</v>
      </c>
      <c r="C24" s="1511">
        <v>173.37</v>
      </c>
      <c r="D24" s="1511">
        <v>383.96</v>
      </c>
      <c r="E24" s="1465"/>
    </row>
    <row r="25" spans="1:5" x14ac:dyDescent="0.3">
      <c r="A25" s="1466" t="s">
        <v>36</v>
      </c>
      <c r="B25" s="1515" cm="1">
        <f t="array" ref="B25">IFERROR(IF(FinBasis="Actual",C25,D25),0)</f>
        <v>613.03</v>
      </c>
      <c r="C25" s="1511">
        <v>471.82</v>
      </c>
      <c r="D25" s="1511">
        <v>613.03</v>
      </c>
      <c r="E25" s="1468"/>
    </row>
    <row r="26" spans="1:5" x14ac:dyDescent="0.3">
      <c r="A26" s="1463" t="s">
        <v>37</v>
      </c>
      <c r="B26" s="1515" cm="1">
        <f t="array" ref="B26">IFERROR(IF(FinBasis="Actual",C26,D26),0)</f>
        <v>431.28</v>
      </c>
      <c r="C26" s="1511">
        <v>324.01</v>
      </c>
      <c r="D26" s="1511">
        <v>431.28</v>
      </c>
      <c r="E26" s="1465"/>
    </row>
    <row r="27" spans="1:5" x14ac:dyDescent="0.3">
      <c r="A27" s="1466" t="s">
        <v>38</v>
      </c>
      <c r="B27" s="1515" cm="1">
        <f t="array" ref="B27">IFERROR(IF(FinBasis="Actual",C27,D27),0)</f>
        <v>740.13</v>
      </c>
      <c r="C27" s="1511">
        <v>720.11</v>
      </c>
      <c r="D27" s="1511">
        <v>740.13</v>
      </c>
      <c r="E27" s="1468"/>
    </row>
    <row r="28" spans="1:5" x14ac:dyDescent="0.3">
      <c r="A28" s="1463" t="s">
        <v>39</v>
      </c>
      <c r="B28" s="1515" cm="1">
        <f t="array" ref="B28">IFERROR(IF(FinBasis="Actual",C28,D28),0)</f>
        <v>720.76</v>
      </c>
      <c r="C28" s="1511">
        <v>588.29</v>
      </c>
      <c r="D28" s="1511">
        <v>720.76</v>
      </c>
      <c r="E28" s="1465"/>
    </row>
    <row r="29" spans="1:5" x14ac:dyDescent="0.3">
      <c r="A29" s="1466" t="s">
        <v>40</v>
      </c>
      <c r="B29" s="1515" cm="1">
        <f t="array" ref="B29">IFERROR(IF(FinBasis="Actual",C29,D29),0)</f>
        <v>755.02</v>
      </c>
      <c r="C29" s="1511">
        <v>711.3</v>
      </c>
      <c r="D29" s="1511">
        <v>755.02</v>
      </c>
      <c r="E29" s="1468"/>
    </row>
    <row r="30" spans="1:5" x14ac:dyDescent="0.3">
      <c r="A30" s="1463" t="s">
        <v>41</v>
      </c>
      <c r="B30" s="1515" cm="1">
        <f t="array" ref="B30">IFERROR(IF(FinBasis="Actual",C30,D30),0)</f>
        <v>544.79</v>
      </c>
      <c r="C30" s="1511">
        <v>513.82000000000005</v>
      </c>
      <c r="D30" s="1511">
        <v>544.79</v>
      </c>
      <c r="E30" s="1465"/>
    </row>
    <row r="31" spans="1:5" x14ac:dyDescent="0.3">
      <c r="A31" s="1466" t="s">
        <v>42</v>
      </c>
      <c r="B31" s="1515" cm="1">
        <f t="array" ref="B31">IFERROR(IF(FinBasis="Actual",C31,D31),0)</f>
        <v>1143.49</v>
      </c>
      <c r="C31" s="1511">
        <v>1143.77</v>
      </c>
      <c r="D31" s="1511">
        <v>1143.49</v>
      </c>
      <c r="E31" s="1468"/>
    </row>
    <row r="32" spans="1:5" x14ac:dyDescent="0.3">
      <c r="A32" s="1463" t="s">
        <v>43</v>
      </c>
      <c r="B32" s="1515" cm="1">
        <f t="array" ref="B32">IFERROR(IF(FinBasis="Actual",C32,D32),0)</f>
        <v>49.08</v>
      </c>
      <c r="C32" s="1511">
        <v>39.869999999999997</v>
      </c>
      <c r="D32" s="1511">
        <v>49.08</v>
      </c>
      <c r="E32" s="1465"/>
    </row>
    <row r="33" spans="1:5" x14ac:dyDescent="0.3">
      <c r="A33" s="1466" t="s">
        <v>44</v>
      </c>
      <c r="B33" s="1515" cm="1">
        <f t="array" ref="B33">IFERROR(IF(FinBasis="Actual",C33,D33),0)</f>
        <v>937.69</v>
      </c>
      <c r="C33" s="1511">
        <v>449.34</v>
      </c>
      <c r="D33" s="1511">
        <v>937.69</v>
      </c>
      <c r="E33" s="1468"/>
    </row>
    <row r="34" spans="1:5" x14ac:dyDescent="0.3">
      <c r="A34" s="1463" t="s">
        <v>45</v>
      </c>
      <c r="B34" s="1515" cm="1">
        <f t="array" ref="B34">IFERROR(IF(FinBasis="Actual",C34,D34),0)</f>
        <v>431.28</v>
      </c>
      <c r="C34" s="1511">
        <v>324.01</v>
      </c>
      <c r="D34" s="1511">
        <v>431.28</v>
      </c>
      <c r="E34" s="1465"/>
    </row>
    <row r="35" spans="1:5" x14ac:dyDescent="0.3">
      <c r="A35" s="1466" t="s">
        <v>46</v>
      </c>
      <c r="B35" s="1516" t="str" cm="1">
        <f t="array" ref="B35">IFERROR(IF(FinBasis="Actual",C35,D35),0)</f>
        <v>CARE A+; Stable / A1</v>
      </c>
      <c r="C35" s="1512" t="s">
        <v>47</v>
      </c>
      <c r="D35" s="1512" t="s">
        <v>47</v>
      </c>
      <c r="E35" s="1468"/>
    </row>
    <row r="36" spans="1:5" x14ac:dyDescent="0.3">
      <c r="A36" s="1463" t="s">
        <v>48</v>
      </c>
      <c r="B36" s="1517" cm="1">
        <f t="array" ref="B36">IFERROR(IF(FinBasis="Actual",C36,D36),0)</f>
        <v>1</v>
      </c>
      <c r="C36" s="1513">
        <v>1</v>
      </c>
      <c r="D36" s="1513">
        <v>1</v>
      </c>
      <c r="E36" s="1465"/>
    </row>
    <row r="37" spans="1:5" x14ac:dyDescent="0.3">
      <c r="A37" s="1466" t="s">
        <v>49</v>
      </c>
      <c r="B37" s="1515" cm="1">
        <f t="array" ref="B37">IFERROR(IF(FinBasis="Actual",C37,D37),0)</f>
        <v>170.07</v>
      </c>
      <c r="C37" s="1511">
        <v>18.760000000000002</v>
      </c>
      <c r="D37" s="1511">
        <v>170.07</v>
      </c>
      <c r="E37" s="1468"/>
    </row>
    <row r="38" spans="1:5" x14ac:dyDescent="0.3">
      <c r="A38" s="1463" t="s">
        <v>292</v>
      </c>
      <c r="B38" s="1515" cm="1">
        <f t="array" ref="B38">IFERROR(IF(FinBasis="Actual",C38,D38),0)</f>
        <v>69.36</v>
      </c>
      <c r="C38" s="1511">
        <v>0</v>
      </c>
      <c r="D38" s="1511">
        <v>69.36</v>
      </c>
      <c r="E38" s="1465"/>
    </row>
    <row r="39" spans="1:5" ht="15" thickBot="1" x14ac:dyDescent="0.35">
      <c r="A39" s="1466" t="s">
        <v>293</v>
      </c>
      <c r="B39" s="1515" cm="1">
        <f t="array" ref="B39">IFERROR(IF(FinBasis="Actual",C39,D39),0)</f>
        <v>41.09</v>
      </c>
      <c r="C39" s="1511">
        <v>0</v>
      </c>
      <c r="D39" s="1511">
        <v>41.09</v>
      </c>
      <c r="E39" s="1468"/>
    </row>
    <row r="40" spans="1:5" ht="6" customHeight="1" thickBot="1" x14ac:dyDescent="0.35">
      <c r="A40" s="1478"/>
      <c r="B40" s="1479"/>
      <c r="C40" s="1479"/>
      <c r="D40" s="1480"/>
      <c r="E40" s="1481"/>
    </row>
    <row r="41" spans="1:5" ht="22.05" customHeight="1" x14ac:dyDescent="0.3">
      <c r="A41" s="1458" t="s">
        <v>304</v>
      </c>
      <c r="B41" s="1459" t="s">
        <v>21</v>
      </c>
      <c r="C41" s="1459"/>
      <c r="D41" s="1459"/>
      <c r="E41" s="1460"/>
    </row>
    <row r="42" spans="1:5" x14ac:dyDescent="0.3">
      <c r="A42" s="1463" t="s">
        <v>305</v>
      </c>
      <c r="B42" s="1514">
        <v>100</v>
      </c>
      <c r="C42" s="1464"/>
      <c r="D42" s="1464"/>
      <c r="E42" s="1465"/>
    </row>
    <row r="43" spans="1:5" x14ac:dyDescent="0.3">
      <c r="A43" s="1466" t="s">
        <v>306</v>
      </c>
      <c r="B43" s="1514">
        <v>100</v>
      </c>
      <c r="C43" s="1467"/>
      <c r="D43" s="1467"/>
      <c r="E43" s="1468"/>
    </row>
    <row r="44" spans="1:5" x14ac:dyDescent="0.3">
      <c r="A44" s="1463" t="s">
        <v>307</v>
      </c>
      <c r="B44" s="1514">
        <v>172</v>
      </c>
      <c r="C44" s="1464"/>
      <c r="D44" s="1464"/>
      <c r="E44" s="1465"/>
    </row>
    <row r="45" spans="1:5" x14ac:dyDescent="0.3">
      <c r="A45" s="1466" t="s">
        <v>308</v>
      </c>
      <c r="B45" s="1514">
        <v>50</v>
      </c>
      <c r="C45" s="1467"/>
      <c r="D45" s="1467"/>
      <c r="E45" s="1468"/>
    </row>
    <row r="46" spans="1:5" ht="15" thickBot="1" x14ac:dyDescent="0.35">
      <c r="A46" s="1463" t="s">
        <v>309</v>
      </c>
      <c r="B46" s="1514">
        <v>50</v>
      </c>
      <c r="C46" s="1464"/>
      <c r="D46" s="1464"/>
      <c r="E46" s="1465"/>
    </row>
    <row r="47" spans="1:5" ht="6" customHeight="1" thickBot="1" x14ac:dyDescent="0.35">
      <c r="A47" s="1478"/>
      <c r="B47" s="1479"/>
      <c r="C47" s="1479"/>
      <c r="D47" s="1480"/>
      <c r="E47" s="1481"/>
    </row>
    <row r="48" spans="1:5" ht="22.05" customHeight="1" x14ac:dyDescent="0.3">
      <c r="A48" s="1458" t="s">
        <v>310</v>
      </c>
      <c r="B48" s="1459" t="s">
        <v>334</v>
      </c>
      <c r="C48" s="1459"/>
      <c r="D48" s="1459"/>
      <c r="E48" s="1460"/>
    </row>
    <row r="49" spans="1:5" x14ac:dyDescent="0.3">
      <c r="A49" s="1463" t="s">
        <v>311</v>
      </c>
      <c r="B49" s="1506">
        <f>DATE(2029,3,31)</f>
        <v>47208</v>
      </c>
      <c r="C49" s="1464"/>
      <c r="D49" s="1464"/>
      <c r="E49" s="1465"/>
    </row>
    <row r="50" spans="1:5" x14ac:dyDescent="0.3">
      <c r="A50" s="1466" t="s">
        <v>312</v>
      </c>
      <c r="B50" s="1506">
        <f>DATE(2025,3,31)</f>
        <v>45747</v>
      </c>
      <c r="C50" s="1467"/>
      <c r="D50" s="1467"/>
      <c r="E50" s="1468"/>
    </row>
    <row r="51" spans="1:5" x14ac:dyDescent="0.3">
      <c r="A51" s="1463" t="s">
        <v>313</v>
      </c>
      <c r="B51" s="1506">
        <f>DATE(2036,9,30)</f>
        <v>49948</v>
      </c>
      <c r="C51" s="1464"/>
      <c r="D51" s="1464"/>
      <c r="E51" s="1465"/>
    </row>
    <row r="52" spans="1:5" ht="15" thickBot="1" x14ac:dyDescent="0.35">
      <c r="A52" s="1466" t="s">
        <v>314</v>
      </c>
      <c r="B52" s="1506">
        <f>DATE(2033,8,31)</f>
        <v>48822</v>
      </c>
      <c r="C52" s="1467"/>
      <c r="D52" s="1467"/>
      <c r="E52" s="1468"/>
    </row>
    <row r="53" spans="1:5" ht="6" customHeight="1" thickBot="1" x14ac:dyDescent="0.35">
      <c r="A53" s="1474"/>
      <c r="B53" s="1475"/>
      <c r="C53" s="1475"/>
      <c r="D53" s="1476"/>
      <c r="E53" s="1477"/>
    </row>
    <row r="54" spans="1:5" ht="22.05" customHeight="1" x14ac:dyDescent="0.3">
      <c r="A54" s="1458" t="s">
        <v>315</v>
      </c>
      <c r="B54" s="1459" t="s">
        <v>51</v>
      </c>
      <c r="C54" s="1459"/>
      <c r="D54" s="1459"/>
      <c r="E54" s="1460"/>
    </row>
    <row r="55" spans="1:5" x14ac:dyDescent="0.3">
      <c r="A55" s="1463" t="s">
        <v>316</v>
      </c>
      <c r="B55" s="1508">
        <v>9</v>
      </c>
      <c r="C55" s="1464"/>
      <c r="D55" s="1464"/>
      <c r="E55" s="1465"/>
    </row>
    <row r="56" spans="1:5" x14ac:dyDescent="0.3">
      <c r="A56" s="1466" t="s">
        <v>317</v>
      </c>
      <c r="B56" s="1508">
        <v>21</v>
      </c>
      <c r="C56" s="1467"/>
      <c r="D56" s="1467"/>
      <c r="E56" s="1468"/>
    </row>
    <row r="57" spans="1:5" ht="15" thickBot="1" x14ac:dyDescent="0.35">
      <c r="A57" s="1463" t="s">
        <v>318</v>
      </c>
      <c r="B57" s="1508">
        <v>22</v>
      </c>
      <c r="C57" s="1464"/>
      <c r="D57" s="1464"/>
      <c r="E57" s="1465"/>
    </row>
    <row r="58" spans="1:5" ht="6" customHeight="1" thickBot="1" x14ac:dyDescent="0.35">
      <c r="A58" s="1487"/>
      <c r="B58" s="1485"/>
      <c r="C58" s="1485"/>
      <c r="D58" s="1485"/>
      <c r="E58" s="1488"/>
    </row>
    <row r="59" spans="1:5" ht="22.05" customHeight="1" x14ac:dyDescent="0.3">
      <c r="A59" s="1490" t="s">
        <v>756</v>
      </c>
      <c r="B59" s="1486"/>
      <c r="C59" s="1486"/>
      <c r="D59" s="1486"/>
      <c r="E59" s="1491"/>
    </row>
    <row r="60" spans="1:5" ht="18" customHeight="1" x14ac:dyDescent="0.3">
      <c r="A60" s="1492" t="s">
        <v>757</v>
      </c>
      <c r="B60" s="1489" t="s">
        <v>758</v>
      </c>
      <c r="C60" s="1489" t="s">
        <v>1</v>
      </c>
      <c r="D60" s="1489"/>
      <c r="E60" s="1493"/>
    </row>
    <row r="61" spans="1:5" ht="18" customHeight="1" x14ac:dyDescent="0.3">
      <c r="A61" s="1494" t="s">
        <v>759</v>
      </c>
      <c r="B61" s="1495">
        <v>21</v>
      </c>
      <c r="C61" s="1496" t="s">
        <v>760</v>
      </c>
      <c r="D61" s="1496"/>
      <c r="E61" s="1497"/>
    </row>
    <row r="62" spans="1:5" ht="18" customHeight="1" x14ac:dyDescent="0.3">
      <c r="A62" s="1498" t="s">
        <v>761</v>
      </c>
      <c r="B62" s="1499">
        <v>20</v>
      </c>
      <c r="C62" s="1500"/>
      <c r="D62" s="1500"/>
      <c r="E62" s="1501"/>
    </row>
    <row r="63" spans="1:5" ht="18" customHeight="1" x14ac:dyDescent="0.3">
      <c r="A63" s="1494" t="s">
        <v>762</v>
      </c>
      <c r="B63" s="1495">
        <v>19</v>
      </c>
      <c r="C63" s="1496"/>
      <c r="D63" s="1496"/>
      <c r="E63" s="1497"/>
    </row>
    <row r="64" spans="1:5" ht="18" customHeight="1" x14ac:dyDescent="0.3">
      <c r="A64" s="1498" t="s">
        <v>763</v>
      </c>
      <c r="B64" s="1499">
        <v>18</v>
      </c>
      <c r="C64" s="1500"/>
      <c r="D64" s="1500"/>
      <c r="E64" s="1501"/>
    </row>
    <row r="65" spans="1:5" ht="18" customHeight="1" x14ac:dyDescent="0.3">
      <c r="A65" s="1494" t="s">
        <v>764</v>
      </c>
      <c r="B65" s="1495">
        <v>17</v>
      </c>
      <c r="C65" s="1496" t="s">
        <v>765</v>
      </c>
      <c r="D65" s="1496"/>
      <c r="E65" s="1497"/>
    </row>
    <row r="66" spans="1:5" ht="18" customHeight="1" x14ac:dyDescent="0.3">
      <c r="A66" s="1498" t="s">
        <v>766</v>
      </c>
      <c r="B66" s="1499">
        <v>16</v>
      </c>
      <c r="C66" s="1500"/>
      <c r="D66" s="1500"/>
      <c r="E66" s="1501"/>
    </row>
    <row r="67" spans="1:5" ht="18" customHeight="1" x14ac:dyDescent="0.3">
      <c r="A67" s="1494" t="s">
        <v>471</v>
      </c>
      <c r="B67" s="1495">
        <v>15</v>
      </c>
      <c r="C67" s="1496" t="s">
        <v>767</v>
      </c>
      <c r="D67" s="1496"/>
      <c r="E67" s="1497"/>
    </row>
    <row r="68" spans="1:5" ht="18" customHeight="1" x14ac:dyDescent="0.3">
      <c r="A68" s="1498" t="s">
        <v>463</v>
      </c>
      <c r="B68" s="1499">
        <v>14</v>
      </c>
      <c r="C68" s="1500" t="s">
        <v>768</v>
      </c>
      <c r="D68" s="1500"/>
      <c r="E68" s="1501"/>
    </row>
    <row r="69" spans="1:5" ht="18" customHeight="1" x14ac:dyDescent="0.3">
      <c r="A69" s="1494" t="s">
        <v>769</v>
      </c>
      <c r="B69" s="1495">
        <v>13</v>
      </c>
      <c r="C69" s="1496"/>
      <c r="D69" s="1496"/>
      <c r="E69" s="1497"/>
    </row>
    <row r="70" spans="1:5" ht="18" customHeight="1" x14ac:dyDescent="0.3">
      <c r="A70" s="1498" t="s">
        <v>770</v>
      </c>
      <c r="B70" s="1499">
        <v>12</v>
      </c>
      <c r="C70" s="1500"/>
      <c r="D70" s="1500"/>
      <c r="E70" s="1501"/>
    </row>
    <row r="71" spans="1:5" ht="18" customHeight="1" x14ac:dyDescent="0.3">
      <c r="A71" s="1494" t="s">
        <v>771</v>
      </c>
      <c r="B71" s="1495">
        <v>11</v>
      </c>
      <c r="C71" s="1496" t="s">
        <v>772</v>
      </c>
      <c r="D71" s="1496"/>
      <c r="E71" s="1497"/>
    </row>
    <row r="72" spans="1:5" ht="18" customHeight="1" thickBot="1" x14ac:dyDescent="0.35">
      <c r="A72" s="1502" t="s">
        <v>773</v>
      </c>
      <c r="B72" s="1503">
        <v>10</v>
      </c>
      <c r="C72" s="1504"/>
      <c r="D72" s="1504"/>
      <c r="E72" s="1505"/>
    </row>
    <row r="73" spans="1:5" ht="19.5" customHeight="1" x14ac:dyDescent="0.3"/>
    <row r="74" spans="1:5" ht="19.5" customHeight="1" x14ac:dyDescent="0.3"/>
    <row r="75" spans="1:5" ht="19.5" customHeight="1" x14ac:dyDescent="0.3"/>
    <row r="76" spans="1:5" ht="19.5" customHeight="1" x14ac:dyDescent="0.3"/>
    <row r="77" spans="1:5" ht="64.5" customHeight="1" x14ac:dyDescent="0.3"/>
    <row r="78" spans="1:5" ht="64.5" customHeight="1" x14ac:dyDescent="0.3"/>
    <row r="79" spans="1:5" ht="64.5" customHeight="1" x14ac:dyDescent="0.3"/>
  </sheetData>
  <mergeCells count="1">
    <mergeCell ref="A1:E1"/>
  </mergeCells>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tabColor rgb="FF2E75B6"/>
  </sheetPr>
  <dimension ref="A1:AH42"/>
  <sheetViews>
    <sheetView showGridLines="0" zoomScaleNormal="85" workbookViewId="0">
      <pane ySplit="4" topLeftCell="A5" activePane="bottomLeft" state="frozen"/>
      <selection pane="bottomLeft" activeCell="AH22" sqref="AH22"/>
    </sheetView>
  </sheetViews>
  <sheetFormatPr defaultColWidth="8.6640625" defaultRowHeight="14.4" x14ac:dyDescent="0.3"/>
  <cols>
    <col min="1" max="1" width="9.21875" customWidth="1"/>
    <col min="2" max="2" width="20.33203125" customWidth="1"/>
    <col min="3" max="3" width="35.21875" customWidth="1"/>
    <col min="4" max="4" width="13.88671875" customWidth="1"/>
    <col min="5" max="5" width="14.77734375" customWidth="1"/>
    <col min="6" max="6" width="10.21875" customWidth="1"/>
    <col min="7" max="7" width="16.6640625" customWidth="1"/>
    <col min="8" max="8" width="12" customWidth="1"/>
    <col min="9" max="9" width="10.21875" customWidth="1"/>
    <col min="10" max="11" width="9.21875" customWidth="1"/>
    <col min="12" max="15" width="12.5546875" customWidth="1"/>
    <col min="16" max="16" width="9.21875" customWidth="1"/>
    <col min="17" max="17" width="12.5546875" customWidth="1"/>
    <col min="18" max="18" width="24.109375" customWidth="1"/>
    <col min="19" max="19" width="9.21875" customWidth="1"/>
    <col min="20" max="20" width="11.109375" customWidth="1"/>
    <col min="21" max="21" width="14.77734375" customWidth="1"/>
    <col min="22" max="22" width="10.21875" customWidth="1"/>
    <col min="23" max="23" width="12.5546875" customWidth="1"/>
    <col min="24" max="24" width="9.21875" customWidth="1"/>
    <col min="25" max="25" width="11.109375" customWidth="1"/>
    <col min="26" max="30" width="13.88671875" customWidth="1"/>
    <col min="31" max="31" width="29.6640625" customWidth="1"/>
    <col min="32" max="32" width="37" customWidth="1"/>
    <col min="33" max="33" width="27.77734375" customWidth="1"/>
    <col min="34" max="34" width="25.88671875" customWidth="1"/>
  </cols>
  <sheetData>
    <row r="1" spans="1:34" ht="28.05" customHeight="1" x14ac:dyDescent="0.3">
      <c r="A1" s="1321" t="s">
        <v>779</v>
      </c>
      <c r="B1" s="1322"/>
      <c r="C1" s="1322"/>
      <c r="D1" s="1322"/>
      <c r="E1" s="1322"/>
      <c r="F1" s="1322"/>
      <c r="G1" s="1322"/>
      <c r="H1" s="1322"/>
      <c r="I1" s="1322"/>
      <c r="J1" s="1322"/>
      <c r="K1" s="1322"/>
      <c r="L1" s="1322"/>
      <c r="M1" s="1322"/>
      <c r="N1" s="1322"/>
      <c r="O1" s="1322"/>
      <c r="P1" s="1322"/>
      <c r="Q1" s="1322"/>
      <c r="R1" s="1322"/>
      <c r="S1" s="1322"/>
      <c r="T1" s="1322"/>
      <c r="U1" s="1322"/>
      <c r="V1" s="1322"/>
      <c r="W1" s="1322"/>
      <c r="X1" s="1322"/>
      <c r="Y1" s="1322"/>
      <c r="Z1" s="1322"/>
      <c r="AA1" s="1322"/>
      <c r="AB1" s="1322"/>
      <c r="AC1" s="1322"/>
      <c r="AD1" s="1322"/>
      <c r="AE1" s="1322"/>
      <c r="AF1" s="1322"/>
      <c r="AG1" s="1322"/>
      <c r="AH1" s="1322"/>
    </row>
    <row r="2" spans="1:34" ht="4.05" customHeight="1" x14ac:dyDescent="0.3">
      <c r="A2" s="899"/>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spans="1:34" ht="22.05" customHeight="1" thickBot="1" x14ac:dyDescent="0.35">
      <c r="A3" s="900" t="s">
        <v>354</v>
      </c>
      <c r="B3" s="76"/>
      <c r="C3" s="76"/>
      <c r="D3" s="76"/>
      <c r="E3" s="76"/>
      <c r="F3" s="76"/>
      <c r="G3" s="76"/>
      <c r="H3" s="76"/>
      <c r="I3" s="76"/>
      <c r="J3" s="76"/>
      <c r="K3" s="76"/>
      <c r="L3" s="77"/>
      <c r="M3" s="77"/>
      <c r="N3" s="77"/>
      <c r="O3" s="77"/>
      <c r="P3" s="77"/>
      <c r="Q3" s="77"/>
      <c r="R3" s="78"/>
      <c r="S3" s="78"/>
      <c r="T3" s="78"/>
      <c r="U3" s="78"/>
      <c r="V3" s="79"/>
      <c r="W3" s="79"/>
      <c r="X3" s="79"/>
      <c r="Y3" s="79"/>
      <c r="Z3" s="80"/>
      <c r="AA3" s="80"/>
      <c r="AB3" s="80"/>
      <c r="AC3" s="80"/>
      <c r="AD3" s="80"/>
      <c r="AE3" s="81"/>
      <c r="AF3" s="81"/>
      <c r="AG3" s="81"/>
      <c r="AH3" s="81"/>
    </row>
    <row r="4" spans="1:34" ht="36" customHeight="1" x14ac:dyDescent="0.3">
      <c r="A4" s="970" t="s">
        <v>51</v>
      </c>
      <c r="B4" s="969" t="s">
        <v>52</v>
      </c>
      <c r="C4" s="881" t="s">
        <v>53</v>
      </c>
      <c r="D4" s="881" t="s">
        <v>54</v>
      </c>
      <c r="E4" s="881" t="s">
        <v>57</v>
      </c>
      <c r="F4" s="881" t="s">
        <v>335</v>
      </c>
      <c r="G4" s="881" t="s">
        <v>336</v>
      </c>
      <c r="H4" s="881" t="s">
        <v>337</v>
      </c>
      <c r="I4" s="881" t="s">
        <v>338</v>
      </c>
      <c r="J4" s="881" t="s">
        <v>339</v>
      </c>
      <c r="K4" s="881" t="s">
        <v>58</v>
      </c>
      <c r="L4" s="898" t="s">
        <v>340</v>
      </c>
      <c r="M4" s="898" t="s">
        <v>341</v>
      </c>
      <c r="N4" s="898" t="s">
        <v>342</v>
      </c>
      <c r="O4" s="898" t="s">
        <v>343</v>
      </c>
      <c r="P4" s="898" t="s">
        <v>344</v>
      </c>
      <c r="Q4" s="898" t="s">
        <v>175</v>
      </c>
      <c r="R4" s="881" t="s">
        <v>31</v>
      </c>
      <c r="S4" s="898" t="s">
        <v>59</v>
      </c>
      <c r="T4" s="898" t="s">
        <v>345</v>
      </c>
      <c r="U4" s="881" t="s">
        <v>55</v>
      </c>
      <c r="V4" s="898" t="s">
        <v>346</v>
      </c>
      <c r="W4" s="881" t="s">
        <v>347</v>
      </c>
      <c r="X4" s="898" t="s">
        <v>348</v>
      </c>
      <c r="Y4" s="898" t="s">
        <v>349</v>
      </c>
      <c r="Z4" s="881" t="s">
        <v>350</v>
      </c>
      <c r="AA4" s="881" t="s">
        <v>351</v>
      </c>
      <c r="AB4" s="881" t="s">
        <v>261</v>
      </c>
      <c r="AC4" s="881" t="s">
        <v>259</v>
      </c>
      <c r="AD4" s="881" t="s">
        <v>260</v>
      </c>
      <c r="AE4" s="881" t="s">
        <v>290</v>
      </c>
      <c r="AF4" s="881" t="s">
        <v>352</v>
      </c>
      <c r="AG4" s="881" t="s">
        <v>353</v>
      </c>
      <c r="AH4" s="881" t="s">
        <v>60</v>
      </c>
    </row>
    <row r="5" spans="1:34" ht="18" customHeight="1" x14ac:dyDescent="0.3">
      <c r="A5" s="972">
        <v>1</v>
      </c>
      <c r="B5" s="958" t="s">
        <v>61</v>
      </c>
      <c r="C5" s="959" t="s">
        <v>62</v>
      </c>
      <c r="D5" s="960" t="s">
        <v>63</v>
      </c>
      <c r="E5" s="960" t="s">
        <v>64</v>
      </c>
      <c r="F5" s="961" t="b">
        <v>0</v>
      </c>
      <c r="G5" s="960"/>
      <c r="H5" s="962"/>
      <c r="I5" s="961" t="b">
        <v>0</v>
      </c>
      <c r="J5" s="961">
        <v>2</v>
      </c>
      <c r="K5" s="960" t="s">
        <v>65</v>
      </c>
      <c r="L5" s="963">
        <v>100</v>
      </c>
      <c r="M5" s="963">
        <f t="shared" ref="M5:M17" si="0">IFERROR(L5,0)</f>
        <v>100</v>
      </c>
      <c r="N5" s="963"/>
      <c r="O5" s="963">
        <f t="shared" ref="O5:O38" si="1">IFERROR(IF(UseFullUtil,IF(G5="",M5,IF(J5=1,M5*MIN(1,H5/IFERROR(SUMIFS($M$5:$M$38,$G$5:$G$38,G5,$J$5:$J$38,1),0)),0)),IF(N5="",0,N5)),0)</f>
        <v>100</v>
      </c>
      <c r="P5" s="964">
        <f t="shared" ref="P5:P38" si="2">IFERROR(O5/M5,0)</f>
        <v>1</v>
      </c>
      <c r="Q5" s="963">
        <f t="shared" ref="Q5:Q38" si="3">IFERROR(M5-O5,0)</f>
        <v>0</v>
      </c>
      <c r="R5" s="960" t="s">
        <v>66</v>
      </c>
      <c r="S5" s="965">
        <v>0</v>
      </c>
      <c r="T5" s="965" cm="1">
        <f t="array" ref="T5">IFERROR(_xlfn.SWITCH(R5,"1Y MCLR (RBL Bank)",MCLR_RBL_1Y+S5,"3M MCLR (YBL)",MCLR_YBL_3M+S5,"6M I-MCLR (ICICI)",IMCLR_ICICI_6M+S5,"12M MCLR (SIB)",MCLR_SIB_12M+S5,"Bajaj Floating Reference Rate (BFRR)",BFRR_Bajaj+S5,"Term SOFR (USD)",SOFR_3M+S5,"3M T-Bill",TBill_3M+S5,"Repo Rate",RepoRate+S5,"FD rate",IFERROR(FD_Rate_RBL,0)+S5,S5),0)</f>
        <v>0</v>
      </c>
      <c r="U5" s="960" t="s">
        <v>67</v>
      </c>
      <c r="V5" s="962">
        <v>0</v>
      </c>
      <c r="W5" s="961" t="s">
        <v>68</v>
      </c>
      <c r="X5" s="962">
        <v>6</v>
      </c>
      <c r="Y5" s="962">
        <v>0</v>
      </c>
      <c r="Z5" s="966">
        <v>46022</v>
      </c>
      <c r="AA5" s="966">
        <f t="shared" ref="AA5:AA24" si="4">IFERROR(EDATE(Z5,V5),"")</f>
        <v>46022</v>
      </c>
      <c r="AB5" s="966">
        <f t="shared" ref="AB5:AB12" si="5">IFERROR(EDATE(Z5,X5),"")</f>
        <v>46203</v>
      </c>
      <c r="AC5" s="966">
        <v>46022</v>
      </c>
      <c r="AD5" s="966">
        <v>46356</v>
      </c>
      <c r="AE5" s="959" t="s">
        <v>69</v>
      </c>
      <c r="AF5" s="959" t="s">
        <v>70</v>
      </c>
      <c r="AG5" s="967" t="s">
        <v>71</v>
      </c>
      <c r="AH5" s="968" t="s">
        <v>355</v>
      </c>
    </row>
    <row r="6" spans="1:34" ht="18" hidden="1" customHeight="1" x14ac:dyDescent="0.3">
      <c r="A6" s="971">
        <v>2</v>
      </c>
      <c r="B6" s="1217" t="s">
        <v>61</v>
      </c>
      <c r="C6" s="1216" t="s">
        <v>72</v>
      </c>
      <c r="D6" s="974" t="s">
        <v>63</v>
      </c>
      <c r="E6" s="974" t="s">
        <v>64</v>
      </c>
      <c r="F6" s="975" t="b">
        <v>1</v>
      </c>
      <c r="G6" s="974"/>
      <c r="H6" s="976"/>
      <c r="I6" s="975" t="b">
        <v>0</v>
      </c>
      <c r="J6" s="975">
        <v>0</v>
      </c>
      <c r="K6" s="974" t="s">
        <v>65</v>
      </c>
      <c r="L6" s="977">
        <v>25</v>
      </c>
      <c r="M6" s="977">
        <f t="shared" si="0"/>
        <v>25</v>
      </c>
      <c r="N6" s="977"/>
      <c r="O6" s="978">
        <f t="shared" si="1"/>
        <v>25</v>
      </c>
      <c r="P6" s="979">
        <f t="shared" si="2"/>
        <v>1</v>
      </c>
      <c r="Q6" s="977">
        <f t="shared" si="3"/>
        <v>0</v>
      </c>
      <c r="R6" s="974" t="s">
        <v>66</v>
      </c>
      <c r="S6" s="980">
        <v>0</v>
      </c>
      <c r="T6" s="980" cm="1">
        <f t="array" ref="T6">IFERROR(_xlfn.SWITCH(R6,"1Y MCLR (RBL Bank)",MCLR_RBL_1Y+S6,"3M MCLR (YBL)",MCLR_YBL_3M+S6,"6M I-MCLR (ICICI)",IMCLR_ICICI_6M+S6,"12M MCLR (SIB)",MCLR_SIB_12M+S6,"Bajaj Floating Reference Rate (BFRR)",BFRR_Bajaj+S6,"Term SOFR (USD)",SOFR_3M+S6,"3M T-Bill",TBill_3M+S6,"Repo Rate",RepoRate+S6,"FD rate",IFERROR(FD_Rate_RBL,0)+S6,S6),0)</f>
        <v>0</v>
      </c>
      <c r="U6" s="974" t="s">
        <v>67</v>
      </c>
      <c r="V6" s="976">
        <v>0</v>
      </c>
      <c r="W6" s="975" t="s">
        <v>73</v>
      </c>
      <c r="X6" s="976">
        <v>12</v>
      </c>
      <c r="Y6" s="976">
        <v>0</v>
      </c>
      <c r="Z6" s="981">
        <v>46022</v>
      </c>
      <c r="AA6" s="981">
        <f t="shared" si="4"/>
        <v>46022</v>
      </c>
      <c r="AB6" s="981">
        <f t="shared" si="5"/>
        <v>46387</v>
      </c>
      <c r="AC6" s="981">
        <v>46022</v>
      </c>
      <c r="AD6" s="981">
        <v>46356</v>
      </c>
      <c r="AE6" s="973" t="s">
        <v>74</v>
      </c>
      <c r="AF6" s="973" t="s">
        <v>70</v>
      </c>
      <c r="AG6" s="982" t="s">
        <v>71</v>
      </c>
      <c r="AH6" s="983" t="s">
        <v>356</v>
      </c>
    </row>
    <row r="7" spans="1:34" ht="18" hidden="1" customHeight="1" x14ac:dyDescent="0.3">
      <c r="A7" s="902">
        <v>3</v>
      </c>
      <c r="B7" s="984" t="s">
        <v>61</v>
      </c>
      <c r="C7" s="985" t="s">
        <v>75</v>
      </c>
      <c r="D7" s="986" t="s">
        <v>76</v>
      </c>
      <c r="E7" s="986" t="s">
        <v>64</v>
      </c>
      <c r="F7" s="882" t="b">
        <v>0</v>
      </c>
      <c r="G7" s="986" t="s">
        <v>357</v>
      </c>
      <c r="H7" s="987">
        <f>RBL_INR_WC_Cap</f>
        <v>100</v>
      </c>
      <c r="I7" s="882" t="b">
        <v>0</v>
      </c>
      <c r="J7" s="882">
        <v>1</v>
      </c>
      <c r="K7" s="986" t="s">
        <v>65</v>
      </c>
      <c r="L7" s="988">
        <v>100</v>
      </c>
      <c r="M7" s="988">
        <f t="shared" si="0"/>
        <v>100</v>
      </c>
      <c r="N7" s="988"/>
      <c r="O7" s="989">
        <f t="shared" si="1"/>
        <v>33.333333333333329</v>
      </c>
      <c r="P7" s="990">
        <f t="shared" si="2"/>
        <v>0.33333333333333326</v>
      </c>
      <c r="Q7" s="988">
        <f t="shared" si="3"/>
        <v>66.666666666666671</v>
      </c>
      <c r="R7" s="986" t="s">
        <v>85</v>
      </c>
      <c r="S7" s="1237">
        <v>5.0000000000000001E-3</v>
      </c>
      <c r="T7" s="883" cm="1">
        <f t="array" ref="T7">IFERROR(_xlfn.SWITCH(R7,"1Y MCLR (RBL Bank)",MCLR_RBL_1Y+S7,"3M MCLR (YBL)",MCLR_YBL_3M+S7,"6M I-MCLR (ICICI)",IMCLR_ICICI_6M+S7,"12M MCLR (SIB)",MCLR_SIB_12M+S7,"Bajaj Floating Reference Rate (BFRR)",BFRR_Bajaj+S7,"Term SOFR (USD)",SOFR_3M+S7,"3M T-Bill",TBill_3M+S7,"Repo Rate",RepoRate+S7,"FD rate",IFERROR(FD_Rate_RBL,0)+S7,S7),0)</f>
        <v>9.5000000000000001E-2</v>
      </c>
      <c r="U7" s="986" t="s">
        <v>98</v>
      </c>
      <c r="V7" s="987">
        <v>0</v>
      </c>
      <c r="W7" s="882" t="s">
        <v>68</v>
      </c>
      <c r="X7" s="987">
        <v>1</v>
      </c>
      <c r="Y7" s="987">
        <v>0</v>
      </c>
      <c r="Z7" s="991">
        <v>46022</v>
      </c>
      <c r="AA7" s="991">
        <f t="shared" si="4"/>
        <v>46022</v>
      </c>
      <c r="AB7" s="991">
        <f t="shared" si="5"/>
        <v>46053</v>
      </c>
      <c r="AC7" s="991">
        <v>46022</v>
      </c>
      <c r="AD7" s="991">
        <v>46356</v>
      </c>
      <c r="AE7" s="985" t="s">
        <v>89</v>
      </c>
      <c r="AF7" s="985" t="s">
        <v>70</v>
      </c>
      <c r="AG7" s="992" t="s">
        <v>71</v>
      </c>
      <c r="AH7" s="993" t="s">
        <v>774</v>
      </c>
    </row>
    <row r="8" spans="1:34" ht="18" hidden="1" customHeight="1" x14ac:dyDescent="0.3">
      <c r="A8" s="901">
        <v>4</v>
      </c>
      <c r="B8" s="1219" t="s">
        <v>61</v>
      </c>
      <c r="C8" s="1218" t="s">
        <v>79</v>
      </c>
      <c r="D8" s="995" t="s">
        <v>63</v>
      </c>
      <c r="E8" s="995" t="s">
        <v>64</v>
      </c>
      <c r="F8" s="996" t="b">
        <v>1</v>
      </c>
      <c r="G8" s="995"/>
      <c r="H8" s="997"/>
      <c r="I8" s="996" t="b">
        <v>0</v>
      </c>
      <c r="J8" s="996">
        <v>0</v>
      </c>
      <c r="K8" s="995" t="s">
        <v>65</v>
      </c>
      <c r="L8" s="998">
        <v>100</v>
      </c>
      <c r="M8" s="998">
        <f t="shared" si="0"/>
        <v>100</v>
      </c>
      <c r="N8" s="998"/>
      <c r="O8" s="999">
        <f t="shared" si="1"/>
        <v>100</v>
      </c>
      <c r="P8" s="1000">
        <f t="shared" si="2"/>
        <v>1</v>
      </c>
      <c r="Q8" s="998">
        <f t="shared" si="3"/>
        <v>0</v>
      </c>
      <c r="R8" s="995" t="s">
        <v>77</v>
      </c>
      <c r="S8" s="1001">
        <v>5.0000000000000001E-3</v>
      </c>
      <c r="T8" s="1001" cm="1">
        <f t="array" ref="T8">IFERROR(_xlfn.SWITCH(R8,"1Y MCLR (RBL Bank)",MCLR_RBL_1Y+S8,"3M MCLR (YBL)",MCLR_YBL_3M+S8,"6M I-MCLR (ICICI)",IMCLR_ICICI_6M+S8,"12M MCLR (SIB)",MCLR_SIB_12M+S8,"Bajaj Floating Reference Rate (BFRR)",BFRR_Bajaj+S8,"Term SOFR (USD)",SOFR_3M+S8,"3M T-Bill",TBill_3M+S8,"Repo Rate",RepoRate+S8,"FD rate",IFERROR(FD_Rate_RBL,0)+S8,S8),0)</f>
        <v>5.0000000000000001E-3</v>
      </c>
      <c r="U8" s="995" t="s">
        <v>78</v>
      </c>
      <c r="V8" s="997">
        <v>0</v>
      </c>
      <c r="W8" s="996" t="s">
        <v>68</v>
      </c>
      <c r="X8" s="997">
        <v>6</v>
      </c>
      <c r="Y8" s="997">
        <v>0</v>
      </c>
      <c r="Z8" s="1002">
        <v>45729</v>
      </c>
      <c r="AA8" s="1002">
        <f t="shared" si="4"/>
        <v>45729</v>
      </c>
      <c r="AB8" s="1002">
        <f t="shared" si="5"/>
        <v>45913</v>
      </c>
      <c r="AC8" s="1002">
        <v>45729</v>
      </c>
      <c r="AD8" s="1002">
        <v>46356</v>
      </c>
      <c r="AE8" s="994" t="s">
        <v>80</v>
      </c>
      <c r="AF8" s="994" t="s">
        <v>81</v>
      </c>
      <c r="AG8" s="1003" t="s">
        <v>82</v>
      </c>
      <c r="AH8" s="1004" t="s">
        <v>358</v>
      </c>
    </row>
    <row r="9" spans="1:34" ht="18" hidden="1" customHeight="1" x14ac:dyDescent="0.3">
      <c r="A9" s="902">
        <v>5</v>
      </c>
      <c r="B9" s="984" t="s">
        <v>61</v>
      </c>
      <c r="C9" s="985" t="s">
        <v>83</v>
      </c>
      <c r="D9" s="986" t="s">
        <v>76</v>
      </c>
      <c r="E9" s="986" t="s">
        <v>64</v>
      </c>
      <c r="F9" s="882" t="b">
        <v>0</v>
      </c>
      <c r="G9" s="986" t="s">
        <v>357</v>
      </c>
      <c r="H9" s="987">
        <f>RBL_INR_WC_Cap</f>
        <v>100</v>
      </c>
      <c r="I9" s="882" t="b">
        <v>0</v>
      </c>
      <c r="J9" s="882">
        <v>1</v>
      </c>
      <c r="K9" s="986" t="s">
        <v>65</v>
      </c>
      <c r="L9" s="988">
        <v>100</v>
      </c>
      <c r="M9" s="988">
        <f t="shared" si="0"/>
        <v>100</v>
      </c>
      <c r="N9" s="988"/>
      <c r="O9" s="989">
        <f t="shared" si="1"/>
        <v>33.333333333333329</v>
      </c>
      <c r="P9" s="990">
        <f t="shared" si="2"/>
        <v>0.33333333333333326</v>
      </c>
      <c r="Q9" s="988">
        <f t="shared" si="3"/>
        <v>66.666666666666671</v>
      </c>
      <c r="R9" s="986" t="s">
        <v>85</v>
      </c>
      <c r="S9" s="1237">
        <v>7.4999999999999997E-3</v>
      </c>
      <c r="T9" s="883" cm="1">
        <f t="array" ref="T9">IFERROR(_xlfn.SWITCH(R9,"1Y MCLR (RBL Bank)",MCLR_RBL_1Y+S9,"3M MCLR (YBL)",MCLR_YBL_3M+S9,"6M I-MCLR (ICICI)",IMCLR_ICICI_6M+S9,"12M MCLR (SIB)",MCLR_SIB_12M+S9,"Bajaj Floating Reference Rate (BFRR)",BFRR_Bajaj+S9,"Term SOFR (USD)",SOFR_3M+S9,"3M T-Bill",TBill_3M+S9,"Repo Rate",RepoRate+S9,"FD rate",IFERROR(FD_Rate_RBL,0)+S9,S9),0)</f>
        <v>9.7500000000000003E-2</v>
      </c>
      <c r="U9" s="986" t="s">
        <v>98</v>
      </c>
      <c r="V9" s="987">
        <v>0</v>
      </c>
      <c r="W9" s="882" t="s">
        <v>68</v>
      </c>
      <c r="X9" s="987">
        <v>0</v>
      </c>
      <c r="Y9" s="987">
        <v>0</v>
      </c>
      <c r="Z9" s="991">
        <v>46022</v>
      </c>
      <c r="AA9" s="991">
        <f t="shared" si="4"/>
        <v>46022</v>
      </c>
      <c r="AB9" s="991">
        <f t="shared" si="5"/>
        <v>46022</v>
      </c>
      <c r="AC9" s="991">
        <v>46022</v>
      </c>
      <c r="AD9" s="991">
        <v>46356</v>
      </c>
      <c r="AE9" s="985" t="s">
        <v>89</v>
      </c>
      <c r="AF9" s="985" t="s">
        <v>70</v>
      </c>
      <c r="AG9" s="992" t="s">
        <v>71</v>
      </c>
      <c r="AH9" s="993" t="s">
        <v>775</v>
      </c>
    </row>
    <row r="10" spans="1:34" ht="18" hidden="1" customHeight="1" x14ac:dyDescent="0.3">
      <c r="A10" s="902">
        <v>6</v>
      </c>
      <c r="B10" s="1005" t="s">
        <v>61</v>
      </c>
      <c r="C10" s="1006" t="s">
        <v>84</v>
      </c>
      <c r="D10" s="1007" t="s">
        <v>76</v>
      </c>
      <c r="E10" s="1007" t="s">
        <v>64</v>
      </c>
      <c r="F10" s="1008" t="b">
        <v>0</v>
      </c>
      <c r="G10" s="1007" t="s">
        <v>357</v>
      </c>
      <c r="H10" s="1009">
        <f>RBL_INR_WC_Cap</f>
        <v>100</v>
      </c>
      <c r="I10" s="1008" t="b">
        <v>0</v>
      </c>
      <c r="J10" s="1008">
        <v>1</v>
      </c>
      <c r="K10" s="1007" t="s">
        <v>65</v>
      </c>
      <c r="L10" s="1010">
        <v>100</v>
      </c>
      <c r="M10" s="1010">
        <f t="shared" si="0"/>
        <v>100</v>
      </c>
      <c r="N10" s="1010"/>
      <c r="O10" s="999">
        <f t="shared" si="1"/>
        <v>33.333333333333329</v>
      </c>
      <c r="P10" s="1011">
        <f t="shared" si="2"/>
        <v>0.33333333333333326</v>
      </c>
      <c r="Q10" s="1010">
        <f t="shared" si="3"/>
        <v>66.666666666666671</v>
      </c>
      <c r="R10" s="1007" t="s">
        <v>85</v>
      </c>
      <c r="S10" s="1012">
        <v>5.0000000000000001E-4</v>
      </c>
      <c r="T10" s="1012" cm="1">
        <f t="array" ref="T10">IFERROR(_xlfn.SWITCH(R10,"1Y MCLR (RBL Bank)",MCLR_RBL_1Y+S10,"3M MCLR (YBL)",MCLR_YBL_3M+S10,"6M I-MCLR (ICICI)",IMCLR_ICICI_6M+S10,"12M MCLR (SIB)",MCLR_SIB_12M+S10,"Bajaj Floating Reference Rate (BFRR)",BFRR_Bajaj+S10,"Term SOFR (USD)",SOFR_3M+S10,"3M T-Bill",TBill_3M+S10,"Repo Rate",RepoRate+S10,"FD rate",IFERROR(FD_Rate_RBL,0)+S10,S10),0)</f>
        <v>9.0499999999999997E-2</v>
      </c>
      <c r="U10" s="1007" t="s">
        <v>86</v>
      </c>
      <c r="V10" s="1009">
        <v>0</v>
      </c>
      <c r="W10" s="1008" t="s">
        <v>73</v>
      </c>
      <c r="X10" s="1009">
        <v>0</v>
      </c>
      <c r="Y10" s="1009">
        <v>0</v>
      </c>
      <c r="Z10" s="1013">
        <v>45716</v>
      </c>
      <c r="AA10" s="1013">
        <f t="shared" si="4"/>
        <v>45716</v>
      </c>
      <c r="AB10" s="1013">
        <f t="shared" si="5"/>
        <v>45716</v>
      </c>
      <c r="AC10" s="1013">
        <v>45716</v>
      </c>
      <c r="AD10" s="1013">
        <v>46356</v>
      </c>
      <c r="AE10" s="1006" t="s">
        <v>89</v>
      </c>
      <c r="AF10" s="1006" t="s">
        <v>70</v>
      </c>
      <c r="AG10" s="1014" t="s">
        <v>87</v>
      </c>
      <c r="AH10" s="1015" t="s">
        <v>359</v>
      </c>
    </row>
    <row r="11" spans="1:34" ht="18" hidden="1" customHeight="1" x14ac:dyDescent="0.3">
      <c r="A11" s="901">
        <v>7</v>
      </c>
      <c r="B11" s="1221" t="s">
        <v>61</v>
      </c>
      <c r="C11" s="1220" t="s">
        <v>88</v>
      </c>
      <c r="D11" s="1017" t="s">
        <v>76</v>
      </c>
      <c r="E11" s="1017" t="s">
        <v>64</v>
      </c>
      <c r="F11" s="884" t="b">
        <v>1</v>
      </c>
      <c r="G11" s="1017" t="s">
        <v>357</v>
      </c>
      <c r="H11" s="1018">
        <f>RBL_INR_WC_Cap</f>
        <v>100</v>
      </c>
      <c r="I11" s="884" t="b">
        <v>0</v>
      </c>
      <c r="J11" s="884">
        <v>0</v>
      </c>
      <c r="K11" s="1017" t="s">
        <v>65</v>
      </c>
      <c r="L11" s="1019">
        <v>100</v>
      </c>
      <c r="M11" s="1019">
        <f t="shared" si="0"/>
        <v>100</v>
      </c>
      <c r="N11" s="1019"/>
      <c r="O11" s="989">
        <f t="shared" si="1"/>
        <v>0</v>
      </c>
      <c r="P11" s="1020">
        <f t="shared" si="2"/>
        <v>0</v>
      </c>
      <c r="Q11" s="1019">
        <f t="shared" si="3"/>
        <v>100</v>
      </c>
      <c r="R11" s="1017" t="s">
        <v>77</v>
      </c>
      <c r="S11" s="885">
        <v>0</v>
      </c>
      <c r="T11" s="885" cm="1">
        <f t="array" ref="T11">IFERROR(_xlfn.SWITCH(R11,"1Y MCLR (RBL Bank)",MCLR_RBL_1Y+S11,"3M MCLR (YBL)",MCLR_YBL_3M+S11,"6M I-MCLR (ICICI)",IMCLR_ICICI_6M+S11,"12M MCLR (SIB)",MCLR_SIB_12M+S11,"Bajaj Floating Reference Rate (BFRR)",BFRR_Bajaj+S11,"Term SOFR (USD)",SOFR_3M+S11,"3M T-Bill",TBill_3M+S11,"Repo Rate",RepoRate+S11,"FD rate",IFERROR(FD_Rate_RBL,0)+S11,S11),0)</f>
        <v>0</v>
      </c>
      <c r="U11" s="1017" t="s">
        <v>78</v>
      </c>
      <c r="V11" s="1018">
        <v>0</v>
      </c>
      <c r="W11" s="884" t="s">
        <v>73</v>
      </c>
      <c r="X11" s="1018">
        <v>4</v>
      </c>
      <c r="Y11" s="1018">
        <v>0</v>
      </c>
      <c r="Z11" s="1021">
        <v>46022</v>
      </c>
      <c r="AA11" s="1021">
        <f t="shared" si="4"/>
        <v>46022</v>
      </c>
      <c r="AB11" s="1021">
        <f t="shared" si="5"/>
        <v>46142</v>
      </c>
      <c r="AC11" s="1021">
        <v>46022</v>
      </c>
      <c r="AD11" s="1021">
        <v>46356</v>
      </c>
      <c r="AE11" s="1016" t="s">
        <v>89</v>
      </c>
      <c r="AF11" s="1016" t="s">
        <v>70</v>
      </c>
      <c r="AG11" s="1022" t="s">
        <v>71</v>
      </c>
      <c r="AH11" s="1023" t="s">
        <v>360</v>
      </c>
    </row>
    <row r="12" spans="1:34" ht="18" hidden="1" customHeight="1" x14ac:dyDescent="0.3">
      <c r="A12" s="902">
        <v>8</v>
      </c>
      <c r="B12" s="1005" t="s">
        <v>61</v>
      </c>
      <c r="C12" s="1006" t="s">
        <v>90</v>
      </c>
      <c r="D12" s="1007" t="s">
        <v>91</v>
      </c>
      <c r="E12" s="1007" t="s">
        <v>64</v>
      </c>
      <c r="F12" s="1008" t="b">
        <v>0</v>
      </c>
      <c r="G12" s="1007"/>
      <c r="H12" s="1009"/>
      <c r="I12" s="1008" t="b">
        <v>0</v>
      </c>
      <c r="J12" s="1008">
        <v>3</v>
      </c>
      <c r="K12" s="1007" t="s">
        <v>65</v>
      </c>
      <c r="L12" s="1010">
        <v>20</v>
      </c>
      <c r="M12" s="1010">
        <f t="shared" si="0"/>
        <v>20</v>
      </c>
      <c r="N12" s="1010"/>
      <c r="O12" s="999">
        <f t="shared" si="1"/>
        <v>20</v>
      </c>
      <c r="P12" s="1011">
        <f t="shared" si="2"/>
        <v>1</v>
      </c>
      <c r="Q12" s="1010">
        <f t="shared" si="3"/>
        <v>0</v>
      </c>
      <c r="R12" s="1007" t="s">
        <v>92</v>
      </c>
      <c r="S12" s="1012">
        <v>0</v>
      </c>
      <c r="T12" s="1012" cm="1">
        <f t="array" ref="T12">IFERROR(_xlfn.SWITCH(R12,"1Y MCLR (RBL Bank)",MCLR_RBL_1Y+S12,"3M MCLR (YBL)",MCLR_YBL_3M+S12,"6M I-MCLR (ICICI)",IMCLR_ICICI_6M+S12,"12M MCLR (SIB)",MCLR_SIB_12M+S12,"Bajaj Floating Reference Rate (BFRR)",BFRR_Bajaj+S12,"Term SOFR (USD)",SOFR_3M+S12,"3M T-Bill",TBill_3M+S12,"Repo Rate",RepoRate+S12,"FD rate",IFERROR(FD_Rate_RBL,0)+S12,S12),0)</f>
        <v>0</v>
      </c>
      <c r="U12" s="1007" t="s">
        <v>67</v>
      </c>
      <c r="V12" s="1009">
        <v>0</v>
      </c>
      <c r="W12" s="1008" t="s">
        <v>93</v>
      </c>
      <c r="X12" s="1009">
        <v>12</v>
      </c>
      <c r="Y12" s="1009">
        <v>0</v>
      </c>
      <c r="Z12" s="1013">
        <v>46022</v>
      </c>
      <c r="AA12" s="1013">
        <f t="shared" si="4"/>
        <v>46022</v>
      </c>
      <c r="AB12" s="1013">
        <f t="shared" si="5"/>
        <v>46387</v>
      </c>
      <c r="AC12" s="1013">
        <v>46022</v>
      </c>
      <c r="AD12" s="1013">
        <v>46356</v>
      </c>
      <c r="AE12" s="1006" t="s">
        <v>94</v>
      </c>
      <c r="AF12" s="1006" t="s">
        <v>95</v>
      </c>
      <c r="AG12" s="1014" t="s">
        <v>71</v>
      </c>
      <c r="AH12" s="1015" t="s">
        <v>361</v>
      </c>
    </row>
    <row r="13" spans="1:34" ht="18" hidden="1" customHeight="1" x14ac:dyDescent="0.3">
      <c r="A13" s="902">
        <v>9</v>
      </c>
      <c r="B13" s="984" t="s">
        <v>61</v>
      </c>
      <c r="C13" s="985" t="s">
        <v>138</v>
      </c>
      <c r="D13" s="986" t="s">
        <v>96</v>
      </c>
      <c r="E13" s="986" t="s">
        <v>97</v>
      </c>
      <c r="F13" s="882" t="b">
        <v>0</v>
      </c>
      <c r="G13" s="986"/>
      <c r="H13" s="987"/>
      <c r="I13" s="882" t="b">
        <v>0</v>
      </c>
      <c r="J13" s="882">
        <v>1</v>
      </c>
      <c r="K13" s="986" t="s">
        <v>65</v>
      </c>
      <c r="L13" s="988">
        <v>200</v>
      </c>
      <c r="M13" s="988">
        <f t="shared" si="0"/>
        <v>200</v>
      </c>
      <c r="N13" s="988"/>
      <c r="O13" s="989">
        <f>IFERROR(IF(D13="FB-Term", RBL_TL_PrincOS, IF(UseFullUtil, IF(G13="", M13, IF(J13=1, M13*MIN(1,H13/IFERROR(SUMIFS($M$5:$M$38,$G$5:$G$38,G13,$J$5:$J$38,1),0)), 0)), IF(N13="",0,N13))),0)</f>
        <v>183.33333333333334</v>
      </c>
      <c r="P13" s="990">
        <f t="shared" si="2"/>
        <v>0.91666666666666674</v>
      </c>
      <c r="Q13" s="988">
        <f t="shared" si="3"/>
        <v>16.666666666666657</v>
      </c>
      <c r="R13" s="986" t="s">
        <v>85</v>
      </c>
      <c r="S13" s="883">
        <v>7.4999999999999997E-3</v>
      </c>
      <c r="T13" s="883" cm="1">
        <f t="array" ref="T13">IFERROR(_xlfn.SWITCH(R13,"1Y MCLR (RBL Bank)",MCLR_RBL_1Y+S13,"3M MCLR (YBL)",MCLR_YBL_3M+S13,"6M I-MCLR (ICICI)",IMCLR_ICICI_6M+S13,"12M MCLR (SIB)",MCLR_SIB_12M+S13,"Bajaj Floating Reference Rate (BFRR)",BFRR_Bajaj+S13,"Term SOFR (USD)",SOFR_3M+S13,"3M T-Bill",TBill_3M+S13,"Repo Rate",RepoRate+S13,"FD rate",IFERROR(FD_Rate_RBL,0)+S13,S13),0)</f>
        <v>9.7500000000000003E-2</v>
      </c>
      <c r="U13" s="986" t="s">
        <v>98</v>
      </c>
      <c r="V13" s="987">
        <v>24</v>
      </c>
      <c r="W13" s="882" t="s">
        <v>99</v>
      </c>
      <c r="X13" s="987">
        <v>60</v>
      </c>
      <c r="Y13" s="987">
        <v>12</v>
      </c>
      <c r="Z13" s="991">
        <v>45315</v>
      </c>
      <c r="AA13" s="991">
        <f t="shared" si="4"/>
        <v>46046</v>
      </c>
      <c r="AB13" s="991">
        <f>RBL_TL_Maturity</f>
        <v>47208</v>
      </c>
      <c r="AC13" s="991">
        <v>45315</v>
      </c>
      <c r="AD13" s="991">
        <v>46387</v>
      </c>
      <c r="AE13" s="985" t="s">
        <v>100</v>
      </c>
      <c r="AF13" s="985" t="s">
        <v>101</v>
      </c>
      <c r="AG13" s="992" t="s">
        <v>362</v>
      </c>
      <c r="AH13" s="993" t="s">
        <v>363</v>
      </c>
    </row>
    <row r="14" spans="1:34" ht="18" customHeight="1" x14ac:dyDescent="0.3">
      <c r="A14" s="902">
        <v>10</v>
      </c>
      <c r="B14" s="1005" t="s">
        <v>61</v>
      </c>
      <c r="C14" s="1006" t="s">
        <v>102</v>
      </c>
      <c r="D14" s="1007" t="s">
        <v>63</v>
      </c>
      <c r="E14" s="1007" t="s">
        <v>64</v>
      </c>
      <c r="F14" s="1008" t="b">
        <v>0</v>
      </c>
      <c r="G14" s="1007"/>
      <c r="H14" s="1009"/>
      <c r="I14" s="1008" t="b">
        <v>0</v>
      </c>
      <c r="J14" s="1008">
        <v>2</v>
      </c>
      <c r="K14" s="1007" t="s">
        <v>65</v>
      </c>
      <c r="L14" s="1010">
        <v>190</v>
      </c>
      <c r="M14" s="1010">
        <f t="shared" si="0"/>
        <v>190</v>
      </c>
      <c r="N14" s="1010"/>
      <c r="O14" s="999">
        <f t="shared" si="1"/>
        <v>190</v>
      </c>
      <c r="P14" s="1011">
        <f t="shared" si="2"/>
        <v>1</v>
      </c>
      <c r="Q14" s="1010">
        <f t="shared" si="3"/>
        <v>0</v>
      </c>
      <c r="R14" s="1007" t="s">
        <v>66</v>
      </c>
      <c r="S14" s="1012">
        <v>5.0000000000000001E-3</v>
      </c>
      <c r="T14" s="1012" cm="1">
        <f t="array" ref="T14">IFERROR(_xlfn.SWITCH(R14,"1Y MCLR (RBL Bank)",MCLR_RBL_1Y+S14,"3M MCLR (YBL)",MCLR_YBL_3M+S14,"6M I-MCLR (ICICI)",IMCLR_ICICI_6M+S14,"12M MCLR (SIB)",MCLR_SIB_12M+S14,"Bajaj Floating Reference Rate (BFRR)",BFRR_Bajaj+S14,"Term SOFR (USD)",SOFR_3M+S14,"3M T-Bill",TBill_3M+S14,"Repo Rate",RepoRate+S14,"FD rate",IFERROR(FD_Rate_RBL,0)+S14,S14),0)</f>
        <v>5.0000000000000001E-3</v>
      </c>
      <c r="U14" s="1007" t="s">
        <v>67</v>
      </c>
      <c r="V14" s="1009">
        <v>0</v>
      </c>
      <c r="W14" s="1008" t="s">
        <v>68</v>
      </c>
      <c r="X14" s="1009">
        <v>36</v>
      </c>
      <c r="Y14" s="1009">
        <v>0</v>
      </c>
      <c r="Z14" s="1013">
        <v>46022</v>
      </c>
      <c r="AA14" s="1013">
        <f t="shared" si="4"/>
        <v>46022</v>
      </c>
      <c r="AB14" s="1013">
        <f t="shared" ref="AB14:AB24" si="6">IFERROR(EDATE(Z14,X14),"")</f>
        <v>47118</v>
      </c>
      <c r="AC14" s="1013">
        <v>46022</v>
      </c>
      <c r="AD14" s="1013">
        <v>46356</v>
      </c>
      <c r="AE14" s="1006" t="s">
        <v>103</v>
      </c>
      <c r="AF14" s="1006" t="s">
        <v>101</v>
      </c>
      <c r="AG14" s="1014" t="s">
        <v>71</v>
      </c>
      <c r="AH14" s="1015" t="s">
        <v>364</v>
      </c>
    </row>
    <row r="15" spans="1:34" ht="18" customHeight="1" x14ac:dyDescent="0.3">
      <c r="A15" s="902">
        <v>11</v>
      </c>
      <c r="B15" s="984" t="s">
        <v>61</v>
      </c>
      <c r="C15" s="985" t="s">
        <v>104</v>
      </c>
      <c r="D15" s="986" t="s">
        <v>63</v>
      </c>
      <c r="E15" s="986" t="s">
        <v>64</v>
      </c>
      <c r="F15" s="882" t="b">
        <v>0</v>
      </c>
      <c r="G15" s="986"/>
      <c r="H15" s="987"/>
      <c r="I15" s="882" t="b">
        <v>0</v>
      </c>
      <c r="J15" s="882">
        <v>2</v>
      </c>
      <c r="K15" s="986" t="s">
        <v>65</v>
      </c>
      <c r="L15" s="988">
        <v>25</v>
      </c>
      <c r="M15" s="988">
        <f t="shared" si="0"/>
        <v>25</v>
      </c>
      <c r="N15" s="988"/>
      <c r="O15" s="989">
        <f t="shared" si="1"/>
        <v>25</v>
      </c>
      <c r="P15" s="990">
        <f t="shared" si="2"/>
        <v>1</v>
      </c>
      <c r="Q15" s="988">
        <f t="shared" si="3"/>
        <v>0</v>
      </c>
      <c r="R15" s="986" t="s">
        <v>66</v>
      </c>
      <c r="S15" s="883">
        <v>5.0000000000000001E-3</v>
      </c>
      <c r="T15" s="883" cm="1">
        <f t="array" ref="T15">IFERROR(_xlfn.SWITCH(R15,"1Y MCLR (RBL Bank)",MCLR_RBL_1Y+S15,"3M MCLR (YBL)",MCLR_YBL_3M+S15,"6M I-MCLR (ICICI)",IMCLR_ICICI_6M+S15,"12M MCLR (SIB)",MCLR_SIB_12M+S15,"Bajaj Floating Reference Rate (BFRR)",BFRR_Bajaj+S15,"Term SOFR (USD)",SOFR_3M+S15,"3M T-Bill",TBill_3M+S15,"Repo Rate",RepoRate+S15,"FD rate",IFERROR(FD_Rate_RBL,0)+S15,S15),0)</f>
        <v>5.0000000000000001E-3</v>
      </c>
      <c r="U15" s="986" t="s">
        <v>67</v>
      </c>
      <c r="V15" s="987">
        <v>0</v>
      </c>
      <c r="W15" s="882" t="s">
        <v>68</v>
      </c>
      <c r="X15" s="987">
        <v>36</v>
      </c>
      <c r="Y15" s="987">
        <v>0</v>
      </c>
      <c r="Z15" s="991">
        <v>46022</v>
      </c>
      <c r="AA15" s="991">
        <f t="shared" si="4"/>
        <v>46022</v>
      </c>
      <c r="AB15" s="991">
        <f t="shared" si="6"/>
        <v>47118</v>
      </c>
      <c r="AC15" s="991">
        <v>46022</v>
      </c>
      <c r="AD15" s="991">
        <v>46356</v>
      </c>
      <c r="AE15" s="985" t="s">
        <v>105</v>
      </c>
      <c r="AF15" s="985" t="s">
        <v>101</v>
      </c>
      <c r="AG15" s="992" t="s">
        <v>71</v>
      </c>
      <c r="AH15" s="993" t="s">
        <v>365</v>
      </c>
    </row>
    <row r="16" spans="1:34" ht="18" hidden="1" customHeight="1" x14ac:dyDescent="0.3">
      <c r="A16" s="902">
        <v>12</v>
      </c>
      <c r="B16" s="1005" t="s">
        <v>61</v>
      </c>
      <c r="C16" s="1006" t="s">
        <v>106</v>
      </c>
      <c r="D16" s="1007" t="s">
        <v>107</v>
      </c>
      <c r="E16" s="1007" t="s">
        <v>64</v>
      </c>
      <c r="F16" s="1008" t="b">
        <v>0</v>
      </c>
      <c r="G16" s="1007"/>
      <c r="H16" s="1009"/>
      <c r="I16" s="1008" t="b">
        <v>1</v>
      </c>
      <c r="J16" s="1008">
        <v>3</v>
      </c>
      <c r="K16" s="1007" t="s">
        <v>65</v>
      </c>
      <c r="L16" s="1010">
        <v>100</v>
      </c>
      <c r="M16" s="1010">
        <f t="shared" si="0"/>
        <v>100</v>
      </c>
      <c r="N16" s="1010"/>
      <c r="O16" s="999">
        <f t="shared" si="1"/>
        <v>100</v>
      </c>
      <c r="P16" s="1011">
        <f t="shared" si="2"/>
        <v>1</v>
      </c>
      <c r="Q16" s="1010">
        <f t="shared" si="3"/>
        <v>0</v>
      </c>
      <c r="R16" s="1007" t="s">
        <v>108</v>
      </c>
      <c r="S16" s="1012">
        <v>2.5000000000000001E-3</v>
      </c>
      <c r="T16" s="1012" cm="1">
        <f t="array" ref="T16">IFERROR(_xlfn.SWITCH(R16,"1Y MCLR (RBL Bank)",MCLR_RBL_1Y+S16,"3M MCLR (YBL)",MCLR_YBL_3M+S16,"6M I-MCLR (ICICI)",IMCLR_ICICI_6M+S16,"12M MCLR (SIB)",MCLR_SIB_12M+S16,"Bajaj Floating Reference Rate (BFRR)",BFRR_Bajaj+S16,"Term SOFR (USD)",SOFR_3M+S16,"3M T-Bill",TBill_3M+S16,"Repo Rate",RepoRate+S16,"FD rate",IFERROR(FD_Rate_RBL,0)+S16,S16),0)</f>
        <v>7.2500000000000009E-2</v>
      </c>
      <c r="U16" s="1007" t="s">
        <v>86</v>
      </c>
      <c r="V16" s="1009">
        <v>0</v>
      </c>
      <c r="W16" s="1008" t="s">
        <v>73</v>
      </c>
      <c r="X16" s="1009">
        <v>12</v>
      </c>
      <c r="Y16" s="1009">
        <v>0</v>
      </c>
      <c r="Z16" s="1013">
        <v>45315</v>
      </c>
      <c r="AA16" s="1013">
        <f t="shared" si="4"/>
        <v>45315</v>
      </c>
      <c r="AB16" s="1013">
        <f t="shared" si="6"/>
        <v>45681</v>
      </c>
      <c r="AC16" s="1013">
        <v>45315</v>
      </c>
      <c r="AD16" s="1013">
        <v>46356</v>
      </c>
      <c r="AE16" s="1006" t="s">
        <v>109</v>
      </c>
      <c r="AF16" s="1006" t="s">
        <v>110</v>
      </c>
      <c r="AG16" s="1014" t="s">
        <v>111</v>
      </c>
      <c r="AH16" s="1015" t="s">
        <v>366</v>
      </c>
    </row>
    <row r="17" spans="1:34" ht="18" hidden="1" customHeight="1" x14ac:dyDescent="0.3">
      <c r="A17" s="901">
        <v>13</v>
      </c>
      <c r="B17" s="1221" t="s">
        <v>61</v>
      </c>
      <c r="C17" s="1220" t="s">
        <v>112</v>
      </c>
      <c r="D17" s="1017" t="s">
        <v>113</v>
      </c>
      <c r="E17" s="1017" t="s">
        <v>64</v>
      </c>
      <c r="F17" s="884" t="b">
        <v>1</v>
      </c>
      <c r="G17" s="1017"/>
      <c r="H17" s="1018"/>
      <c r="I17" s="884" t="b">
        <v>1</v>
      </c>
      <c r="J17" s="884">
        <v>0</v>
      </c>
      <c r="K17" s="1017" t="s">
        <v>65</v>
      </c>
      <c r="L17" s="1019">
        <v>50</v>
      </c>
      <c r="M17" s="1019">
        <f t="shared" si="0"/>
        <v>50</v>
      </c>
      <c r="N17" s="1019"/>
      <c r="O17" s="989">
        <f t="shared" si="1"/>
        <v>50</v>
      </c>
      <c r="P17" s="1020">
        <f t="shared" si="2"/>
        <v>1</v>
      </c>
      <c r="Q17" s="1019">
        <f t="shared" si="3"/>
        <v>0</v>
      </c>
      <c r="R17" s="1017" t="s">
        <v>77</v>
      </c>
      <c r="S17" s="885">
        <v>0</v>
      </c>
      <c r="T17" s="885" cm="1">
        <f t="array" ref="T17">IFERROR(_xlfn.SWITCH(R17,"1Y MCLR (RBL Bank)",MCLR_RBL_1Y+S17,"3M MCLR (YBL)",MCLR_YBL_3M+S17,"6M I-MCLR (ICICI)",IMCLR_ICICI_6M+S17,"12M MCLR (SIB)",MCLR_SIB_12M+S17,"Bajaj Floating Reference Rate (BFRR)",BFRR_Bajaj+S17,"Term SOFR (USD)",SOFR_3M+S17,"3M T-Bill",TBill_3M+S17,"Repo Rate",RepoRate+S17,"FD rate",IFERROR(FD_Rate_RBL,0)+S17,S17),0)</f>
        <v>0</v>
      </c>
      <c r="U17" s="1017" t="s">
        <v>78</v>
      </c>
      <c r="V17" s="1018">
        <v>0</v>
      </c>
      <c r="W17" s="884" t="s">
        <v>68</v>
      </c>
      <c r="X17" s="1018">
        <v>12</v>
      </c>
      <c r="Y17" s="1018">
        <v>0</v>
      </c>
      <c r="Z17" s="1021">
        <v>45315</v>
      </c>
      <c r="AA17" s="1021">
        <f t="shared" si="4"/>
        <v>45315</v>
      </c>
      <c r="AB17" s="1021">
        <f t="shared" si="6"/>
        <v>45681</v>
      </c>
      <c r="AC17" s="1021">
        <v>45315</v>
      </c>
      <c r="AD17" s="1021">
        <v>46356</v>
      </c>
      <c r="AE17" s="1016" t="s">
        <v>367</v>
      </c>
      <c r="AF17" s="1016" t="s">
        <v>110</v>
      </c>
      <c r="AG17" s="1022" t="s">
        <v>111</v>
      </c>
      <c r="AH17" s="1023" t="s">
        <v>368</v>
      </c>
    </row>
    <row r="18" spans="1:34" ht="18" hidden="1" customHeight="1" x14ac:dyDescent="0.3">
      <c r="A18" s="902">
        <v>14</v>
      </c>
      <c r="B18" s="1005" t="s">
        <v>61</v>
      </c>
      <c r="C18" s="1006" t="s">
        <v>114</v>
      </c>
      <c r="D18" s="1007" t="s">
        <v>115</v>
      </c>
      <c r="E18" s="1007" t="s">
        <v>64</v>
      </c>
      <c r="F18" s="1008" t="b">
        <v>0</v>
      </c>
      <c r="G18" s="1007"/>
      <c r="H18" s="1009"/>
      <c r="I18" s="1008" t="b">
        <v>0</v>
      </c>
      <c r="J18" s="1008">
        <v>1</v>
      </c>
      <c r="K18" s="1007" t="s">
        <v>116</v>
      </c>
      <c r="L18" s="1010">
        <v>11</v>
      </c>
      <c r="M18" s="1010">
        <f>IFERROR(MIN(L18*FX_USD_INR/10,RBL_BC_WC_Cap),0)</f>
        <v>100</v>
      </c>
      <c r="N18" s="1010"/>
      <c r="O18" s="999">
        <f t="shared" si="1"/>
        <v>100</v>
      </c>
      <c r="P18" s="1011">
        <f t="shared" si="2"/>
        <v>1</v>
      </c>
      <c r="Q18" s="1010">
        <f t="shared" si="3"/>
        <v>0</v>
      </c>
      <c r="R18" s="1007" t="s">
        <v>35</v>
      </c>
      <c r="S18" s="1012">
        <v>0</v>
      </c>
      <c r="T18" s="1012" cm="1">
        <f t="array" ref="T18">IFERROR(_xlfn.SWITCH(R18,"1Y MCLR (RBL Bank)",MCLR_RBL_1Y+S18,"3M MCLR (YBL)",MCLR_YBL_3M+S18,"6M I-MCLR (ICICI)",IMCLR_ICICI_6M+S18,"12M MCLR (SIB)",MCLR_SIB_12M+S18,"Bajaj Floating Reference Rate (BFRR)",BFRR_Bajaj+S18,"Term SOFR (USD)",SOFR_3M+S18,"3M T-Bill",TBill_3M+S18,"Repo Rate",RepoRate+S18,"FD rate",IFERROR(FD_Rate_RBL,0)+S18,S18),0)</f>
        <v>4.2999999999999997E-2</v>
      </c>
      <c r="U18" s="1007" t="s">
        <v>86</v>
      </c>
      <c r="V18" s="1009">
        <v>0</v>
      </c>
      <c r="W18" s="1008" t="s">
        <v>117</v>
      </c>
      <c r="X18" s="1009">
        <v>6</v>
      </c>
      <c r="Y18" s="1009">
        <v>1</v>
      </c>
      <c r="Z18" s="1013">
        <v>45729</v>
      </c>
      <c r="AA18" s="1013">
        <f t="shared" si="4"/>
        <v>45729</v>
      </c>
      <c r="AB18" s="1013">
        <f t="shared" si="6"/>
        <v>45913</v>
      </c>
      <c r="AC18" s="1013">
        <v>45729</v>
      </c>
      <c r="AD18" s="1013">
        <v>46356</v>
      </c>
      <c r="AE18" s="1006" t="s">
        <v>89</v>
      </c>
      <c r="AF18" s="1006" t="s">
        <v>118</v>
      </c>
      <c r="AG18" s="1014" t="s">
        <v>119</v>
      </c>
      <c r="AH18" s="1015" t="s">
        <v>369</v>
      </c>
    </row>
    <row r="19" spans="1:34" ht="18" hidden="1" customHeight="1" x14ac:dyDescent="0.3">
      <c r="A19" s="903">
        <v>15</v>
      </c>
      <c r="B19" s="926" t="s">
        <v>61</v>
      </c>
      <c r="C19" s="928" t="s">
        <v>120</v>
      </c>
      <c r="D19" s="930" t="s">
        <v>115</v>
      </c>
      <c r="E19" s="930" t="s">
        <v>64</v>
      </c>
      <c r="F19" s="886" t="b">
        <v>0</v>
      </c>
      <c r="G19" s="930"/>
      <c r="H19" s="924"/>
      <c r="I19" s="886" t="b">
        <v>0</v>
      </c>
      <c r="J19" s="886">
        <v>1</v>
      </c>
      <c r="K19" s="930" t="s">
        <v>116</v>
      </c>
      <c r="L19" s="917">
        <v>20</v>
      </c>
      <c r="M19" s="917">
        <f>IFERROR(MIN(L19*FX_USD_INR/10,RBL_BC_CAPEX_Cap),0)</f>
        <v>172</v>
      </c>
      <c r="N19" s="917"/>
      <c r="O19" s="919">
        <f t="shared" si="1"/>
        <v>172</v>
      </c>
      <c r="P19" s="920">
        <f t="shared" si="2"/>
        <v>1</v>
      </c>
      <c r="Q19" s="917">
        <f t="shared" si="3"/>
        <v>0</v>
      </c>
      <c r="R19" s="930" t="s">
        <v>35</v>
      </c>
      <c r="S19" s="887">
        <v>0</v>
      </c>
      <c r="T19" s="887" cm="1">
        <f t="array" ref="T19">IFERROR(_xlfn.SWITCH(R19,"1Y MCLR (RBL Bank)",MCLR_RBL_1Y+S19,"3M MCLR (YBL)",MCLR_YBL_3M+S19,"6M I-MCLR (ICICI)",IMCLR_ICICI_6M+S19,"12M MCLR (SIB)",MCLR_SIB_12M+S19,"Bajaj Floating Reference Rate (BFRR)",BFRR_Bajaj+S19,"Term SOFR (USD)",SOFR_3M+S19,"3M T-Bill",TBill_3M+S19,"Repo Rate",RepoRate+S19,"FD rate",IFERROR(FD_Rate_RBL,0)+S19,S19),0)</f>
        <v>4.2999999999999997E-2</v>
      </c>
      <c r="U19" s="930" t="s">
        <v>86</v>
      </c>
      <c r="V19" s="924">
        <v>0</v>
      </c>
      <c r="W19" s="886" t="s">
        <v>117</v>
      </c>
      <c r="X19" s="924">
        <v>36</v>
      </c>
      <c r="Y19" s="924">
        <v>1</v>
      </c>
      <c r="Z19" s="922">
        <v>45743</v>
      </c>
      <c r="AA19" s="922">
        <f t="shared" si="4"/>
        <v>45743</v>
      </c>
      <c r="AB19" s="922">
        <f t="shared" si="6"/>
        <v>46839</v>
      </c>
      <c r="AC19" s="922">
        <v>45743</v>
      </c>
      <c r="AD19" s="922">
        <v>46356</v>
      </c>
      <c r="AE19" s="928" t="s">
        <v>121</v>
      </c>
      <c r="AF19" s="928" t="s">
        <v>118</v>
      </c>
      <c r="AG19" s="932" t="s">
        <v>122</v>
      </c>
      <c r="AH19" s="934" t="s">
        <v>370</v>
      </c>
    </row>
    <row r="20" spans="1:34" ht="18" hidden="1" customHeight="1" x14ac:dyDescent="0.3">
      <c r="A20" s="904">
        <v>16</v>
      </c>
      <c r="B20" s="1034" t="s">
        <v>123</v>
      </c>
      <c r="C20" s="1024" t="s">
        <v>124</v>
      </c>
      <c r="D20" s="1025" t="s">
        <v>76</v>
      </c>
      <c r="E20" s="1025" t="s">
        <v>64</v>
      </c>
      <c r="F20" s="1026" t="b">
        <v>0</v>
      </c>
      <c r="G20" s="1025" t="s">
        <v>739</v>
      </c>
      <c r="H20" s="1027">
        <v>200</v>
      </c>
      <c r="I20" s="1026" t="b">
        <v>0</v>
      </c>
      <c r="J20" s="1026">
        <v>1</v>
      </c>
      <c r="K20" s="1025" t="s">
        <v>65</v>
      </c>
      <c r="L20" s="1028">
        <v>100</v>
      </c>
      <c r="M20" s="1028">
        <f t="shared" ref="M20:M38" si="7">IFERROR(L20,0)</f>
        <v>100</v>
      </c>
      <c r="N20" s="1028"/>
      <c r="O20" s="1028">
        <f t="shared" si="1"/>
        <v>100</v>
      </c>
      <c r="P20" s="1029">
        <f t="shared" si="2"/>
        <v>1</v>
      </c>
      <c r="Q20" s="1028">
        <f t="shared" si="3"/>
        <v>0</v>
      </c>
      <c r="R20" s="1025" t="s">
        <v>127</v>
      </c>
      <c r="S20" s="1238">
        <v>5.0000000000000001E-3</v>
      </c>
      <c r="T20" s="1030" cm="1">
        <f t="array" ref="T20">IFERROR(_xlfn.SWITCH(R20,"1Y MCLR (RBL Bank)",MCLR_RBL_1Y+S20,"3M MCLR (YBL)",MCLR_YBL_3M+S20,"6M I-MCLR (ICICI)",IMCLR_ICICI_6M+S20,"12M MCLR (SIB)",MCLR_SIB_12M+S20,"Bajaj Floating Reference Rate (BFRR)",BFRR_Bajaj+S20,"Term SOFR (USD)",SOFR_3M+S20,"3M T-Bill",TBill_3M+S20,"Repo Rate",RepoRate+S20,"FD rate",IFERROR(FD_Rate_RBL,0)+S20,S20),0)</f>
        <v>9.5000000000000001E-2</v>
      </c>
      <c r="U20" s="1025" t="s">
        <v>78</v>
      </c>
      <c r="V20" s="1027">
        <v>0</v>
      </c>
      <c r="W20" s="1026" t="s">
        <v>68</v>
      </c>
      <c r="X20" s="1027">
        <v>3</v>
      </c>
      <c r="Y20" s="1027">
        <v>0</v>
      </c>
      <c r="Z20" s="1031">
        <v>46100</v>
      </c>
      <c r="AA20" s="1031">
        <f t="shared" si="4"/>
        <v>46100</v>
      </c>
      <c r="AB20" s="1031">
        <f t="shared" si="6"/>
        <v>46192</v>
      </c>
      <c r="AC20" s="1031">
        <v>46100</v>
      </c>
      <c r="AD20" s="1031">
        <v>46142</v>
      </c>
      <c r="AE20" s="1024" t="s">
        <v>89</v>
      </c>
      <c r="AF20" s="1024" t="s">
        <v>125</v>
      </c>
      <c r="AG20" s="1032" t="s">
        <v>126</v>
      </c>
      <c r="AH20" s="1033" t="s">
        <v>371</v>
      </c>
    </row>
    <row r="21" spans="1:34" ht="18" hidden="1" customHeight="1" x14ac:dyDescent="0.3">
      <c r="A21" s="905">
        <v>17</v>
      </c>
      <c r="B21" s="1035" t="s">
        <v>123</v>
      </c>
      <c r="C21" s="1036" t="s">
        <v>84</v>
      </c>
      <c r="D21" s="1037" t="s">
        <v>76</v>
      </c>
      <c r="E21" s="1037" t="s">
        <v>64</v>
      </c>
      <c r="F21" s="1038" t="b">
        <v>0</v>
      </c>
      <c r="G21" s="1037" t="s">
        <v>739</v>
      </c>
      <c r="H21" s="1039">
        <v>200</v>
      </c>
      <c r="I21" s="1038" t="b">
        <v>0</v>
      </c>
      <c r="J21" s="1038">
        <v>1</v>
      </c>
      <c r="K21" s="1037" t="s">
        <v>65</v>
      </c>
      <c r="L21" s="1040">
        <v>25</v>
      </c>
      <c r="M21" s="1040">
        <f t="shared" si="7"/>
        <v>25</v>
      </c>
      <c r="N21" s="1040"/>
      <c r="O21" s="1040">
        <f t="shared" si="1"/>
        <v>25</v>
      </c>
      <c r="P21" s="1041">
        <f t="shared" si="2"/>
        <v>1</v>
      </c>
      <c r="Q21" s="1040">
        <f t="shared" si="3"/>
        <v>0</v>
      </c>
      <c r="R21" s="1037" t="s">
        <v>127</v>
      </c>
      <c r="S21" s="1042">
        <v>6.9999999999999999E-4</v>
      </c>
      <c r="T21" s="1042" cm="1">
        <f t="array" ref="T21">IFERROR(_xlfn.SWITCH(R21,"1Y MCLR (RBL Bank)",MCLR_RBL_1Y+S21,"3M MCLR (YBL)",MCLR_YBL_3M+S21,"6M I-MCLR (ICICI)",IMCLR_ICICI_6M+S21,"12M MCLR (SIB)",MCLR_SIB_12M+S21,"Bajaj Floating Reference Rate (BFRR)",BFRR_Bajaj+S21,"Term SOFR (USD)",SOFR_3M+S21,"3M T-Bill",TBill_3M+S21,"Repo Rate",RepoRate+S21,"FD rate",IFERROR(FD_Rate_RBL,0)+S21,S21),0)</f>
        <v>9.0700000000000003E-2</v>
      </c>
      <c r="U21" s="1037" t="s">
        <v>86</v>
      </c>
      <c r="V21" s="1039">
        <v>0</v>
      </c>
      <c r="W21" s="1038" t="s">
        <v>73</v>
      </c>
      <c r="X21" s="1039">
        <v>12</v>
      </c>
      <c r="Y21" s="1039">
        <v>0</v>
      </c>
      <c r="Z21" s="1043">
        <v>46100</v>
      </c>
      <c r="AA21" s="1043">
        <f t="shared" si="4"/>
        <v>46100</v>
      </c>
      <c r="AB21" s="1043">
        <f t="shared" si="6"/>
        <v>46465</v>
      </c>
      <c r="AC21" s="1043">
        <v>46100</v>
      </c>
      <c r="AD21" s="1043">
        <v>46490</v>
      </c>
      <c r="AE21" s="1036" t="s">
        <v>89</v>
      </c>
      <c r="AF21" s="1036" t="s">
        <v>730</v>
      </c>
      <c r="AG21" s="1044" t="s">
        <v>126</v>
      </c>
      <c r="AH21" s="1045" t="s">
        <v>372</v>
      </c>
    </row>
    <row r="22" spans="1:34" ht="18" customHeight="1" x14ac:dyDescent="0.3">
      <c r="A22" s="905">
        <v>18</v>
      </c>
      <c r="B22" s="1046" t="s">
        <v>123</v>
      </c>
      <c r="C22" s="1047" t="s">
        <v>128</v>
      </c>
      <c r="D22" s="1048" t="s">
        <v>63</v>
      </c>
      <c r="E22" s="1048" t="s">
        <v>64</v>
      </c>
      <c r="F22" s="1049" t="b">
        <v>0</v>
      </c>
      <c r="G22" s="1048"/>
      <c r="H22" s="1050"/>
      <c r="I22" s="1049" t="b">
        <v>0</v>
      </c>
      <c r="J22" s="1049">
        <v>2</v>
      </c>
      <c r="K22" s="1048" t="s">
        <v>65</v>
      </c>
      <c r="L22" s="1051">
        <v>200</v>
      </c>
      <c r="M22" s="1051">
        <f t="shared" si="7"/>
        <v>200</v>
      </c>
      <c r="N22" s="1051"/>
      <c r="O22" s="1052">
        <f t="shared" si="1"/>
        <v>200</v>
      </c>
      <c r="P22" s="1053">
        <f t="shared" si="2"/>
        <v>1</v>
      </c>
      <c r="Q22" s="1051">
        <f t="shared" si="3"/>
        <v>0</v>
      </c>
      <c r="R22" s="1048" t="s">
        <v>66</v>
      </c>
      <c r="S22" s="1054">
        <v>0</v>
      </c>
      <c r="T22" s="1054" cm="1">
        <f t="array" ref="T22">IFERROR(_xlfn.SWITCH(R22,"1Y MCLR (RBL Bank)",MCLR_RBL_1Y+S22,"3M MCLR (YBL)",MCLR_YBL_3M+S22,"6M I-MCLR (ICICI)",IMCLR_ICICI_6M+S22,"12M MCLR (SIB)",MCLR_SIB_12M+S22,"Bajaj Floating Reference Rate (BFRR)",BFRR_Bajaj+S22,"Term SOFR (USD)",SOFR_3M+S22,"3M T-Bill",TBill_3M+S22,"Repo Rate",RepoRate+S22,"FD rate",IFERROR(FD_Rate_RBL,0)+S22,S22),0)</f>
        <v>0</v>
      </c>
      <c r="U22" s="1048" t="s">
        <v>67</v>
      </c>
      <c r="V22" s="1050">
        <v>0</v>
      </c>
      <c r="W22" s="1049" t="s">
        <v>68</v>
      </c>
      <c r="X22" s="1050">
        <v>7</v>
      </c>
      <c r="Y22" s="1050">
        <v>0</v>
      </c>
      <c r="Z22" s="1055">
        <v>46100</v>
      </c>
      <c r="AA22" s="1055">
        <f t="shared" si="4"/>
        <v>46100</v>
      </c>
      <c r="AB22" s="1055">
        <f t="shared" si="6"/>
        <v>46314</v>
      </c>
      <c r="AC22" s="1055">
        <v>46100</v>
      </c>
      <c r="AD22" s="1055">
        <v>46472</v>
      </c>
      <c r="AE22" s="1047" t="s">
        <v>129</v>
      </c>
      <c r="AF22" s="1047" t="s">
        <v>730</v>
      </c>
      <c r="AG22" s="1056" t="s">
        <v>126</v>
      </c>
      <c r="AH22" s="1057" t="s">
        <v>373</v>
      </c>
    </row>
    <row r="23" spans="1:34" ht="18" hidden="1" customHeight="1" x14ac:dyDescent="0.3">
      <c r="A23" s="906">
        <v>19</v>
      </c>
      <c r="B23" s="1223" t="s">
        <v>123</v>
      </c>
      <c r="C23" s="1222" t="s">
        <v>130</v>
      </c>
      <c r="D23" s="1059" t="s">
        <v>63</v>
      </c>
      <c r="E23" s="1059" t="s">
        <v>64</v>
      </c>
      <c r="F23" s="1060" t="b">
        <v>1</v>
      </c>
      <c r="G23" s="1059"/>
      <c r="H23" s="1061"/>
      <c r="I23" s="1060" t="b">
        <v>0</v>
      </c>
      <c r="J23" s="1060">
        <v>0</v>
      </c>
      <c r="K23" s="1059" t="s">
        <v>65</v>
      </c>
      <c r="L23" s="1062">
        <v>200</v>
      </c>
      <c r="M23" s="1062">
        <f t="shared" si="7"/>
        <v>200</v>
      </c>
      <c r="N23" s="1062"/>
      <c r="O23" s="1063">
        <f t="shared" si="1"/>
        <v>200</v>
      </c>
      <c r="P23" s="1064">
        <f t="shared" si="2"/>
        <v>1</v>
      </c>
      <c r="Q23" s="1062">
        <f t="shared" si="3"/>
        <v>0</v>
      </c>
      <c r="R23" s="1059" t="s">
        <v>66</v>
      </c>
      <c r="S23" s="1065">
        <v>5.0000000000000001E-3</v>
      </c>
      <c r="T23" s="1065" cm="1">
        <f t="array" ref="T23">IFERROR(_xlfn.SWITCH(R23,"1Y MCLR (RBL Bank)",MCLR_RBL_1Y+S23,"3M MCLR (YBL)",MCLR_YBL_3M+S23,"6M I-MCLR (ICICI)",IMCLR_ICICI_6M+S23,"12M MCLR (SIB)",MCLR_SIB_12M+S23,"Bajaj Floating Reference Rate (BFRR)",BFRR_Bajaj+S23,"Term SOFR (USD)",SOFR_3M+S23,"3M T-Bill",TBill_3M+S23,"Repo Rate",RepoRate+S23,"FD rate",IFERROR(FD_Rate_RBL,0)+S23,S23),0)</f>
        <v>5.0000000000000001E-3</v>
      </c>
      <c r="U23" s="1059" t="s">
        <v>67</v>
      </c>
      <c r="V23" s="1061">
        <v>0</v>
      </c>
      <c r="W23" s="1060" t="s">
        <v>68</v>
      </c>
      <c r="X23" s="1061">
        <v>6</v>
      </c>
      <c r="Y23" s="1061">
        <v>0</v>
      </c>
      <c r="Z23" s="1066">
        <v>46100</v>
      </c>
      <c r="AA23" s="1066">
        <f t="shared" si="4"/>
        <v>46100</v>
      </c>
      <c r="AB23" s="1066">
        <f t="shared" si="6"/>
        <v>46284</v>
      </c>
      <c r="AC23" s="1066">
        <v>46100</v>
      </c>
      <c r="AD23" s="1066">
        <v>46490</v>
      </c>
      <c r="AE23" s="1058" t="s">
        <v>131</v>
      </c>
      <c r="AF23" s="1058" t="s">
        <v>730</v>
      </c>
      <c r="AG23" s="1067" t="s">
        <v>126</v>
      </c>
      <c r="AH23" s="1068" t="s">
        <v>358</v>
      </c>
    </row>
    <row r="24" spans="1:34" ht="18" hidden="1" customHeight="1" x14ac:dyDescent="0.3">
      <c r="A24" s="905">
        <v>20</v>
      </c>
      <c r="B24" s="1046" t="s">
        <v>123</v>
      </c>
      <c r="C24" s="1047" t="s">
        <v>88</v>
      </c>
      <c r="D24" s="1048" t="s">
        <v>76</v>
      </c>
      <c r="E24" s="1048" t="s">
        <v>64</v>
      </c>
      <c r="F24" s="1049" t="b">
        <v>0</v>
      </c>
      <c r="G24" s="1048" t="s">
        <v>739</v>
      </c>
      <c r="H24" s="1050">
        <v>200</v>
      </c>
      <c r="I24" s="1049" t="b">
        <v>0</v>
      </c>
      <c r="J24" s="1049">
        <v>1</v>
      </c>
      <c r="K24" s="1048" t="s">
        <v>65</v>
      </c>
      <c r="L24" s="1051">
        <v>50</v>
      </c>
      <c r="M24" s="1051">
        <f t="shared" si="7"/>
        <v>50</v>
      </c>
      <c r="N24" s="1051"/>
      <c r="O24" s="1052">
        <f t="shared" si="1"/>
        <v>50</v>
      </c>
      <c r="P24" s="1053">
        <f t="shared" si="2"/>
        <v>1</v>
      </c>
      <c r="Q24" s="1051">
        <f t="shared" si="3"/>
        <v>0</v>
      </c>
      <c r="R24" s="1048" t="s">
        <v>77</v>
      </c>
      <c r="S24" s="1054">
        <v>0</v>
      </c>
      <c r="T24" s="1054" cm="1">
        <f t="array" ref="T24">IFERROR(_xlfn.SWITCH(R24,"1Y MCLR (RBL Bank)",MCLR_RBL_1Y+S24,"3M MCLR (YBL)",MCLR_YBL_3M+S24,"6M I-MCLR (ICICI)",IMCLR_ICICI_6M+S24,"12M MCLR (SIB)",MCLR_SIB_12M+S24,"Bajaj Floating Reference Rate (BFRR)",BFRR_Bajaj+S24,"Term SOFR (USD)",SOFR_3M+S24,"3M T-Bill",TBill_3M+S24,"Repo Rate",RepoRate+S24,"FD rate",IFERROR(FD_Rate_RBL,0)+S24,S24),0)</f>
        <v>0</v>
      </c>
      <c r="U24" s="1048" t="s">
        <v>78</v>
      </c>
      <c r="V24" s="1050">
        <v>0</v>
      </c>
      <c r="W24" s="1049" t="s">
        <v>73</v>
      </c>
      <c r="X24" s="1050">
        <v>6</v>
      </c>
      <c r="Y24" s="1050">
        <v>0</v>
      </c>
      <c r="Z24" s="1055">
        <v>46100</v>
      </c>
      <c r="AA24" s="1055">
        <f t="shared" si="4"/>
        <v>46100</v>
      </c>
      <c r="AB24" s="1055">
        <f t="shared" si="6"/>
        <v>46284</v>
      </c>
      <c r="AC24" s="1055">
        <v>46100</v>
      </c>
      <c r="AD24" s="1055">
        <v>46490</v>
      </c>
      <c r="AE24" s="1047" t="s">
        <v>89</v>
      </c>
      <c r="AF24" s="1047" t="s">
        <v>730</v>
      </c>
      <c r="AG24" s="1056" t="s">
        <v>126</v>
      </c>
      <c r="AH24" s="1057" t="s">
        <v>132</v>
      </c>
    </row>
    <row r="25" spans="1:34" ht="18" hidden="1" customHeight="1" x14ac:dyDescent="0.3">
      <c r="A25" s="907">
        <v>21</v>
      </c>
      <c r="B25" s="1069" t="s">
        <v>123</v>
      </c>
      <c r="C25" s="1070" t="s">
        <v>133</v>
      </c>
      <c r="D25" s="1071" t="s">
        <v>96</v>
      </c>
      <c r="E25" s="1071" t="s">
        <v>97</v>
      </c>
      <c r="F25" s="1072" t="b">
        <v>0</v>
      </c>
      <c r="G25" s="1071"/>
      <c r="H25" s="1073"/>
      <c r="I25" s="1072" t="b">
        <v>0</v>
      </c>
      <c r="J25" s="1072">
        <v>1</v>
      </c>
      <c r="K25" s="1071" t="s">
        <v>65</v>
      </c>
      <c r="L25" s="1074">
        <v>320.7</v>
      </c>
      <c r="M25" s="1074">
        <f t="shared" si="7"/>
        <v>320.7</v>
      </c>
      <c r="N25" s="1074"/>
      <c r="O25" s="1075">
        <f>IFERROR(IF(D25="FB-Term", YBL_TL_PrincOS, IF(UseFullUtil, IF(G25="", M25, IF(J25=1, M25*MIN(1,H25/IFERROR(SUMIFS($M$5:$M$38,$G$5:$G$38,G25,$J$5:$J$38,1),0)), 0)), IF(N25="",0,N25))),0)</f>
        <v>286.58297872340427</v>
      </c>
      <c r="P25" s="1076">
        <f t="shared" si="2"/>
        <v>0.89361702127659581</v>
      </c>
      <c r="Q25" s="1074">
        <f t="shared" si="3"/>
        <v>34.117021276595722</v>
      </c>
      <c r="R25" s="1071" t="s">
        <v>34</v>
      </c>
      <c r="S25" s="1077">
        <v>2.52E-2</v>
      </c>
      <c r="T25" s="1077" cm="1">
        <f t="array" ref="T25">IFERROR(_xlfn.SWITCH(R25,"1Y MCLR (RBL Bank)",MCLR_RBL_1Y+S25,"3M MCLR (YBL)",MCLR_YBL_3M+S25,"6M I-MCLR (ICICI)",IMCLR_ICICI_6M+S25,"12M MCLR (SIB)",MCLR_SIB_12M+S25,"Bajaj Floating Reference Rate (BFRR)",BFRR_Bajaj+S25,"Term SOFR (USD)",SOFR_3M+S25,"3M T-Bill",TBill_3M+S25,"Repo Rate",RepoRate+S25,"FD rate",IFERROR(FD_Rate_RBL,0)+S25,S25),0)</f>
        <v>7.6999999999999999E-2</v>
      </c>
      <c r="U25" s="1071" t="s">
        <v>86</v>
      </c>
      <c r="V25" s="1073">
        <v>0</v>
      </c>
      <c r="W25" s="1072" t="s">
        <v>99</v>
      </c>
      <c r="X25" s="1073">
        <v>146</v>
      </c>
      <c r="Y25" s="1073">
        <v>47</v>
      </c>
      <c r="Z25" s="1078">
        <v>45642</v>
      </c>
      <c r="AA25" s="1078">
        <f>YBL_TL_RepStart</f>
        <v>45747</v>
      </c>
      <c r="AB25" s="1078">
        <f>YBL_TL_Maturity</f>
        <v>49948</v>
      </c>
      <c r="AC25" s="1078">
        <v>45744</v>
      </c>
      <c r="AD25" s="1078">
        <v>46253</v>
      </c>
      <c r="AE25" s="1070" t="s">
        <v>134</v>
      </c>
      <c r="AF25" s="1070" t="s">
        <v>135</v>
      </c>
      <c r="AG25" s="1079" t="s">
        <v>136</v>
      </c>
      <c r="AH25" s="1080" t="s">
        <v>374</v>
      </c>
    </row>
    <row r="26" spans="1:34" ht="18" hidden="1" customHeight="1" x14ac:dyDescent="0.3">
      <c r="A26" s="908">
        <v>22</v>
      </c>
      <c r="B26" s="927" t="s">
        <v>137</v>
      </c>
      <c r="C26" s="929" t="s">
        <v>138</v>
      </c>
      <c r="D26" s="931" t="s">
        <v>96</v>
      </c>
      <c r="E26" s="931" t="s">
        <v>97</v>
      </c>
      <c r="F26" s="888" t="b">
        <v>0</v>
      </c>
      <c r="G26" s="931"/>
      <c r="H26" s="925"/>
      <c r="I26" s="888" t="b">
        <v>0</v>
      </c>
      <c r="J26" s="888">
        <v>1</v>
      </c>
      <c r="K26" s="931" t="s">
        <v>65</v>
      </c>
      <c r="L26" s="918">
        <v>150</v>
      </c>
      <c r="M26" s="918">
        <f t="shared" si="7"/>
        <v>150</v>
      </c>
      <c r="N26" s="918"/>
      <c r="O26" s="918">
        <f>IFERROR(IF(D26="FB-Term", Bajaj_TL_PrincOS, IF(UseFullUtil, IF(G26="", M26, IF(J26=1, M26*MIN(1,H26/IFERROR(SUMIFS($M$5:$M$38,$G$5:$G$38,G26,$J$5:$J$38,1),0)), 0)), IF(N26="",0,N26))),0)</f>
        <v>150</v>
      </c>
      <c r="P26" s="921">
        <f t="shared" si="2"/>
        <v>1</v>
      </c>
      <c r="Q26" s="918">
        <f t="shared" si="3"/>
        <v>0</v>
      </c>
      <c r="R26" s="931" t="s">
        <v>139</v>
      </c>
      <c r="S26" s="889">
        <v>1E-3</v>
      </c>
      <c r="T26" s="889" cm="1">
        <f t="array" ref="T26">IFERROR(_xlfn.SWITCH(R26,"1Y MCLR (RBL Bank)",MCLR_RBL_1Y+S26,"3M MCLR (YBL)",MCLR_YBL_3M+S26,"6M I-MCLR (ICICI)",IMCLR_ICICI_6M+S26,"12M MCLR (SIB)",MCLR_SIB_12M+S26,"Bajaj Floating Reference Rate (BFRR)",BFRR_Bajaj+S26,"Term SOFR (USD)",SOFR_3M+S26,"3M T-Bill",TBill_3M+S26,"Repo Rate",RepoRate+S26,"FD rate",IFERROR(FD_Rate_RBL,0)+S26,S26),0)</f>
        <v>8.6000000000000007E-2</v>
      </c>
      <c r="U26" s="931" t="s">
        <v>86</v>
      </c>
      <c r="V26" s="925">
        <v>12</v>
      </c>
      <c r="W26" s="888" t="s">
        <v>99</v>
      </c>
      <c r="X26" s="925">
        <v>96</v>
      </c>
      <c r="Y26" s="925">
        <v>28</v>
      </c>
      <c r="Z26" s="923">
        <v>45887</v>
      </c>
      <c r="AA26" s="923">
        <f t="shared" ref="AA26:AA38" si="8">IFERROR(EDATE(Z26,V26),"")</f>
        <v>46252</v>
      </c>
      <c r="AB26" s="923">
        <f>Bajaj_TL_Maturity</f>
        <v>48822</v>
      </c>
      <c r="AC26" s="923">
        <v>45887</v>
      </c>
      <c r="AD26" s="923">
        <v>46265</v>
      </c>
      <c r="AE26" s="929" t="s">
        <v>140</v>
      </c>
      <c r="AF26" s="929" t="s">
        <v>141</v>
      </c>
      <c r="AG26" s="933" t="s">
        <v>142</v>
      </c>
      <c r="AH26" s="935" t="s">
        <v>375</v>
      </c>
    </row>
    <row r="27" spans="1:34" ht="18" hidden="1" customHeight="1" x14ac:dyDescent="0.3">
      <c r="A27" s="909">
        <v>23</v>
      </c>
      <c r="B27" s="1091" t="s">
        <v>143</v>
      </c>
      <c r="C27" s="1081" t="s">
        <v>84</v>
      </c>
      <c r="D27" s="1082" t="s">
        <v>76</v>
      </c>
      <c r="E27" s="1082" t="s">
        <v>64</v>
      </c>
      <c r="F27" s="1083" t="b">
        <v>0</v>
      </c>
      <c r="G27" s="1082" t="s">
        <v>376</v>
      </c>
      <c r="H27" s="1084">
        <f>ICICI_FB_Cap</f>
        <v>50</v>
      </c>
      <c r="I27" s="1083" t="b">
        <v>0</v>
      </c>
      <c r="J27" s="1083">
        <v>1</v>
      </c>
      <c r="K27" s="1082" t="s">
        <v>65</v>
      </c>
      <c r="L27" s="1085">
        <v>50</v>
      </c>
      <c r="M27" s="1085">
        <f t="shared" si="7"/>
        <v>50</v>
      </c>
      <c r="N27" s="1085"/>
      <c r="O27" s="1085">
        <f t="shared" si="1"/>
        <v>50</v>
      </c>
      <c r="P27" s="1086">
        <f t="shared" si="2"/>
        <v>1</v>
      </c>
      <c r="Q27" s="1085">
        <f t="shared" si="3"/>
        <v>0</v>
      </c>
      <c r="R27" s="1082" t="s">
        <v>144</v>
      </c>
      <c r="S27" s="1087">
        <v>4.4999999999999997E-3</v>
      </c>
      <c r="T27" s="1087" cm="1">
        <f t="array" ref="T27">IFERROR(_xlfn.SWITCH(R27,"1Y MCLR (RBL Bank)",MCLR_RBL_1Y+S27,"3M MCLR (YBL)",MCLR_YBL_3M+S27,"6M I-MCLR (ICICI)",IMCLR_ICICI_6M+S27,"12M MCLR (SIB)",MCLR_SIB_12M+S27,"Bajaj Floating Reference Rate (BFRR)",BFRR_Bajaj+S27,"Term SOFR (USD)",SOFR_3M+S27,"3M T-Bill",TBill_3M+S27,"Repo Rate",RepoRate+S27,"FD rate",IFERROR(FD_Rate_RBL,0)+S27,S27),0)</f>
        <v>8.7500000000000008E-2</v>
      </c>
      <c r="U27" s="1082" t="s">
        <v>86</v>
      </c>
      <c r="V27" s="1084">
        <v>0</v>
      </c>
      <c r="W27" s="1083" t="s">
        <v>73</v>
      </c>
      <c r="X27" s="1084">
        <v>12</v>
      </c>
      <c r="Y27" s="1084">
        <v>0</v>
      </c>
      <c r="Z27" s="1088">
        <v>45916</v>
      </c>
      <c r="AA27" s="1088">
        <f t="shared" si="8"/>
        <v>45916</v>
      </c>
      <c r="AB27" s="1088">
        <f t="shared" ref="AB27:AB38" si="9">IFERROR(EDATE(Z27,X27),"")</f>
        <v>46281</v>
      </c>
      <c r="AC27" s="1088">
        <v>45916</v>
      </c>
      <c r="AD27" s="1088">
        <v>46268</v>
      </c>
      <c r="AE27" s="1081" t="s">
        <v>89</v>
      </c>
      <c r="AF27" s="1081" t="s">
        <v>145</v>
      </c>
      <c r="AG27" s="1089" t="s">
        <v>146</v>
      </c>
      <c r="AH27" s="1090" t="s">
        <v>377</v>
      </c>
    </row>
    <row r="28" spans="1:34" ht="18" hidden="1" customHeight="1" x14ac:dyDescent="0.3">
      <c r="A28" s="1092">
        <v>24</v>
      </c>
      <c r="B28" s="1225" t="s">
        <v>143</v>
      </c>
      <c r="C28" s="1224" t="s">
        <v>88</v>
      </c>
      <c r="D28" s="1094" t="s">
        <v>76</v>
      </c>
      <c r="E28" s="1094" t="s">
        <v>64</v>
      </c>
      <c r="F28" s="1095" t="b">
        <v>1</v>
      </c>
      <c r="G28" s="1094" t="s">
        <v>376</v>
      </c>
      <c r="H28" s="1096">
        <f>ICICI_FB_Cap</f>
        <v>50</v>
      </c>
      <c r="I28" s="1095" t="b">
        <v>0</v>
      </c>
      <c r="J28" s="1095">
        <v>0</v>
      </c>
      <c r="K28" s="1094" t="s">
        <v>65</v>
      </c>
      <c r="L28" s="1097">
        <v>50</v>
      </c>
      <c r="M28" s="1097">
        <f t="shared" si="7"/>
        <v>50</v>
      </c>
      <c r="N28" s="1097"/>
      <c r="O28" s="1098">
        <f t="shared" si="1"/>
        <v>0</v>
      </c>
      <c r="P28" s="1099">
        <f t="shared" si="2"/>
        <v>0</v>
      </c>
      <c r="Q28" s="1097">
        <f t="shared" si="3"/>
        <v>50</v>
      </c>
      <c r="R28" s="1094" t="s">
        <v>147</v>
      </c>
      <c r="S28" s="1100">
        <v>0</v>
      </c>
      <c r="T28" s="1100" cm="1">
        <f t="array" ref="T28">IFERROR(_xlfn.SWITCH(R28,"1Y MCLR (RBL Bank)",MCLR_RBL_1Y+S28,"3M MCLR (YBL)",MCLR_YBL_3M+S28,"6M I-MCLR (ICICI)",IMCLR_ICICI_6M+S28,"12M MCLR (SIB)",MCLR_SIB_12M+S28,"Bajaj Floating Reference Rate (BFRR)",BFRR_Bajaj+S28,"Term SOFR (USD)",SOFR_3M+S28,"3M T-Bill",TBill_3M+S28,"Repo Rate",RepoRate+S28,"FD rate",IFERROR(FD_Rate_RBL,0)+S28,S28),0)</f>
        <v>5.2499999999999998E-2</v>
      </c>
      <c r="U28" s="1094" t="s">
        <v>86</v>
      </c>
      <c r="V28" s="1096">
        <v>0</v>
      </c>
      <c r="W28" s="1095" t="s">
        <v>68</v>
      </c>
      <c r="X28" s="1096">
        <v>3</v>
      </c>
      <c r="Y28" s="1096">
        <v>0</v>
      </c>
      <c r="Z28" s="1101">
        <v>45972</v>
      </c>
      <c r="AA28" s="1101">
        <f t="shared" si="8"/>
        <v>45972</v>
      </c>
      <c r="AB28" s="1101">
        <f t="shared" si="9"/>
        <v>46064</v>
      </c>
      <c r="AC28" s="1101">
        <v>45972</v>
      </c>
      <c r="AD28" s="1101">
        <v>46268</v>
      </c>
      <c r="AE28" s="1093" t="s">
        <v>148</v>
      </c>
      <c r="AF28" s="1093" t="s">
        <v>145</v>
      </c>
      <c r="AG28" s="1102" t="s">
        <v>149</v>
      </c>
      <c r="AH28" s="1103" t="s">
        <v>378</v>
      </c>
    </row>
    <row r="29" spans="1:34" ht="18" customHeight="1" x14ac:dyDescent="0.3">
      <c r="A29" s="911">
        <v>25</v>
      </c>
      <c r="B29" s="1104" t="s">
        <v>143</v>
      </c>
      <c r="C29" s="1105" t="s">
        <v>150</v>
      </c>
      <c r="D29" s="1106" t="s">
        <v>63</v>
      </c>
      <c r="E29" s="1106" t="s">
        <v>64</v>
      </c>
      <c r="F29" s="890" t="b">
        <v>0</v>
      </c>
      <c r="G29" s="1106"/>
      <c r="H29" s="1107"/>
      <c r="I29" s="890" t="b">
        <v>0</v>
      </c>
      <c r="J29" s="890">
        <v>2</v>
      </c>
      <c r="K29" s="1106" t="s">
        <v>65</v>
      </c>
      <c r="L29" s="1108">
        <v>150</v>
      </c>
      <c r="M29" s="1108">
        <f t="shared" si="7"/>
        <v>150</v>
      </c>
      <c r="N29" s="1108"/>
      <c r="O29" s="1109">
        <f t="shared" si="1"/>
        <v>150</v>
      </c>
      <c r="P29" s="1110">
        <f t="shared" si="2"/>
        <v>1</v>
      </c>
      <c r="Q29" s="1108">
        <f t="shared" si="3"/>
        <v>0</v>
      </c>
      <c r="R29" s="1106" t="s">
        <v>66</v>
      </c>
      <c r="S29" s="891">
        <v>5.0000000000000001E-3</v>
      </c>
      <c r="T29" s="891" cm="1">
        <f t="array" ref="T29">IFERROR(_xlfn.SWITCH(R29,"1Y MCLR (RBL Bank)",MCLR_RBL_1Y+S29,"3M MCLR (YBL)",MCLR_YBL_3M+S29,"6M I-MCLR (ICICI)",IMCLR_ICICI_6M+S29,"12M MCLR (SIB)",MCLR_SIB_12M+S29,"Bajaj Floating Reference Rate (BFRR)",BFRR_Bajaj+S29,"Term SOFR (USD)",SOFR_3M+S29,"3M T-Bill",TBill_3M+S29,"Repo Rate",RepoRate+S29,"FD rate",IFERROR(FD_Rate_RBL,0)+S29,S29),0)</f>
        <v>5.0000000000000001E-3</v>
      </c>
      <c r="U29" s="1106" t="s">
        <v>67</v>
      </c>
      <c r="V29" s="1107">
        <v>0</v>
      </c>
      <c r="W29" s="890" t="s">
        <v>68</v>
      </c>
      <c r="X29" s="1107">
        <v>5</v>
      </c>
      <c r="Y29" s="1107">
        <v>0</v>
      </c>
      <c r="Z29" s="1111">
        <v>45916</v>
      </c>
      <c r="AA29" s="1111">
        <f t="shared" si="8"/>
        <v>45916</v>
      </c>
      <c r="AB29" s="1111">
        <f t="shared" si="9"/>
        <v>46069</v>
      </c>
      <c r="AC29" s="1111">
        <v>45916</v>
      </c>
      <c r="AD29" s="1111">
        <v>46268</v>
      </c>
      <c r="AE29" s="1105" t="s">
        <v>151</v>
      </c>
      <c r="AF29" s="1105" t="s">
        <v>145</v>
      </c>
      <c r="AG29" s="1112" t="s">
        <v>146</v>
      </c>
      <c r="AH29" s="1113" t="s">
        <v>152</v>
      </c>
    </row>
    <row r="30" spans="1:34" ht="18" hidden="1" customHeight="1" x14ac:dyDescent="0.3">
      <c r="A30" s="910">
        <v>26</v>
      </c>
      <c r="B30" s="1227" t="s">
        <v>143</v>
      </c>
      <c r="C30" s="1226" t="s">
        <v>153</v>
      </c>
      <c r="D30" s="1115" t="s">
        <v>63</v>
      </c>
      <c r="E30" s="1115" t="s">
        <v>64</v>
      </c>
      <c r="F30" s="1116" t="b">
        <v>1</v>
      </c>
      <c r="G30" s="1115"/>
      <c r="H30" s="1117"/>
      <c r="I30" s="1116" t="b">
        <v>0</v>
      </c>
      <c r="J30" s="1116">
        <v>0</v>
      </c>
      <c r="K30" s="1115" t="s">
        <v>65</v>
      </c>
      <c r="L30" s="1118">
        <v>150</v>
      </c>
      <c r="M30" s="1118">
        <f t="shared" si="7"/>
        <v>150</v>
      </c>
      <c r="N30" s="1118"/>
      <c r="O30" s="1119">
        <f t="shared" si="1"/>
        <v>150</v>
      </c>
      <c r="P30" s="1120">
        <f t="shared" si="2"/>
        <v>1</v>
      </c>
      <c r="Q30" s="1118">
        <f t="shared" si="3"/>
        <v>0</v>
      </c>
      <c r="R30" s="1115" t="s">
        <v>66</v>
      </c>
      <c r="S30" s="1121">
        <v>5.0000000000000001E-3</v>
      </c>
      <c r="T30" s="1121" cm="1">
        <f t="array" ref="T30">IFERROR(_xlfn.SWITCH(R30,"1Y MCLR (RBL Bank)",MCLR_RBL_1Y+S30,"3M MCLR (YBL)",MCLR_YBL_3M+S30,"6M I-MCLR (ICICI)",IMCLR_ICICI_6M+S30,"12M MCLR (SIB)",MCLR_SIB_12M+S30,"Bajaj Floating Reference Rate (BFRR)",BFRR_Bajaj+S30,"Term SOFR (USD)",SOFR_3M+S30,"3M T-Bill",TBill_3M+S30,"Repo Rate",RepoRate+S30,"FD rate",IFERROR(FD_Rate_RBL,0)+S30,S30),0)</f>
        <v>5.0000000000000001E-3</v>
      </c>
      <c r="U30" s="1115" t="s">
        <v>67</v>
      </c>
      <c r="V30" s="1117">
        <v>0</v>
      </c>
      <c r="W30" s="1116" t="s">
        <v>68</v>
      </c>
      <c r="X30" s="1117">
        <v>5</v>
      </c>
      <c r="Y30" s="1117">
        <v>0</v>
      </c>
      <c r="Z30" s="1122">
        <v>45916</v>
      </c>
      <c r="AA30" s="1122">
        <f t="shared" si="8"/>
        <v>45916</v>
      </c>
      <c r="AB30" s="1122">
        <f t="shared" si="9"/>
        <v>46069</v>
      </c>
      <c r="AC30" s="1122">
        <v>45916</v>
      </c>
      <c r="AD30" s="1122">
        <v>46268</v>
      </c>
      <c r="AE30" s="1114" t="s">
        <v>154</v>
      </c>
      <c r="AF30" s="1114" t="s">
        <v>145</v>
      </c>
      <c r="AG30" s="1123" t="s">
        <v>146</v>
      </c>
      <c r="AH30" s="1124" t="s">
        <v>379</v>
      </c>
    </row>
    <row r="31" spans="1:34" ht="18" hidden="1" customHeight="1" x14ac:dyDescent="0.3">
      <c r="A31" s="910">
        <v>27</v>
      </c>
      <c r="B31" s="1229" t="s">
        <v>143</v>
      </c>
      <c r="C31" s="1228" t="s">
        <v>155</v>
      </c>
      <c r="D31" s="1126" t="s">
        <v>63</v>
      </c>
      <c r="E31" s="1126" t="s">
        <v>64</v>
      </c>
      <c r="F31" s="892" t="b">
        <v>1</v>
      </c>
      <c r="G31" s="1126"/>
      <c r="H31" s="1127"/>
      <c r="I31" s="892" t="b">
        <v>0</v>
      </c>
      <c r="J31" s="892">
        <v>0</v>
      </c>
      <c r="K31" s="1126" t="s">
        <v>65</v>
      </c>
      <c r="L31" s="1128">
        <v>25</v>
      </c>
      <c r="M31" s="1128">
        <f t="shared" si="7"/>
        <v>25</v>
      </c>
      <c r="N31" s="1128"/>
      <c r="O31" s="1109">
        <f t="shared" si="1"/>
        <v>25</v>
      </c>
      <c r="P31" s="1129">
        <f t="shared" si="2"/>
        <v>1</v>
      </c>
      <c r="Q31" s="1128">
        <f t="shared" si="3"/>
        <v>0</v>
      </c>
      <c r="R31" s="1126" t="s">
        <v>66</v>
      </c>
      <c r="S31" s="893">
        <v>5.0000000000000001E-3</v>
      </c>
      <c r="T31" s="893" cm="1">
        <f t="array" ref="T31">IFERROR(_xlfn.SWITCH(R31,"1Y MCLR (RBL Bank)",MCLR_RBL_1Y+S31,"3M MCLR (YBL)",MCLR_YBL_3M+S31,"6M I-MCLR (ICICI)",IMCLR_ICICI_6M+S31,"12M MCLR (SIB)",MCLR_SIB_12M+S31,"Bajaj Floating Reference Rate (BFRR)",BFRR_Bajaj+S31,"Term SOFR (USD)",SOFR_3M+S31,"3M T-Bill",TBill_3M+S31,"Repo Rate",RepoRate+S31,"FD rate",IFERROR(FD_Rate_RBL,0)+S31,S31),0)</f>
        <v>5.0000000000000001E-3</v>
      </c>
      <c r="U31" s="1126" t="s">
        <v>67</v>
      </c>
      <c r="V31" s="1127">
        <v>0</v>
      </c>
      <c r="W31" s="892" t="s">
        <v>68</v>
      </c>
      <c r="X31" s="1127">
        <v>36</v>
      </c>
      <c r="Y31" s="1127">
        <v>0</v>
      </c>
      <c r="Z31" s="1130">
        <v>45916</v>
      </c>
      <c r="AA31" s="1130">
        <f t="shared" si="8"/>
        <v>45916</v>
      </c>
      <c r="AB31" s="1130">
        <f t="shared" si="9"/>
        <v>47012</v>
      </c>
      <c r="AC31" s="1130">
        <v>45916</v>
      </c>
      <c r="AD31" s="1130">
        <v>46268</v>
      </c>
      <c r="AE31" s="1125" t="s">
        <v>156</v>
      </c>
      <c r="AF31" s="1125" t="s">
        <v>145</v>
      </c>
      <c r="AG31" s="1131" t="s">
        <v>146</v>
      </c>
      <c r="AH31" s="1132" t="s">
        <v>379</v>
      </c>
    </row>
    <row r="32" spans="1:34" ht="18" hidden="1" customHeight="1" x14ac:dyDescent="0.3">
      <c r="A32" s="912">
        <v>28</v>
      </c>
      <c r="B32" s="1133" t="s">
        <v>143</v>
      </c>
      <c r="C32" s="1134" t="s">
        <v>157</v>
      </c>
      <c r="D32" s="1135" t="s">
        <v>63</v>
      </c>
      <c r="E32" s="1135" t="s">
        <v>64</v>
      </c>
      <c r="F32" s="1136" t="b">
        <v>1</v>
      </c>
      <c r="G32" s="1135"/>
      <c r="H32" s="1137"/>
      <c r="I32" s="1136" t="b">
        <v>0</v>
      </c>
      <c r="J32" s="1136">
        <v>0</v>
      </c>
      <c r="K32" s="1135" t="s">
        <v>65</v>
      </c>
      <c r="L32" s="1138">
        <v>5</v>
      </c>
      <c r="M32" s="1138">
        <f t="shared" si="7"/>
        <v>5</v>
      </c>
      <c r="N32" s="1138"/>
      <c r="O32" s="1139">
        <f t="shared" si="1"/>
        <v>5</v>
      </c>
      <c r="P32" s="1140">
        <f t="shared" si="2"/>
        <v>1</v>
      </c>
      <c r="Q32" s="1138">
        <f t="shared" si="3"/>
        <v>0</v>
      </c>
      <c r="R32" s="1135" t="s">
        <v>66</v>
      </c>
      <c r="S32" s="1141">
        <v>6.0000000000000001E-3</v>
      </c>
      <c r="T32" s="1141" cm="1">
        <f t="array" ref="T32">IFERROR(_xlfn.SWITCH(R32,"1Y MCLR (RBL Bank)",MCLR_RBL_1Y+S32,"3M MCLR (YBL)",MCLR_YBL_3M+S32,"6M I-MCLR (ICICI)",IMCLR_ICICI_6M+S32,"12M MCLR (SIB)",MCLR_SIB_12M+S32,"Bajaj Floating Reference Rate (BFRR)",BFRR_Bajaj+S32,"Term SOFR (USD)",SOFR_3M+S32,"3M T-Bill",TBill_3M+S32,"Repo Rate",RepoRate+S32,"FD rate",IFERROR(FD_Rate_RBL,0)+S32,S32),0)</f>
        <v>6.0000000000000001E-3</v>
      </c>
      <c r="U32" s="1135" t="s">
        <v>67</v>
      </c>
      <c r="V32" s="1137">
        <v>0</v>
      </c>
      <c r="W32" s="1136" t="s">
        <v>68</v>
      </c>
      <c r="X32" s="1137">
        <v>36</v>
      </c>
      <c r="Y32" s="1137">
        <v>0</v>
      </c>
      <c r="Z32" s="1142">
        <v>45916</v>
      </c>
      <c r="AA32" s="1142">
        <f t="shared" si="8"/>
        <v>45916</v>
      </c>
      <c r="AB32" s="1142">
        <f t="shared" si="9"/>
        <v>47012</v>
      </c>
      <c r="AC32" s="1142">
        <v>45916</v>
      </c>
      <c r="AD32" s="1142">
        <v>46268</v>
      </c>
      <c r="AE32" s="1143" t="s">
        <v>158</v>
      </c>
      <c r="AF32" s="1143" t="s">
        <v>145</v>
      </c>
      <c r="AG32" s="1144" t="s">
        <v>146</v>
      </c>
      <c r="AH32" s="1145" t="s">
        <v>379</v>
      </c>
    </row>
    <row r="33" spans="1:34" ht="18" hidden="1" customHeight="1" x14ac:dyDescent="0.3">
      <c r="A33" s="913">
        <v>29</v>
      </c>
      <c r="B33" s="1157" t="s">
        <v>159</v>
      </c>
      <c r="C33" s="1146" t="s">
        <v>160</v>
      </c>
      <c r="D33" s="1147" t="s">
        <v>76</v>
      </c>
      <c r="E33" s="1147" t="s">
        <v>64</v>
      </c>
      <c r="F33" s="1148" t="b">
        <v>0</v>
      </c>
      <c r="G33" s="1147" t="s">
        <v>380</v>
      </c>
      <c r="H33" s="1149">
        <f>SIB_CCOL_Cap</f>
        <v>50</v>
      </c>
      <c r="I33" s="1148" t="b">
        <v>0</v>
      </c>
      <c r="J33" s="1148">
        <v>1</v>
      </c>
      <c r="K33" s="1147" t="s">
        <v>65</v>
      </c>
      <c r="L33" s="1150">
        <v>50</v>
      </c>
      <c r="M33" s="1150">
        <f t="shared" si="7"/>
        <v>50</v>
      </c>
      <c r="N33" s="1150"/>
      <c r="O33" s="1151">
        <f t="shared" si="1"/>
        <v>50</v>
      </c>
      <c r="P33" s="1152">
        <f t="shared" si="2"/>
        <v>1</v>
      </c>
      <c r="Q33" s="1150">
        <f t="shared" si="3"/>
        <v>0</v>
      </c>
      <c r="R33" s="1147" t="s">
        <v>161</v>
      </c>
      <c r="S33" s="1153">
        <v>4.4999999999999997E-3</v>
      </c>
      <c r="T33" s="1153" cm="1">
        <f t="array" ref="T33">IFERROR(_xlfn.SWITCH(R33,"1Y MCLR (RBL Bank)",MCLR_RBL_1Y+S33,"3M MCLR (YBL)",MCLR_YBL_3M+S33,"6M I-MCLR (ICICI)",IMCLR_ICICI_6M+S33,"12M MCLR (SIB)",MCLR_SIB_12M+S33,"Bajaj Floating Reference Rate (BFRR)",BFRR_Bajaj+S33,"Term SOFR (USD)",SOFR_3M+S33,"3M T-Bill",TBill_3M+S33,"Repo Rate",RepoRate+S33,"FD rate",IFERROR(FD_Rate_RBL,0)+S33,S33),0)</f>
        <v>0.10200000000000001</v>
      </c>
      <c r="U33" s="1147" t="s">
        <v>86</v>
      </c>
      <c r="V33" s="1149">
        <v>0</v>
      </c>
      <c r="W33" s="1148" t="s">
        <v>73</v>
      </c>
      <c r="X33" s="1149">
        <v>12</v>
      </c>
      <c r="Y33" s="1149">
        <v>0</v>
      </c>
      <c r="Z33" s="1154">
        <v>45829</v>
      </c>
      <c r="AA33" s="1154">
        <f t="shared" si="8"/>
        <v>45829</v>
      </c>
      <c r="AB33" s="1154">
        <f t="shared" si="9"/>
        <v>46194</v>
      </c>
      <c r="AC33" s="1154">
        <v>45829</v>
      </c>
      <c r="AD33" s="1154">
        <v>46194</v>
      </c>
      <c r="AE33" s="1146" t="s">
        <v>162</v>
      </c>
      <c r="AF33" s="1146" t="s">
        <v>145</v>
      </c>
      <c r="AG33" s="1155" t="s">
        <v>163</v>
      </c>
      <c r="AH33" s="1156" t="s">
        <v>164</v>
      </c>
    </row>
    <row r="34" spans="1:34" ht="18" hidden="1" customHeight="1" x14ac:dyDescent="0.3">
      <c r="A34" s="1158">
        <v>30</v>
      </c>
      <c r="B34" s="1231" t="s">
        <v>159</v>
      </c>
      <c r="C34" s="1230" t="s">
        <v>165</v>
      </c>
      <c r="D34" s="1160" t="s">
        <v>76</v>
      </c>
      <c r="E34" s="1160" t="s">
        <v>64</v>
      </c>
      <c r="F34" s="1161" t="b">
        <v>1</v>
      </c>
      <c r="G34" s="1160" t="s">
        <v>380</v>
      </c>
      <c r="H34" s="1162">
        <f>SIB_CCOL_Cap</f>
        <v>50</v>
      </c>
      <c r="I34" s="1161" t="b">
        <v>0</v>
      </c>
      <c r="J34" s="1161">
        <v>0</v>
      </c>
      <c r="K34" s="1160" t="s">
        <v>65</v>
      </c>
      <c r="L34" s="1163">
        <v>50</v>
      </c>
      <c r="M34" s="1163">
        <f t="shared" si="7"/>
        <v>50</v>
      </c>
      <c r="N34" s="1163"/>
      <c r="O34" s="1164">
        <f t="shared" si="1"/>
        <v>0</v>
      </c>
      <c r="P34" s="1165">
        <f t="shared" si="2"/>
        <v>0</v>
      </c>
      <c r="Q34" s="1163">
        <f t="shared" si="3"/>
        <v>50</v>
      </c>
      <c r="R34" s="1160" t="s">
        <v>77</v>
      </c>
      <c r="S34" s="1166">
        <v>0</v>
      </c>
      <c r="T34" s="1166" cm="1">
        <f t="array" ref="T34">IFERROR(_xlfn.SWITCH(R34,"1Y MCLR (RBL Bank)",MCLR_RBL_1Y+S34,"3M MCLR (YBL)",MCLR_YBL_3M+S34,"6M I-MCLR (ICICI)",IMCLR_ICICI_6M+S34,"12M MCLR (SIB)",MCLR_SIB_12M+S34,"Bajaj Floating Reference Rate (BFRR)",BFRR_Bajaj+S34,"Term SOFR (USD)",SOFR_3M+S34,"3M T-Bill",TBill_3M+S34,"Repo Rate",RepoRate+S34,"FD rate",IFERROR(FD_Rate_RBL,0)+S34,S34),0)</f>
        <v>0</v>
      </c>
      <c r="U34" s="1160" t="s">
        <v>78</v>
      </c>
      <c r="V34" s="1162">
        <v>0</v>
      </c>
      <c r="W34" s="1161" t="s">
        <v>68</v>
      </c>
      <c r="X34" s="1162">
        <v>12</v>
      </c>
      <c r="Y34" s="1162">
        <v>0</v>
      </c>
      <c r="Z34" s="1167">
        <v>45829</v>
      </c>
      <c r="AA34" s="1167">
        <f t="shared" si="8"/>
        <v>45829</v>
      </c>
      <c r="AB34" s="1167">
        <f t="shared" si="9"/>
        <v>46194</v>
      </c>
      <c r="AC34" s="1167">
        <v>45829</v>
      </c>
      <c r="AD34" s="1167">
        <v>46194</v>
      </c>
      <c r="AE34" s="1159" t="s">
        <v>148</v>
      </c>
      <c r="AF34" s="1159" t="s">
        <v>145</v>
      </c>
      <c r="AG34" s="1168" t="s">
        <v>163</v>
      </c>
      <c r="AH34" s="1169" t="s">
        <v>381</v>
      </c>
    </row>
    <row r="35" spans="1:34" ht="18" customHeight="1" x14ac:dyDescent="0.3">
      <c r="A35" s="915">
        <v>31</v>
      </c>
      <c r="B35" s="1170" t="s">
        <v>159</v>
      </c>
      <c r="C35" s="1171" t="s">
        <v>166</v>
      </c>
      <c r="D35" s="1172" t="s">
        <v>63</v>
      </c>
      <c r="E35" s="1172" t="s">
        <v>64</v>
      </c>
      <c r="F35" s="894" t="b">
        <v>0</v>
      </c>
      <c r="G35" s="1172"/>
      <c r="H35" s="1173"/>
      <c r="I35" s="894" t="b">
        <v>0</v>
      </c>
      <c r="J35" s="894">
        <v>2</v>
      </c>
      <c r="K35" s="1172" t="s">
        <v>65</v>
      </c>
      <c r="L35" s="1174">
        <v>150</v>
      </c>
      <c r="M35" s="1174">
        <f t="shared" si="7"/>
        <v>150</v>
      </c>
      <c r="N35" s="1174"/>
      <c r="O35" s="1175">
        <f t="shared" si="1"/>
        <v>150</v>
      </c>
      <c r="P35" s="1176">
        <f t="shared" si="2"/>
        <v>1</v>
      </c>
      <c r="Q35" s="1174">
        <f t="shared" si="3"/>
        <v>0</v>
      </c>
      <c r="R35" s="1172" t="s">
        <v>66</v>
      </c>
      <c r="S35" s="895">
        <v>6.4999999999999997E-3</v>
      </c>
      <c r="T35" s="895" cm="1">
        <f t="array" ref="T35">IFERROR(_xlfn.SWITCH(R35,"1Y MCLR (RBL Bank)",MCLR_RBL_1Y+S35,"3M MCLR (YBL)",MCLR_YBL_3M+S35,"6M I-MCLR (ICICI)",IMCLR_ICICI_6M+S35,"12M MCLR (SIB)",MCLR_SIB_12M+S35,"Bajaj Floating Reference Rate (BFRR)",BFRR_Bajaj+S35,"Term SOFR (USD)",SOFR_3M+S35,"3M T-Bill",TBill_3M+S35,"Repo Rate",RepoRate+S35,"FD rate",IFERROR(FD_Rate_RBL,0)+S35,S35),0)</f>
        <v>6.4999999999999997E-3</v>
      </c>
      <c r="U35" s="1172" t="s">
        <v>67</v>
      </c>
      <c r="V35" s="1173">
        <v>0</v>
      </c>
      <c r="W35" s="894" t="s">
        <v>68</v>
      </c>
      <c r="X35" s="1173">
        <v>6</v>
      </c>
      <c r="Y35" s="1173">
        <v>0</v>
      </c>
      <c r="Z35" s="1177">
        <v>45829</v>
      </c>
      <c r="AA35" s="1177">
        <f t="shared" si="8"/>
        <v>45829</v>
      </c>
      <c r="AB35" s="1177">
        <f t="shared" si="9"/>
        <v>46012</v>
      </c>
      <c r="AC35" s="1177">
        <v>45829</v>
      </c>
      <c r="AD35" s="1177">
        <v>46194</v>
      </c>
      <c r="AE35" s="1171" t="s">
        <v>167</v>
      </c>
      <c r="AF35" s="1171" t="s">
        <v>145</v>
      </c>
      <c r="AG35" s="1178" t="s">
        <v>163</v>
      </c>
      <c r="AH35" s="1179" t="s">
        <v>382</v>
      </c>
    </row>
    <row r="36" spans="1:34" ht="18" customHeight="1" x14ac:dyDescent="0.3">
      <c r="A36" s="915">
        <v>32</v>
      </c>
      <c r="B36" s="1180" t="s">
        <v>159</v>
      </c>
      <c r="C36" s="1181" t="s">
        <v>104</v>
      </c>
      <c r="D36" s="1182" t="s">
        <v>63</v>
      </c>
      <c r="E36" s="1182" t="s">
        <v>64</v>
      </c>
      <c r="F36" s="1183" t="b">
        <v>0</v>
      </c>
      <c r="G36" s="1182"/>
      <c r="H36" s="1184"/>
      <c r="I36" s="1183" t="b">
        <v>0</v>
      </c>
      <c r="J36" s="1183">
        <v>2</v>
      </c>
      <c r="K36" s="1182" t="s">
        <v>65</v>
      </c>
      <c r="L36" s="1185">
        <v>50</v>
      </c>
      <c r="M36" s="1185">
        <f t="shared" si="7"/>
        <v>50</v>
      </c>
      <c r="N36" s="1185"/>
      <c r="O36" s="1186">
        <f t="shared" si="1"/>
        <v>50</v>
      </c>
      <c r="P36" s="1187">
        <f t="shared" si="2"/>
        <v>1</v>
      </c>
      <c r="Q36" s="1185">
        <f t="shared" si="3"/>
        <v>0</v>
      </c>
      <c r="R36" s="1182" t="s">
        <v>66</v>
      </c>
      <c r="S36" s="1188">
        <v>7.4999999999999997E-3</v>
      </c>
      <c r="T36" s="1188" cm="1">
        <f t="array" ref="T36">IFERROR(_xlfn.SWITCH(R36,"1Y MCLR (RBL Bank)",MCLR_RBL_1Y+S36,"3M MCLR (YBL)",MCLR_YBL_3M+S36,"6M I-MCLR (ICICI)",IMCLR_ICICI_6M+S36,"12M MCLR (SIB)",MCLR_SIB_12M+S36,"Bajaj Floating Reference Rate (BFRR)",BFRR_Bajaj+S36,"Term SOFR (USD)",SOFR_3M+S36,"3M T-Bill",TBill_3M+S36,"Repo Rate",RepoRate+S36,"FD rate",IFERROR(FD_Rate_RBL,0)+S36,S36),0)</f>
        <v>7.4999999999999997E-3</v>
      </c>
      <c r="U36" s="1182" t="s">
        <v>67</v>
      </c>
      <c r="V36" s="1184">
        <v>0</v>
      </c>
      <c r="W36" s="1183" t="s">
        <v>68</v>
      </c>
      <c r="X36" s="1184">
        <v>12</v>
      </c>
      <c r="Y36" s="1184">
        <v>0</v>
      </c>
      <c r="Z36" s="1189">
        <v>45829</v>
      </c>
      <c r="AA36" s="1189">
        <f t="shared" si="8"/>
        <v>45829</v>
      </c>
      <c r="AB36" s="1189">
        <f t="shared" si="9"/>
        <v>46194</v>
      </c>
      <c r="AC36" s="1189">
        <v>45829</v>
      </c>
      <c r="AD36" s="1189">
        <v>46194</v>
      </c>
      <c r="AE36" s="1181" t="s">
        <v>168</v>
      </c>
      <c r="AF36" s="1181" t="s">
        <v>145</v>
      </c>
      <c r="AG36" s="1190" t="s">
        <v>163</v>
      </c>
      <c r="AH36" s="1191" t="s">
        <v>169</v>
      </c>
    </row>
    <row r="37" spans="1:34" ht="18" hidden="1" customHeight="1" x14ac:dyDescent="0.3">
      <c r="A37" s="914">
        <v>33</v>
      </c>
      <c r="B37" s="1233" t="s">
        <v>159</v>
      </c>
      <c r="C37" s="1232" t="s">
        <v>79</v>
      </c>
      <c r="D37" s="1193" t="s">
        <v>63</v>
      </c>
      <c r="E37" s="1193" t="s">
        <v>64</v>
      </c>
      <c r="F37" s="896" t="b">
        <v>1</v>
      </c>
      <c r="G37" s="1193"/>
      <c r="H37" s="1194"/>
      <c r="I37" s="896" t="b">
        <v>0</v>
      </c>
      <c r="J37" s="896">
        <v>0</v>
      </c>
      <c r="K37" s="1193" t="s">
        <v>65</v>
      </c>
      <c r="L37" s="1195">
        <v>150</v>
      </c>
      <c r="M37" s="1195">
        <f t="shared" si="7"/>
        <v>150</v>
      </c>
      <c r="N37" s="1195"/>
      <c r="O37" s="1175">
        <f t="shared" si="1"/>
        <v>150</v>
      </c>
      <c r="P37" s="1196">
        <f t="shared" si="2"/>
        <v>1</v>
      </c>
      <c r="Q37" s="1195">
        <f t="shared" si="3"/>
        <v>0</v>
      </c>
      <c r="R37" s="1193" t="s">
        <v>66</v>
      </c>
      <c r="S37" s="897">
        <v>6.4999999999999997E-3</v>
      </c>
      <c r="T37" s="897" cm="1">
        <f t="array" ref="T37">IFERROR(_xlfn.SWITCH(R37,"1Y MCLR (RBL Bank)",MCLR_RBL_1Y+S37,"3M MCLR (YBL)",MCLR_YBL_3M+S37,"6M I-MCLR (ICICI)",IMCLR_ICICI_6M+S37,"12M MCLR (SIB)",MCLR_SIB_12M+S37,"Bajaj Floating Reference Rate (BFRR)",BFRR_Bajaj+S37,"Term SOFR (USD)",SOFR_3M+S37,"3M T-Bill",TBill_3M+S37,"Repo Rate",RepoRate+S37,"FD rate",IFERROR(FD_Rate_RBL,0)+S37,S37),0)</f>
        <v>6.4999999999999997E-3</v>
      </c>
      <c r="U37" s="1193" t="s">
        <v>67</v>
      </c>
      <c r="V37" s="1194">
        <v>0</v>
      </c>
      <c r="W37" s="896" t="s">
        <v>68</v>
      </c>
      <c r="X37" s="1194">
        <v>4</v>
      </c>
      <c r="Y37" s="1194">
        <v>0</v>
      </c>
      <c r="Z37" s="1197">
        <v>45829</v>
      </c>
      <c r="AA37" s="1197">
        <f t="shared" si="8"/>
        <v>45829</v>
      </c>
      <c r="AB37" s="1197">
        <f t="shared" si="9"/>
        <v>45951</v>
      </c>
      <c r="AC37" s="1197">
        <v>45829</v>
      </c>
      <c r="AD37" s="1197">
        <v>46194</v>
      </c>
      <c r="AE37" s="1192" t="s">
        <v>170</v>
      </c>
      <c r="AF37" s="1192" t="s">
        <v>145</v>
      </c>
      <c r="AG37" s="1198" t="s">
        <v>163</v>
      </c>
      <c r="AH37" s="1199" t="s">
        <v>379</v>
      </c>
    </row>
    <row r="38" spans="1:34" ht="18" hidden="1" customHeight="1" x14ac:dyDescent="0.3">
      <c r="A38" s="916">
        <v>34</v>
      </c>
      <c r="B38" s="1214" t="s">
        <v>159</v>
      </c>
      <c r="C38" s="1204" t="s">
        <v>171</v>
      </c>
      <c r="D38" s="1203" t="s">
        <v>91</v>
      </c>
      <c r="E38" s="1203" t="s">
        <v>64</v>
      </c>
      <c r="F38" s="1205" t="b">
        <v>0</v>
      </c>
      <c r="G38" s="1203"/>
      <c r="H38" s="1206"/>
      <c r="I38" s="1205" t="b">
        <v>0</v>
      </c>
      <c r="J38" s="1205">
        <v>3</v>
      </c>
      <c r="K38" s="1203" t="s">
        <v>65</v>
      </c>
      <c r="L38" s="1207">
        <v>3</v>
      </c>
      <c r="M38" s="1207">
        <f t="shared" si="7"/>
        <v>3</v>
      </c>
      <c r="N38" s="1207"/>
      <c r="O38" s="1208">
        <f t="shared" si="1"/>
        <v>3</v>
      </c>
      <c r="P38" s="1209">
        <f t="shared" si="2"/>
        <v>1</v>
      </c>
      <c r="Q38" s="1207">
        <f t="shared" si="3"/>
        <v>0</v>
      </c>
      <c r="R38" s="1203" t="s">
        <v>56</v>
      </c>
      <c r="S38" s="1210">
        <v>0</v>
      </c>
      <c r="T38" s="1210" cm="1">
        <f t="array" ref="T38">IFERROR(_xlfn.SWITCH(R38,"1Y MCLR (RBL Bank)",MCLR_RBL_1Y+S38,"3M MCLR (YBL)",MCLR_YBL_3M+S38,"6M I-MCLR (ICICI)",IMCLR_ICICI_6M+S38,"12M MCLR (SIB)",MCLR_SIB_12M+S38,"Bajaj Floating Reference Rate (BFRR)",BFRR_Bajaj+S38,"Term SOFR (USD)",SOFR_3M+S38,"3M T-Bill",TBill_3M+S38,"Repo Rate",RepoRate+S38,"FD rate",IFERROR(FD_Rate_RBL,0)+S38,S38),0)</f>
        <v>0</v>
      </c>
      <c r="U38" s="1203" t="s">
        <v>67</v>
      </c>
      <c r="V38" s="1206">
        <v>0</v>
      </c>
      <c r="W38" s="1205" t="s">
        <v>93</v>
      </c>
      <c r="X38" s="1206">
        <v>12</v>
      </c>
      <c r="Y38" s="1206">
        <v>0</v>
      </c>
      <c r="Z38" s="1211">
        <v>45829</v>
      </c>
      <c r="AA38" s="1211">
        <f t="shared" si="8"/>
        <v>45829</v>
      </c>
      <c r="AB38" s="1211">
        <f t="shared" si="9"/>
        <v>46194</v>
      </c>
      <c r="AC38" s="1211">
        <v>45829</v>
      </c>
      <c r="AD38" s="1211">
        <v>46194</v>
      </c>
      <c r="AE38" s="1204" t="s">
        <v>172</v>
      </c>
      <c r="AF38" s="1204" t="s">
        <v>56</v>
      </c>
      <c r="AG38" s="1212" t="s">
        <v>163</v>
      </c>
      <c r="AH38" s="1213" t="s">
        <v>383</v>
      </c>
    </row>
    <row r="39" spans="1:34" ht="22.05" hidden="1" customHeight="1" x14ac:dyDescent="0.3">
      <c r="A39" s="1215" t="s">
        <v>747</v>
      </c>
      <c r="B39" s="1200"/>
      <c r="C39" s="1200"/>
      <c r="D39" s="1200"/>
      <c r="E39" s="1200"/>
      <c r="F39" s="1200"/>
      <c r="G39" s="1200"/>
      <c r="H39" s="1200"/>
      <c r="I39" s="1200"/>
      <c r="J39" s="1200"/>
      <c r="K39" s="1200"/>
      <c r="L39" s="1234"/>
      <c r="M39" s="1201">
        <f>Bucket1_DebtTotal</f>
        <v>1317.7</v>
      </c>
      <c r="N39" s="1235"/>
      <c r="O39" s="1234"/>
      <c r="P39" s="1236"/>
      <c r="Q39" s="1234"/>
      <c r="R39" s="1200"/>
      <c r="S39" s="1200"/>
      <c r="T39" s="1200"/>
      <c r="U39" s="1200"/>
      <c r="V39" s="1200"/>
      <c r="W39" s="1200"/>
      <c r="X39" s="1200"/>
      <c r="Y39" s="1200"/>
      <c r="Z39" s="1200"/>
      <c r="AA39" s="1200"/>
      <c r="AB39" s="1200"/>
      <c r="AC39" s="1200"/>
      <c r="AD39" s="1200"/>
      <c r="AE39" s="1200"/>
      <c r="AF39" s="1200"/>
      <c r="AG39" s="1200"/>
      <c r="AH39" s="1202"/>
    </row>
    <row r="40" spans="1:34" ht="18" hidden="1" customHeight="1" x14ac:dyDescent="0.3">
      <c r="A40" s="936" t="s">
        <v>384</v>
      </c>
      <c r="B40" s="937"/>
      <c r="C40" s="938"/>
      <c r="D40" s="939"/>
      <c r="E40" s="939"/>
      <c r="F40" s="939"/>
      <c r="G40" s="939"/>
      <c r="H40" s="939"/>
      <c r="I40" s="939"/>
      <c r="J40" s="939"/>
      <c r="K40" s="939"/>
      <c r="L40" s="940"/>
      <c r="M40" s="941">
        <f>IFERROR(SUMIFS(M5:M38,J5:J38,2),0)</f>
        <v>865</v>
      </c>
      <c r="N40" s="940"/>
      <c r="O40" s="940"/>
      <c r="P40" s="942"/>
      <c r="Q40" s="940"/>
      <c r="R40" s="943"/>
      <c r="S40" s="944"/>
      <c r="T40" s="944"/>
      <c r="U40" s="939"/>
      <c r="V40" s="943"/>
      <c r="W40" s="939"/>
      <c r="X40" s="944"/>
      <c r="Y40" s="944"/>
      <c r="Z40" s="943"/>
      <c r="AA40" s="943"/>
      <c r="AB40" s="943"/>
      <c r="AC40" s="943"/>
      <c r="AD40" s="943"/>
      <c r="AE40" s="938"/>
      <c r="AF40" s="938"/>
      <c r="AG40" s="956"/>
      <c r="AH40" s="945"/>
    </row>
    <row r="41" spans="1:34" ht="18" hidden="1" customHeight="1" x14ac:dyDescent="0.3">
      <c r="A41" s="946" t="s">
        <v>385</v>
      </c>
      <c r="B41" s="947"/>
      <c r="C41" s="948"/>
      <c r="D41" s="949"/>
      <c r="E41" s="949"/>
      <c r="F41" s="949"/>
      <c r="G41" s="949"/>
      <c r="H41" s="949"/>
      <c r="I41" s="949"/>
      <c r="J41" s="949"/>
      <c r="K41" s="949"/>
      <c r="L41" s="950"/>
      <c r="M41" s="951">
        <f>IFERROR(SUMIFS(M5:M38,J5:J38,3),0)</f>
        <v>123</v>
      </c>
      <c r="N41" s="950"/>
      <c r="O41" s="950"/>
      <c r="P41" s="952"/>
      <c r="Q41" s="950"/>
      <c r="R41" s="953"/>
      <c r="S41" s="954"/>
      <c r="T41" s="954"/>
      <c r="U41" s="949"/>
      <c r="V41" s="953"/>
      <c r="W41" s="949"/>
      <c r="X41" s="954"/>
      <c r="Y41" s="954"/>
      <c r="Z41" s="953"/>
      <c r="AA41" s="953"/>
      <c r="AB41" s="953"/>
      <c r="AC41" s="953"/>
      <c r="AD41" s="953"/>
      <c r="AE41" s="948"/>
      <c r="AF41" s="948"/>
      <c r="AG41" s="957"/>
      <c r="AH41" s="955"/>
    </row>
    <row r="42" spans="1:34" ht="22.05" customHeight="1" x14ac:dyDescent="0.3"/>
  </sheetData>
  <autoFilter ref="A4:AH41" xr:uid="{00000000-0001-0000-0400-000000000000}">
    <filterColumn colId="9">
      <filters>
        <filter val="2"/>
      </filters>
    </filterColumn>
  </autoFilter>
  <mergeCells count="1">
    <mergeCell ref="A1:AH1"/>
  </mergeCells>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N48"/>
  <sheetViews>
    <sheetView showGridLines="0" topLeftCell="A21" zoomScaleNormal="100" workbookViewId="0">
      <selection activeCell="I7" sqref="I7"/>
    </sheetView>
  </sheetViews>
  <sheetFormatPr defaultColWidth="8.6640625" defaultRowHeight="14.4" x14ac:dyDescent="0.3"/>
  <cols>
    <col min="1" max="1" width="30.5546875" customWidth="1"/>
    <col min="2" max="2" width="19.44140625" bestFit="1" customWidth="1"/>
    <col min="3" max="3" width="18" bestFit="1" customWidth="1"/>
    <col min="4" max="4" width="18.88671875" bestFit="1" customWidth="1"/>
    <col min="5" max="5" width="8.77734375" bestFit="1" customWidth="1"/>
    <col min="6" max="6" width="8.5546875" bestFit="1" customWidth="1"/>
    <col min="7" max="8" width="18.5546875" customWidth="1"/>
    <col min="9" max="11" width="15" customWidth="1"/>
    <col min="12" max="12" width="16" customWidth="1"/>
    <col min="13" max="13" width="14" customWidth="1"/>
    <col min="14" max="14" width="28" customWidth="1"/>
    <col min="15" max="15" width="18.5546875" customWidth="1"/>
    <col min="16" max="16" width="16.6640625" customWidth="1"/>
    <col min="17" max="17" width="13" customWidth="1"/>
  </cols>
  <sheetData>
    <row r="1" spans="1:14" ht="30" customHeight="1" x14ac:dyDescent="0.3">
      <c r="A1" s="1325" t="s">
        <v>386</v>
      </c>
      <c r="B1" s="1325"/>
      <c r="C1" s="1325"/>
      <c r="D1" s="1325"/>
      <c r="E1" s="1325"/>
      <c r="F1" s="1325"/>
      <c r="G1" s="1325"/>
      <c r="H1" s="1325"/>
    </row>
    <row r="2" spans="1:14" ht="7.95" customHeight="1" x14ac:dyDescent="0.3">
      <c r="A2" s="2"/>
      <c r="B2" s="2"/>
      <c r="C2" s="2"/>
      <c r="D2" s="2"/>
      <c r="E2" s="2"/>
      <c r="F2" s="2"/>
      <c r="G2" s="2"/>
      <c r="H2" s="2"/>
    </row>
    <row r="3" spans="1:14" ht="24" customHeight="1" thickBot="1" x14ac:dyDescent="0.35">
      <c r="A3" s="1290" t="s">
        <v>387</v>
      </c>
      <c r="B3" s="1290"/>
      <c r="C3" s="1290"/>
      <c r="D3" s="1290"/>
      <c r="E3" s="1290"/>
      <c r="F3" s="1290"/>
      <c r="G3" s="9"/>
      <c r="H3" s="9"/>
    </row>
    <row r="4" spans="1:14" s="2" customFormat="1" ht="22.05" customHeight="1" x14ac:dyDescent="0.3">
      <c r="A4" s="105" t="s">
        <v>52</v>
      </c>
      <c r="B4" s="75" t="s">
        <v>388</v>
      </c>
      <c r="C4" s="75" t="s">
        <v>389</v>
      </c>
      <c r="D4" s="75" t="s">
        <v>273</v>
      </c>
      <c r="E4" s="75" t="s">
        <v>390</v>
      </c>
      <c r="F4" s="75"/>
      <c r="G4" s="75"/>
      <c r="H4" s="106"/>
      <c r="I4"/>
      <c r="J4"/>
      <c r="K4"/>
      <c r="L4"/>
      <c r="M4"/>
      <c r="N4"/>
    </row>
    <row r="5" spans="1:14" ht="18" customHeight="1" x14ac:dyDescent="0.3">
      <c r="A5" s="107" t="s">
        <v>61</v>
      </c>
      <c r="B5" s="84">
        <f>IFERROR(SUMIFS('Facility Master'!M:M,'Facility Master'!B:B,"RBL Bank",'Facility Master'!D:D,"FB-Term",'Facility Master'!J:J,1),0)</f>
        <v>200</v>
      </c>
      <c r="C5" s="84">
        <f>IFERROR(RBL_INR_WC_Cap+SUMIFS('Facility Master'!M:M,'Facility Master'!A:A,14)+SUMIFS('Facility Master'!M:M,'Facility Master'!A:A,15),0)</f>
        <v>372</v>
      </c>
      <c r="D5" s="84">
        <f>B5+C5</f>
        <v>572</v>
      </c>
      <c r="E5" s="85">
        <f>IFERROR(D5/$D$10,0)</f>
        <v>0.43408970175305456</v>
      </c>
      <c r="F5" s="86"/>
      <c r="G5" s="86"/>
      <c r="H5" s="108"/>
    </row>
    <row r="6" spans="1:14" ht="18" customHeight="1" x14ac:dyDescent="0.3">
      <c r="A6" s="109" t="s">
        <v>123</v>
      </c>
      <c r="B6" s="89">
        <f>IFERROR(SUMIFS('Facility Master'!M:M,'Facility Master'!B:B,"YES Bank",'Facility Master'!D:D,"FB-Term",'Facility Master'!J:J,1),0)</f>
        <v>320.7</v>
      </c>
      <c r="C6" s="89">
        <f>IFERROR(SUMIFS('Facility Master'!M:M,'Facility Master'!B:B,"YES Bank",'Facility Master'!J:J,1)-SUMIFS('Facility Master'!M:M,'Facility Master'!B:B,"YES Bank",'Facility Master'!D:D,"FB-Term",'Facility Master'!J:J,1),0)</f>
        <v>175</v>
      </c>
      <c r="D6" s="89">
        <f>B6+C6</f>
        <v>495.7</v>
      </c>
      <c r="E6" s="90">
        <f>IFERROR(D6/$D$10,0)</f>
        <v>0.37618577824998101</v>
      </c>
      <c r="F6" s="92"/>
      <c r="G6" s="92"/>
      <c r="H6" s="110"/>
    </row>
    <row r="7" spans="1:14" ht="18" customHeight="1" x14ac:dyDescent="0.3">
      <c r="A7" s="107" t="s">
        <v>137</v>
      </c>
      <c r="B7" s="84">
        <f>IFERROR(SUMIFS('Facility Master'!M:M,'Facility Master'!B:B,"Bajaj Finance",'Facility Master'!D:D,"FB-Term",'Facility Master'!J:J,1),0)</f>
        <v>150</v>
      </c>
      <c r="C7" s="84">
        <f>IFERROR(SUMIFS('Facility Master'!M:M,'Facility Master'!B:B,"Bajaj Finance",'Facility Master'!J:J,1)-SUMIFS('Facility Master'!M:M,'Facility Master'!B:B,"Bajaj Finance",'Facility Master'!D:D,"FB-Term",'Facility Master'!J:J,1),0)</f>
        <v>0</v>
      </c>
      <c r="D7" s="84">
        <f>B7+C7</f>
        <v>150</v>
      </c>
      <c r="E7" s="85">
        <f>IFERROR(D7/$D$10,0)</f>
        <v>0.11383471199817864</v>
      </c>
      <c r="F7" s="86"/>
      <c r="G7" s="86"/>
      <c r="H7" s="108"/>
    </row>
    <row r="8" spans="1:14" ht="18" customHeight="1" x14ac:dyDescent="0.3">
      <c r="A8" s="109" t="s">
        <v>143</v>
      </c>
      <c r="B8" s="89">
        <f>IFERROR(SUMIFS('Facility Master'!M:M,'Facility Master'!B:B,"ICICI Bank",'Facility Master'!D:D,"FB-Term",'Facility Master'!J:J,1),0)</f>
        <v>0</v>
      </c>
      <c r="C8" s="89">
        <f>IFERROR(ICICI_FB_Cap,0)</f>
        <v>50</v>
      </c>
      <c r="D8" s="89">
        <f>B8+C8</f>
        <v>50</v>
      </c>
      <c r="E8" s="90">
        <f>IFERROR(D8/$D$10,0)</f>
        <v>3.7944903999392883E-2</v>
      </c>
      <c r="F8" s="92"/>
      <c r="G8" s="92"/>
      <c r="H8" s="110"/>
    </row>
    <row r="9" spans="1:14" ht="18" customHeight="1" x14ac:dyDescent="0.3">
      <c r="A9" s="107" t="s">
        <v>159</v>
      </c>
      <c r="B9" s="84">
        <f>IFERROR(SUMIFS('Facility Master'!M:M,'Facility Master'!B:B,"South Indian Bank",'Facility Master'!D:D,"FB-Term",'Facility Master'!J:J,1),0)</f>
        <v>0</v>
      </c>
      <c r="C9" s="84">
        <f>IFERROR(SIB_CCOL_Cap,0)</f>
        <v>50</v>
      </c>
      <c r="D9" s="84">
        <f>B9+C9</f>
        <v>50</v>
      </c>
      <c r="E9" s="85">
        <f>IFERROR(D9/$D$10,0)</f>
        <v>3.7944903999392883E-2</v>
      </c>
      <c r="F9" s="86"/>
      <c r="G9" s="86"/>
      <c r="H9" s="108"/>
    </row>
    <row r="10" spans="1:14" ht="19.95" customHeight="1" thickBot="1" x14ac:dyDescent="0.35">
      <c r="A10" s="111" t="s">
        <v>391</v>
      </c>
      <c r="B10" s="112">
        <f>SUM(B5:B9)</f>
        <v>670.7</v>
      </c>
      <c r="C10" s="112">
        <f>SUM(C5:C9)</f>
        <v>647</v>
      </c>
      <c r="D10" s="112">
        <f>SUM(D5:D9)</f>
        <v>1317.7</v>
      </c>
      <c r="E10" s="113">
        <f>IFERROR(D10/D10,0)</f>
        <v>1</v>
      </c>
      <c r="F10" s="114"/>
      <c r="G10" s="114"/>
      <c r="H10" s="115"/>
    </row>
    <row r="11" spans="1:14" ht="7.95" customHeight="1" x14ac:dyDescent="0.3">
      <c r="A11" s="2"/>
      <c r="B11" s="2"/>
      <c r="C11" s="2"/>
      <c r="D11" s="2"/>
      <c r="E11" s="2"/>
      <c r="F11" s="2"/>
      <c r="G11" s="2"/>
      <c r="H11" s="2"/>
    </row>
    <row r="12" spans="1:14" ht="7.95" customHeight="1" x14ac:dyDescent="0.3">
      <c r="A12" s="102"/>
      <c r="B12" s="102"/>
      <c r="C12" s="102"/>
      <c r="D12" s="102"/>
      <c r="E12" s="102"/>
      <c r="F12" s="102"/>
      <c r="G12" s="102"/>
      <c r="H12" s="102"/>
    </row>
    <row r="13" spans="1:14" ht="24" customHeight="1" thickBot="1" x14ac:dyDescent="0.35">
      <c r="A13" s="1326" t="s">
        <v>392</v>
      </c>
      <c r="B13" s="1326"/>
      <c r="C13" s="1326"/>
      <c r="D13" s="1326"/>
      <c r="E13" s="1326"/>
      <c r="F13" s="1326"/>
      <c r="G13" s="103"/>
      <c r="H13" s="103"/>
    </row>
    <row r="14" spans="1:14" ht="22.05" customHeight="1" x14ac:dyDescent="0.3">
      <c r="A14" s="116" t="s">
        <v>52</v>
      </c>
      <c r="B14" s="117" t="s">
        <v>393</v>
      </c>
      <c r="C14" s="117" t="s">
        <v>394</v>
      </c>
      <c r="D14" s="1239" t="s">
        <v>754</v>
      </c>
      <c r="E14" s="117" t="s">
        <v>395</v>
      </c>
      <c r="F14" s="117" t="s">
        <v>396</v>
      </c>
      <c r="G14" s="117"/>
      <c r="H14" s="118"/>
    </row>
    <row r="15" spans="1:14" ht="18" customHeight="1" x14ac:dyDescent="0.3">
      <c r="A15" s="119" t="s">
        <v>61</v>
      </c>
      <c r="B15" s="120" cm="1">
        <f t="array" ref="B15">IFERROR(SUMPRODUCT(('Facility Master'!B5:B38="RBL Bank")*('Facility Master'!J5:J38=2)*SIGN(IFERROR(SEARCH("Letter of Credit",'Facility Master'!C5:C38),0)+IFERROR(SEARCH("Inland",'Facility Master'!C5:C38),0))*(ISERROR(SEARCH("Capex",'Facility Master'!C5:C38)))*'Facility Master'!M5:M38),0)</f>
        <v>100</v>
      </c>
      <c r="C15" s="120" cm="1">
        <f t="array" ref="C15">IFERROR(SUMPRODUCT(('Facility Master'!B5:B38="RBL Bank")*('Facility Master'!J5:J38=2)*ISNUMBER(SEARCH("SBLC",'Facility Master'!C5:C38))*'Facility Master'!M5:M38),0)</f>
        <v>190</v>
      </c>
      <c r="D15" s="1240" cm="1">
        <f t="array" ref="D15">IFERROR(SUMPRODUCT(('Facility Master'!B5:B38="RBL Bank")*((ISNUMBER(SEARCH("Bank Guarantee",'Facility Master'!C5:C38)))+(ISNUMBER(SEARCH("Performance",'Facility Master'!C5:C38))*ISNUMBER(SEARCH("BG",'Facility Master'!C5:C38)))+(ISNUMBER(SEARCH("Financial BG",'Facility Master'!C5:C38))))*'Facility Master'!M5:M38),0)</f>
        <v>25</v>
      </c>
      <c r="E15" s="120" cm="1">
        <f t="array" ref="E15">IFERROR(SUMPRODUCT(('Facility Master'!B5:B38="RBL Bank")*('Facility Master'!J5:J38=2)*ISNUMBER(SEARCH("Capex",'Facility Master'!C5:C38))*'Facility Master'!M5:M38),0)</f>
        <v>25</v>
      </c>
      <c r="F15" s="120">
        <f>IFERROR(SUMIFS('Facility Master'!M:M,'Facility Master'!B:B,"RBL Bank",'Facility Master'!J:J,2),0)</f>
        <v>315</v>
      </c>
      <c r="G15" s="121"/>
      <c r="H15" s="122"/>
    </row>
    <row r="16" spans="1:14" ht="18" customHeight="1" x14ac:dyDescent="0.3">
      <c r="A16" s="123" t="s">
        <v>123</v>
      </c>
      <c r="B16" s="124" cm="1">
        <f t="array" ref="B16">IFERROR(SUMPRODUCT(('Facility Master'!B5:B38="YES Bank")*('Facility Master'!J5:J38=2)*SIGN(IFERROR(SEARCH("Letter of Credit",'Facility Master'!C5:C38),0)+IFERROR(SEARCH("Inland",'Facility Master'!C5:C38),0))*(ISERROR(SEARCH("Capex",'Facility Master'!C5:C38)))*'Facility Master'!M5:M38),0)</f>
        <v>200</v>
      </c>
      <c r="C16" s="124" cm="1">
        <f t="array" ref="C16">IFERROR(SUMPRODUCT(('Facility Master'!B5:B38="YES Bank")*('Facility Master'!J5:J38=2)*ISNUMBER(SEARCH("SBLC",'Facility Master'!C5:C38))*'Facility Master'!M5:M38),0)</f>
        <v>0</v>
      </c>
      <c r="D16" s="1241" cm="1">
        <f t="array" ref="D16">IFERROR(SUMPRODUCT(('Facility Master'!B5:B38="YES Bank")*((ISNUMBER(SEARCH("Bank Guarantee",'Facility Master'!C5:C38)))+(ISNUMBER(SEARCH("Performance",'Facility Master'!C5:C38))*ISNUMBER(SEARCH("BG",'Facility Master'!C5:C38)))+(ISNUMBER(SEARCH("Financial BG",'Facility Master'!C5:C38))))*'Facility Master'!M5:M38),0)</f>
        <v>200</v>
      </c>
      <c r="E16" s="124" cm="1">
        <f t="array" ref="E16">IFERROR(SUMPRODUCT(('Facility Master'!B5:B38="YES Bank")*('Facility Master'!J5:J38=2)*ISNUMBER(SEARCH("Capex",'Facility Master'!C5:C38))*'Facility Master'!M5:M38),0)</f>
        <v>0</v>
      </c>
      <c r="F16" s="124">
        <f>IFERROR(SUMIFS('Facility Master'!M:M,'Facility Master'!B:B,"YES Bank",'Facility Master'!J:J,2),0)</f>
        <v>200</v>
      </c>
      <c r="G16" s="125"/>
      <c r="H16" s="126"/>
    </row>
    <row r="17" spans="1:8" ht="18" customHeight="1" x14ac:dyDescent="0.3">
      <c r="A17" s="119" t="s">
        <v>137</v>
      </c>
      <c r="B17" s="120" cm="1">
        <f t="array" ref="B17">IFERROR(SUMPRODUCT(('Facility Master'!B5:B38="Bajaj Finance")*('Facility Master'!J5:J38=2)*SIGN(IFERROR(SEARCH("Letter of Credit",'Facility Master'!C5:C38),0)+IFERROR(SEARCH("Inland",'Facility Master'!C5:C38),0))*(ISERROR(SEARCH("Capex",'Facility Master'!C5:C38)))*'Facility Master'!M5:M38),0)</f>
        <v>0</v>
      </c>
      <c r="C17" s="120" cm="1">
        <f t="array" ref="C17">IFERROR(SUMPRODUCT(('Facility Master'!B5:B38="Bajaj Finance")*('Facility Master'!J5:J38=2)*ISNUMBER(SEARCH("SBLC",'Facility Master'!C5:C38))*'Facility Master'!M5:M38),0)</f>
        <v>0</v>
      </c>
      <c r="D17" s="1240" cm="1">
        <f t="array" ref="D17">IFERROR(SUMPRODUCT(('Facility Master'!B5:B38="Bajaj Finance")*((ISNUMBER(SEARCH("Bank Guarantee",'Facility Master'!C5:C38)))+(ISNUMBER(SEARCH("Performance",'Facility Master'!C5:C38))*ISNUMBER(SEARCH("BG",'Facility Master'!C5:C38)))+(ISNUMBER(SEARCH("Financial BG",'Facility Master'!C5:C38))))*'Facility Master'!M5:M38),0)</f>
        <v>0</v>
      </c>
      <c r="E17" s="120" cm="1">
        <f t="array" ref="E17">IFERROR(SUMPRODUCT(('Facility Master'!B5:B38="Bajaj Finance")*('Facility Master'!J5:J38=2)*ISNUMBER(SEARCH("Capex",'Facility Master'!C5:C38))*'Facility Master'!M5:M38),0)</f>
        <v>0</v>
      </c>
      <c r="F17" s="120">
        <f>IFERROR(SUMIFS('Facility Master'!M:M,'Facility Master'!B:B,"Bajaj Finance",'Facility Master'!J:J,2),0)</f>
        <v>0</v>
      </c>
      <c r="G17" s="121"/>
      <c r="H17" s="122"/>
    </row>
    <row r="18" spans="1:8" ht="18" customHeight="1" x14ac:dyDescent="0.3">
      <c r="A18" s="123" t="s">
        <v>143</v>
      </c>
      <c r="B18" s="124" cm="1">
        <f t="array" ref="B18">IFERROR(SUMPRODUCT(('Facility Master'!B5:B38="ICICI Bank")*('Facility Master'!J5:J38=2)*SIGN(IFERROR(SEARCH("Letter of Credit",'Facility Master'!C5:C38),0)+IFERROR(SEARCH("Inland",'Facility Master'!C5:C38),0))*(ISERROR(SEARCH("Capex",'Facility Master'!C5:C38)))*'Facility Master'!M5:M38),0)</f>
        <v>150</v>
      </c>
      <c r="C18" s="124" cm="1">
        <f t="array" ref="C18">IFERROR(SUMPRODUCT(('Facility Master'!B5:B38="ICICI Bank")*('Facility Master'!J5:J38=2)*ISNUMBER(SEARCH("SBLC",'Facility Master'!C5:C38))*'Facility Master'!M5:M38),0)</f>
        <v>0</v>
      </c>
      <c r="D18" s="1241" cm="1">
        <f t="array" ref="D18">IFERROR(SUMPRODUCT(('Facility Master'!B5:B38="ICICI Bank")*((ISNUMBER(SEARCH("Bank Guarantee",'Facility Master'!C5:C38)))+(ISNUMBER(SEARCH("Performance",'Facility Master'!C5:C38))*ISNUMBER(SEARCH("BG",'Facility Master'!C5:C38)))+(ISNUMBER(SEARCH("Financial BG",'Facility Master'!C5:C38))))*'Facility Master'!M5:M38),0)</f>
        <v>30</v>
      </c>
      <c r="E18" s="124" cm="1">
        <f t="array" ref="E18">IFERROR(SUMPRODUCT(('Facility Master'!B5:B38="ICICI Bank")*('Facility Master'!J5:J38=2)*ISNUMBER(SEARCH("Capex",'Facility Master'!C5:C38))*'Facility Master'!M5:M38),0)</f>
        <v>0</v>
      </c>
      <c r="F18" s="124">
        <f>IFERROR(SUMIFS('Facility Master'!M:M,'Facility Master'!B:B,"ICICI Bank",'Facility Master'!J:J,2),0)</f>
        <v>150</v>
      </c>
      <c r="G18" s="125"/>
      <c r="H18" s="126"/>
    </row>
    <row r="19" spans="1:8" ht="18" customHeight="1" x14ac:dyDescent="0.3">
      <c r="A19" s="119" t="s">
        <v>159</v>
      </c>
      <c r="B19" s="120" cm="1">
        <f t="array" ref="B19">IFERROR(SUMPRODUCT(('Facility Master'!B5:B38="South Indian Bank")*('Facility Master'!J5:J38=2)*SIGN(IFERROR(SEARCH("Letter of Credit",'Facility Master'!C5:C38),0)+IFERROR(SEARCH("Inland",'Facility Master'!C5:C38),0))*(ISERROR(SEARCH("Capex",'Facility Master'!C5:C38)))*'Facility Master'!M5:M38),0)</f>
        <v>150</v>
      </c>
      <c r="C19" s="120" cm="1">
        <f t="array" ref="C19">IFERROR(SUMPRODUCT(('Facility Master'!B5:B38="South Indian Bank")*('Facility Master'!J5:J38=2)*ISNUMBER(SEARCH("SBLC",'Facility Master'!C5:C38))*'Facility Master'!M5:M38),0)</f>
        <v>0</v>
      </c>
      <c r="D19" s="1240" cm="1">
        <f t="array" ref="D19">IFERROR(SUMPRODUCT(('Facility Master'!B5:B38="South Indian Bank")*((ISNUMBER(SEARCH("Bank Guarantee",'Facility Master'!C5:C38)))+(ISNUMBER(SEARCH("Performance",'Facility Master'!C5:C38))*ISNUMBER(SEARCH("BG",'Facility Master'!C5:C38)))+(ISNUMBER(SEARCH("Financial BG",'Facility Master'!C5:C38))))*'Facility Master'!M5:M38),0)</f>
        <v>0</v>
      </c>
      <c r="E19" s="120" cm="1">
        <f t="array" ref="E19">IFERROR(SUMPRODUCT(('Facility Master'!B5:B38="South Indian Bank")*('Facility Master'!J5:J38=2)*ISNUMBER(SEARCH("Capex",'Facility Master'!C5:C38))*'Facility Master'!M5:M38),0)</f>
        <v>50</v>
      </c>
      <c r="F19" s="120">
        <f>IFERROR(SUMIFS('Facility Master'!M:M,'Facility Master'!B:B,"South Indian Bank",'Facility Master'!J:J,2),0)</f>
        <v>200</v>
      </c>
      <c r="G19" s="121"/>
      <c r="H19" s="122"/>
    </row>
    <row r="20" spans="1:8" ht="19.95" customHeight="1" thickBot="1" x14ac:dyDescent="0.35">
      <c r="A20" s="127" t="s">
        <v>391</v>
      </c>
      <c r="B20" s="128">
        <f>SUM(B15:B19)</f>
        <v>600</v>
      </c>
      <c r="C20" s="128">
        <f>SUM(C15:C19)</f>
        <v>190</v>
      </c>
      <c r="D20" s="1242">
        <f>SUM(D15:D19)</f>
        <v>255</v>
      </c>
      <c r="E20" s="128">
        <f>SUM(E15:E19)</f>
        <v>75</v>
      </c>
      <c r="F20" s="128">
        <f>SUM(F15:F19)</f>
        <v>865</v>
      </c>
      <c r="G20" s="129"/>
      <c r="H20" s="130"/>
    </row>
    <row r="21" spans="1:8" ht="40.049999999999997" customHeight="1" x14ac:dyDescent="0.3">
      <c r="A21" s="1328" t="s">
        <v>755</v>
      </c>
      <c r="B21" s="1329"/>
      <c r="C21" s="1329"/>
      <c r="D21" s="1329"/>
      <c r="E21" s="1329"/>
      <c r="F21" s="1329"/>
      <c r="G21" s="1329"/>
      <c r="H21" s="2"/>
    </row>
    <row r="22" spans="1:8" ht="7.95" customHeight="1" x14ac:dyDescent="0.3">
      <c r="A22" s="2"/>
      <c r="B22" s="2"/>
      <c r="C22" s="2"/>
      <c r="D22" s="2"/>
      <c r="E22" s="2"/>
      <c r="F22" s="2"/>
      <c r="G22" s="2"/>
      <c r="H22" s="2"/>
    </row>
    <row r="23" spans="1:8" ht="24" customHeight="1" thickBot="1" x14ac:dyDescent="0.35">
      <c r="A23" s="1327" t="s">
        <v>397</v>
      </c>
      <c r="B23" s="1327"/>
      <c r="C23" s="1327"/>
      <c r="D23" s="1327"/>
      <c r="E23" s="104"/>
      <c r="F23" s="104"/>
      <c r="G23" s="104"/>
      <c r="H23" s="104"/>
    </row>
    <row r="24" spans="1:8" ht="22.05" customHeight="1" x14ac:dyDescent="0.3">
      <c r="A24" s="131" t="s">
        <v>52</v>
      </c>
      <c r="B24" s="132" t="s">
        <v>338</v>
      </c>
      <c r="C24" s="132" t="s">
        <v>398</v>
      </c>
      <c r="D24" s="132" t="s">
        <v>174</v>
      </c>
      <c r="E24" s="132"/>
      <c r="F24" s="132"/>
      <c r="G24" s="132"/>
      <c r="H24" s="133"/>
    </row>
    <row r="25" spans="1:8" ht="18" customHeight="1" x14ac:dyDescent="0.3">
      <c r="A25" s="134" t="s">
        <v>61</v>
      </c>
      <c r="B25" s="135">
        <f>IFERROR(SUMIFS('Facility Master'!M:M,'Facility Master'!B:B,"RBL Bank",'Facility Master'!J:J,3,'Facility Master'!I:I,TRUE),0)</f>
        <v>100</v>
      </c>
      <c r="C25" s="135">
        <f>IFERROR(SUMIFS('Facility Master'!M:M,'Facility Master'!B:B,"RBL Bank",'Facility Master'!J:J,3,'Facility Master'!D:D,"Hedge"),0)</f>
        <v>20</v>
      </c>
      <c r="D25" s="135">
        <f>B25+C25</f>
        <v>120</v>
      </c>
      <c r="E25" s="136"/>
      <c r="F25" s="136"/>
      <c r="G25" s="136"/>
      <c r="H25" s="137"/>
    </row>
    <row r="26" spans="1:8" ht="18" customHeight="1" x14ac:dyDescent="0.3">
      <c r="A26" s="138" t="s">
        <v>123</v>
      </c>
      <c r="B26" s="139">
        <f>IFERROR(SUMIFS('Facility Master'!M:M,'Facility Master'!B:B,"YES Bank",'Facility Master'!J:J,3,'Facility Master'!I:I,TRUE),0)</f>
        <v>0</v>
      </c>
      <c r="C26" s="139">
        <f>IFERROR(SUMIFS('Facility Master'!M:M,'Facility Master'!B:B,"YES Bank",'Facility Master'!J:J,3,'Facility Master'!D:D,"Hedge"),0)</f>
        <v>0</v>
      </c>
      <c r="D26" s="139">
        <f>B26+C26</f>
        <v>0</v>
      </c>
      <c r="E26" s="140"/>
      <c r="F26" s="140"/>
      <c r="G26" s="140"/>
      <c r="H26" s="141"/>
    </row>
    <row r="27" spans="1:8" ht="18" customHeight="1" x14ac:dyDescent="0.3">
      <c r="A27" s="134" t="s">
        <v>137</v>
      </c>
      <c r="B27" s="135">
        <f>IFERROR(SUMIFS('Facility Master'!M:M,'Facility Master'!B:B,"Bajaj Finance",'Facility Master'!J:J,3,'Facility Master'!I:I,TRUE),0)</f>
        <v>0</v>
      </c>
      <c r="C27" s="135">
        <f>IFERROR(SUMIFS('Facility Master'!M:M,'Facility Master'!B:B,"Bajaj Finance",'Facility Master'!J:J,3,'Facility Master'!D:D,"Hedge"),0)</f>
        <v>0</v>
      </c>
      <c r="D27" s="135">
        <f>B27+C27</f>
        <v>0</v>
      </c>
      <c r="E27" s="136"/>
      <c r="F27" s="136"/>
      <c r="G27" s="136"/>
      <c r="H27" s="137"/>
    </row>
    <row r="28" spans="1:8" ht="18" customHeight="1" x14ac:dyDescent="0.3">
      <c r="A28" s="138" t="s">
        <v>143</v>
      </c>
      <c r="B28" s="139">
        <f>IFERROR(SUMIFS('Facility Master'!M:M,'Facility Master'!B:B,"ICICI Bank",'Facility Master'!J:J,3,'Facility Master'!I:I,TRUE),0)</f>
        <v>0</v>
      </c>
      <c r="C28" s="139">
        <f>IFERROR(SUMIFS('Facility Master'!M:M,'Facility Master'!B:B,"ICICI Bank",'Facility Master'!J:J,3,'Facility Master'!D:D,"Hedge"),0)</f>
        <v>0</v>
      </c>
      <c r="D28" s="139">
        <f>B28+C28</f>
        <v>0</v>
      </c>
      <c r="E28" s="140"/>
      <c r="F28" s="140"/>
      <c r="G28" s="140"/>
      <c r="H28" s="141"/>
    </row>
    <row r="29" spans="1:8" ht="18" customHeight="1" x14ac:dyDescent="0.3">
      <c r="A29" s="134" t="s">
        <v>159</v>
      </c>
      <c r="B29" s="135">
        <f>IFERROR(SUMIFS('Facility Master'!M:M,'Facility Master'!B:B,"South Indian Bank",'Facility Master'!J:J,3,'Facility Master'!I:I,TRUE),0)</f>
        <v>0</v>
      </c>
      <c r="C29" s="135">
        <f>IFERROR(SUMIFS('Facility Master'!M:M,'Facility Master'!B:B,"South Indian Bank",'Facility Master'!J:J,3,'Facility Master'!D:D,"Hedge"),0)</f>
        <v>3</v>
      </c>
      <c r="D29" s="135">
        <f>B29+C29</f>
        <v>3</v>
      </c>
      <c r="E29" s="136"/>
      <c r="F29" s="136"/>
      <c r="G29" s="136"/>
      <c r="H29" s="137"/>
    </row>
    <row r="30" spans="1:8" ht="19.95" customHeight="1" thickBot="1" x14ac:dyDescent="0.35">
      <c r="A30" s="142" t="s">
        <v>391</v>
      </c>
      <c r="B30" s="143">
        <f>SUM(B25:B29)</f>
        <v>100</v>
      </c>
      <c r="C30" s="143">
        <f>SUM(C25:C29)</f>
        <v>23</v>
      </c>
      <c r="D30" s="143">
        <f>SUM(D25:D29)</f>
        <v>123</v>
      </c>
      <c r="E30" s="144"/>
      <c r="F30" s="144"/>
      <c r="G30" s="144"/>
      <c r="H30" s="145"/>
    </row>
    <row r="31" spans="1:8" ht="7.95" customHeight="1" x14ac:dyDescent="0.3">
      <c r="A31" s="2"/>
      <c r="B31" s="2"/>
      <c r="C31" s="2"/>
      <c r="D31" s="2"/>
      <c r="E31" s="2"/>
      <c r="F31" s="2"/>
      <c r="G31" s="2"/>
      <c r="H31" s="2"/>
    </row>
    <row r="32" spans="1:8" ht="7.95" customHeight="1" x14ac:dyDescent="0.3">
      <c r="A32" s="2"/>
      <c r="B32" s="2"/>
      <c r="C32" s="2"/>
      <c r="D32" s="2"/>
      <c r="E32" s="2"/>
      <c r="F32" s="2"/>
      <c r="G32" s="2"/>
      <c r="H32" s="2"/>
    </row>
    <row r="33" spans="1:8" ht="24" customHeight="1" thickBot="1" x14ac:dyDescent="0.35">
      <c r="A33" s="1289" t="s">
        <v>399</v>
      </c>
      <c r="B33" s="1289"/>
      <c r="C33" s="1289"/>
      <c r="D33" s="1289"/>
      <c r="E33" s="4"/>
      <c r="F33" s="4"/>
      <c r="G33" s="4"/>
      <c r="H33" s="4"/>
    </row>
    <row r="34" spans="1:8" ht="18" customHeight="1" x14ac:dyDescent="0.3">
      <c r="A34" s="146" t="s">
        <v>400</v>
      </c>
      <c r="B34" s="147"/>
      <c r="C34" s="147"/>
      <c r="D34" s="148">
        <f>D10</f>
        <v>1317.7</v>
      </c>
      <c r="E34" s="147"/>
      <c r="F34" s="147"/>
      <c r="G34" s="147"/>
      <c r="H34" s="149"/>
    </row>
    <row r="35" spans="1:8" ht="18" customHeight="1" x14ac:dyDescent="0.3">
      <c r="A35" s="107" t="s">
        <v>401</v>
      </c>
      <c r="B35" s="86"/>
      <c r="C35" s="86"/>
      <c r="D35" s="84">
        <f>F20</f>
        <v>865</v>
      </c>
      <c r="E35" s="86"/>
      <c r="F35" s="86"/>
      <c r="G35" s="86"/>
      <c r="H35" s="108"/>
    </row>
    <row r="36" spans="1:8" ht="18" customHeight="1" x14ac:dyDescent="0.3">
      <c r="A36" s="109" t="s">
        <v>402</v>
      </c>
      <c r="B36" s="92"/>
      <c r="C36" s="92"/>
      <c r="D36" s="89">
        <f>D30</f>
        <v>123</v>
      </c>
      <c r="E36" s="92"/>
      <c r="F36" s="92"/>
      <c r="G36" s="92"/>
      <c r="H36" s="110"/>
    </row>
    <row r="37" spans="1:8" ht="22.05" customHeight="1" thickBot="1" x14ac:dyDescent="0.35">
      <c r="A37" s="150" t="s">
        <v>403</v>
      </c>
      <c r="B37" s="151"/>
      <c r="C37" s="151"/>
      <c r="D37" s="152">
        <f>D34+D35+D36</f>
        <v>2305.6999999999998</v>
      </c>
      <c r="E37" s="151"/>
      <c r="F37" s="151"/>
      <c r="G37" s="151"/>
      <c r="H37" s="153"/>
    </row>
    <row r="38" spans="1:8" ht="7.95" customHeight="1" x14ac:dyDescent="0.3">
      <c r="A38" s="2"/>
      <c r="B38" s="2"/>
      <c r="C38" s="2"/>
      <c r="D38" s="2"/>
      <c r="E38" s="2"/>
      <c r="F38" s="2"/>
      <c r="G38" s="2"/>
      <c r="H38" s="2"/>
    </row>
    <row r="39" spans="1:8" ht="48" customHeight="1" x14ac:dyDescent="0.3">
      <c r="A39" s="1323" t="s">
        <v>404</v>
      </c>
      <c r="B39" s="1323"/>
      <c r="C39" s="1323"/>
      <c r="D39" s="1323"/>
      <c r="E39" s="1323"/>
      <c r="F39" s="1323"/>
      <c r="G39" s="1323"/>
      <c r="H39" s="1323"/>
    </row>
    <row r="40" spans="1:8" ht="7.95" customHeight="1" x14ac:dyDescent="0.3">
      <c r="A40" s="2"/>
      <c r="B40" s="2"/>
      <c r="C40" s="2"/>
      <c r="D40" s="2"/>
      <c r="E40" s="2"/>
      <c r="F40" s="2"/>
      <c r="G40" s="2"/>
      <c r="H40" s="2"/>
    </row>
    <row r="41" spans="1:8" ht="7.95" customHeight="1" x14ac:dyDescent="0.3">
      <c r="A41" s="2"/>
      <c r="B41" s="2"/>
      <c r="C41" s="2"/>
      <c r="D41" s="2"/>
      <c r="E41" s="2"/>
      <c r="F41" s="2"/>
      <c r="G41" s="2"/>
      <c r="H41" s="2"/>
    </row>
    <row r="42" spans="1:8" ht="24" customHeight="1" thickBot="1" x14ac:dyDescent="0.35">
      <c r="A42" s="1324" t="s">
        <v>405</v>
      </c>
      <c r="B42" s="1324"/>
      <c r="C42" s="1324"/>
      <c r="D42" s="1324"/>
      <c r="E42" s="36"/>
      <c r="F42" s="36"/>
      <c r="G42" s="36"/>
      <c r="H42" s="36"/>
    </row>
    <row r="43" spans="1:8" ht="22.05" customHeight="1" x14ac:dyDescent="0.3">
      <c r="A43" s="154" t="s">
        <v>52</v>
      </c>
      <c r="B43" s="155" t="s">
        <v>403</v>
      </c>
      <c r="C43" s="155" t="s">
        <v>406</v>
      </c>
      <c r="D43" s="155" t="s">
        <v>407</v>
      </c>
      <c r="E43" s="155"/>
      <c r="F43" s="155"/>
      <c r="G43" s="155"/>
      <c r="H43" s="156"/>
    </row>
    <row r="44" spans="1:8" ht="18" customHeight="1" x14ac:dyDescent="0.3">
      <c r="A44" s="157" t="s">
        <v>61</v>
      </c>
      <c r="B44" s="89">
        <f>IFERROR(D5+F15+D25,0)</f>
        <v>1007</v>
      </c>
      <c r="C44" s="90">
        <f>IFERROR(D5/$D$10,0)</f>
        <v>0.43408970175305456</v>
      </c>
      <c r="D44" s="90">
        <f>IFERROR(B44/$D$37,0)</f>
        <v>0.43674372208006251</v>
      </c>
      <c r="E44" s="92"/>
      <c r="F44" s="92"/>
      <c r="G44" s="92"/>
      <c r="H44" s="158"/>
    </row>
    <row r="45" spans="1:8" ht="18" customHeight="1" x14ac:dyDescent="0.3">
      <c r="A45" s="159" t="s">
        <v>123</v>
      </c>
      <c r="B45" s="84">
        <f>IFERROR(D6+F16+D26,0)</f>
        <v>695.7</v>
      </c>
      <c r="C45" s="85">
        <f>IFERROR(D6/$D$10,0)</f>
        <v>0.37618577824998101</v>
      </c>
      <c r="D45" s="85">
        <f>IFERROR(B45/$D$37,0)</f>
        <v>0.30173049399314744</v>
      </c>
      <c r="E45" s="86"/>
      <c r="F45" s="86"/>
      <c r="G45" s="86"/>
      <c r="H45" s="160"/>
    </row>
    <row r="46" spans="1:8" ht="18" customHeight="1" x14ac:dyDescent="0.3">
      <c r="A46" s="157" t="s">
        <v>137</v>
      </c>
      <c r="B46" s="89">
        <f>IFERROR(D7+F17+D27,0)</f>
        <v>150</v>
      </c>
      <c r="C46" s="90">
        <f>IFERROR(D7/$D$10,0)</f>
        <v>0.11383471199817864</v>
      </c>
      <c r="D46" s="90">
        <f>IFERROR(B46/$D$37,0)</f>
        <v>6.5056165155917944E-2</v>
      </c>
      <c r="E46" s="92"/>
      <c r="F46" s="92"/>
      <c r="G46" s="92"/>
      <c r="H46" s="158"/>
    </row>
    <row r="47" spans="1:8" ht="18" customHeight="1" x14ac:dyDescent="0.3">
      <c r="A47" s="159" t="s">
        <v>143</v>
      </c>
      <c r="B47" s="84">
        <f>IFERROR(D8+F18+D28,0)</f>
        <v>200</v>
      </c>
      <c r="C47" s="85">
        <f>IFERROR(D8/$D$10,0)</f>
        <v>3.7944903999392883E-2</v>
      </c>
      <c r="D47" s="85">
        <f>IFERROR(B47/$D$37,0)</f>
        <v>8.6741553541223926E-2</v>
      </c>
      <c r="E47" s="86"/>
      <c r="F47" s="86"/>
      <c r="G47" s="86"/>
      <c r="H47" s="160"/>
    </row>
    <row r="48" spans="1:8" ht="18" customHeight="1" thickBot="1" x14ac:dyDescent="0.35">
      <c r="A48" s="161" t="s">
        <v>159</v>
      </c>
      <c r="B48" s="162">
        <f>IFERROR(D9+F19+D29,0)</f>
        <v>253</v>
      </c>
      <c r="C48" s="163">
        <f>IFERROR(D9/$D$10,0)</f>
        <v>3.7944903999392883E-2</v>
      </c>
      <c r="D48" s="163">
        <f>IFERROR(B48/$D$37,0)</f>
        <v>0.10972806522964827</v>
      </c>
      <c r="E48" s="164"/>
      <c r="F48" s="164"/>
      <c r="G48" s="164"/>
      <c r="H48" s="165"/>
    </row>
  </sheetData>
  <mergeCells count="8">
    <mergeCell ref="A39:H39"/>
    <mergeCell ref="A42:D42"/>
    <mergeCell ref="A1:H1"/>
    <mergeCell ref="A3:F3"/>
    <mergeCell ref="A13:F13"/>
    <mergeCell ref="A23:D23"/>
    <mergeCell ref="A33:D33"/>
    <mergeCell ref="A21:G21"/>
  </mergeCells>
  <pageMargins left="0.75" right="0.75" top="1" bottom="1"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Z28"/>
  <sheetViews>
    <sheetView showGridLines="0" zoomScale="93" zoomScaleNormal="100" workbookViewId="0">
      <selection activeCell="E6" sqref="E6"/>
    </sheetView>
  </sheetViews>
  <sheetFormatPr defaultColWidth="8.6640625" defaultRowHeight="14.4" x14ac:dyDescent="0.3"/>
  <cols>
    <col min="1" max="1" width="55.21875" bestFit="1" customWidth="1"/>
    <col min="2" max="2" width="19" bestFit="1" customWidth="1"/>
    <col min="3" max="3" width="34.21875" customWidth="1"/>
    <col min="4" max="5" width="13" customWidth="1"/>
    <col min="6" max="6" width="10.21875" customWidth="1"/>
    <col min="7" max="8" width="13.88671875" customWidth="1"/>
    <col min="9" max="9" width="9.21875" customWidth="1"/>
    <col min="10" max="10" width="12" customWidth="1"/>
    <col min="11" max="11" width="24.109375" customWidth="1"/>
    <col min="12" max="12" width="10.21875" customWidth="1"/>
    <col min="13" max="13" width="11.109375" customWidth="1"/>
    <col min="14" max="14" width="14" customWidth="1"/>
    <col min="15" max="15" width="34.77734375" customWidth="1"/>
    <col min="16" max="16" width="255.77734375" customWidth="1"/>
  </cols>
  <sheetData>
    <row r="1" spans="1:26" ht="24" customHeight="1" x14ac:dyDescent="0.3">
      <c r="A1" s="1325" t="s">
        <v>177</v>
      </c>
      <c r="B1" s="1325"/>
      <c r="C1" s="1325"/>
      <c r="D1" s="1325"/>
      <c r="E1" s="1325"/>
      <c r="F1" s="1325"/>
      <c r="G1" s="1325"/>
      <c r="H1" s="1325"/>
      <c r="I1" s="1325"/>
      <c r="J1" s="1325"/>
      <c r="K1" s="1325"/>
      <c r="L1" s="1325"/>
      <c r="M1" s="1325"/>
    </row>
    <row r="2" spans="1:26" ht="6" customHeight="1" thickBot="1" x14ac:dyDescent="0.35">
      <c r="A2" s="2"/>
      <c r="B2" s="2"/>
      <c r="C2" s="2"/>
      <c r="D2" s="2"/>
      <c r="E2" s="2"/>
      <c r="F2" s="2"/>
      <c r="G2" s="2"/>
      <c r="H2" s="2"/>
      <c r="I2" s="2"/>
      <c r="J2" s="2"/>
      <c r="K2" s="2"/>
      <c r="L2" s="2"/>
      <c r="M2" s="2"/>
    </row>
    <row r="3" spans="1:26" ht="30" customHeight="1" x14ac:dyDescent="0.3">
      <c r="A3" s="345" t="s">
        <v>51</v>
      </c>
      <c r="B3" s="346" t="s">
        <v>52</v>
      </c>
      <c r="C3" s="346" t="s">
        <v>53</v>
      </c>
      <c r="D3" s="346" t="s">
        <v>54</v>
      </c>
      <c r="E3" s="346" t="s">
        <v>408</v>
      </c>
      <c r="F3" s="346" t="s">
        <v>58</v>
      </c>
      <c r="G3" s="346" t="s">
        <v>341</v>
      </c>
      <c r="H3" s="346" t="s">
        <v>343</v>
      </c>
      <c r="I3" s="346" t="s">
        <v>344</v>
      </c>
      <c r="J3" s="346" t="s">
        <v>175</v>
      </c>
      <c r="K3" s="346" t="s">
        <v>31</v>
      </c>
      <c r="L3" s="346" t="s">
        <v>59</v>
      </c>
      <c r="M3" s="347" t="s">
        <v>409</v>
      </c>
    </row>
    <row r="4" spans="1:26" s="2" customFormat="1" ht="18" customHeight="1" x14ac:dyDescent="0.3">
      <c r="A4" s="296">
        <v>3</v>
      </c>
      <c r="B4" s="298" t="str">
        <f>IFERROR('Facility Master'!B7,"")</f>
        <v>RBL Bank</v>
      </c>
      <c r="C4" s="348" t="str">
        <f>IFERROR('Facility Master'!C7,"")</f>
        <v>Invoice Discounting (PID)</v>
      </c>
      <c r="D4" s="303" t="str">
        <f>IFERROR('Facility Master'!D7,"")</f>
        <v>FB</v>
      </c>
      <c r="E4" s="303" t="str">
        <f>IFERROR(IF('Facility Master'!F7,"Sub-limit","Standalone"),"")</f>
        <v>Standalone</v>
      </c>
      <c r="F4" s="303" t="str">
        <f>IFERROR('Facility Master'!K7,"")</f>
        <v>INR</v>
      </c>
      <c r="G4" s="301">
        <f>IFERROR('Facility Master'!M7,0)</f>
        <v>100</v>
      </c>
      <c r="H4" s="301">
        <f>IFERROR('Facility Master'!O7,0)</f>
        <v>33.333333333333329</v>
      </c>
      <c r="I4" s="302">
        <f>IFERROR('Facility Master'!P7,0)</f>
        <v>0.33333333333333326</v>
      </c>
      <c r="J4" s="301">
        <f>IFERROR('Facility Master'!Q7,0)</f>
        <v>66.666666666666671</v>
      </c>
      <c r="K4" s="348" t="str">
        <f>IFERROR('Facility Master'!R7,"")</f>
        <v>1Y MCLR (RBL Bank)</v>
      </c>
      <c r="L4" s="304">
        <f>IFERROR('Facility Master'!S7,0)</f>
        <v>5.0000000000000001E-3</v>
      </c>
      <c r="M4" s="349">
        <f>IFERROR('Facility Master'!T7,0)</f>
        <v>9.5000000000000001E-2</v>
      </c>
      <c r="N4"/>
      <c r="O4"/>
      <c r="P4"/>
      <c r="Q4"/>
      <c r="R4"/>
      <c r="S4"/>
      <c r="T4"/>
      <c r="U4"/>
      <c r="V4"/>
      <c r="W4"/>
      <c r="X4"/>
      <c r="Y4"/>
      <c r="Z4"/>
    </row>
    <row r="5" spans="1:26" ht="18" customHeight="1" x14ac:dyDescent="0.3">
      <c r="A5" s="350">
        <v>5</v>
      </c>
      <c r="B5" s="351" t="str">
        <f>IFERROR('Facility Master'!B9,"")</f>
        <v>RBL Bank</v>
      </c>
      <c r="C5" s="352" t="str">
        <f>IFERROR('Facility Master'!C9,"")</f>
        <v>Pre-Acceptance LCBD</v>
      </c>
      <c r="D5" s="351" t="str">
        <f>IFERROR('Facility Master'!D9,"")</f>
        <v>FB</v>
      </c>
      <c r="E5" s="351" t="str">
        <f>IFERROR(IF('Facility Master'!F9,"Sub-limit","Standalone"),"")</f>
        <v>Standalone</v>
      </c>
      <c r="F5" s="351" t="str">
        <f>IFERROR('Facility Master'!K9,"")</f>
        <v>INR</v>
      </c>
      <c r="G5" s="353">
        <f>IFERROR('Facility Master'!M9,0)</f>
        <v>100</v>
      </c>
      <c r="H5" s="353">
        <f>IFERROR('Facility Master'!O9,0)</f>
        <v>33.333333333333329</v>
      </c>
      <c r="I5" s="354">
        <f>IFERROR('Facility Master'!P9,0)</f>
        <v>0.33333333333333326</v>
      </c>
      <c r="J5" s="353">
        <f>IFERROR('Facility Master'!Q9,0)</f>
        <v>66.666666666666671</v>
      </c>
      <c r="K5" s="352" t="str">
        <f>IFERROR('Facility Master'!R9,"")</f>
        <v>1Y MCLR (RBL Bank)</v>
      </c>
      <c r="L5" s="355">
        <f>IFERROR('Facility Master'!S9,0)</f>
        <v>7.4999999999999997E-3</v>
      </c>
      <c r="M5" s="356">
        <f>IFERROR('Facility Master'!T9,0)</f>
        <v>9.7500000000000003E-2</v>
      </c>
    </row>
    <row r="6" spans="1:26" ht="18" customHeight="1" x14ac:dyDescent="0.3">
      <c r="A6" s="297">
        <v>6</v>
      </c>
      <c r="B6" s="300" t="str">
        <f>IFERROR('Facility Master'!B10,"")</f>
        <v>RBL Bank</v>
      </c>
      <c r="C6" s="357" t="str">
        <f>IFERROR('Facility Master'!C10,"")</f>
        <v>Cash Credit</v>
      </c>
      <c r="D6" s="300" t="str">
        <f>IFERROR('Facility Master'!D10,"")</f>
        <v>FB</v>
      </c>
      <c r="E6" s="300" t="str">
        <f>IFERROR(IF('Facility Master'!F10,"Sub-limit","Standalone"),"")</f>
        <v>Standalone</v>
      </c>
      <c r="F6" s="300" t="str">
        <f>IFERROR('Facility Master'!K10,"")</f>
        <v>INR</v>
      </c>
      <c r="G6" s="309">
        <f>IFERROR('Facility Master'!M10,0)</f>
        <v>100</v>
      </c>
      <c r="H6" s="309">
        <f>IFERROR('Facility Master'!O10,0)</f>
        <v>33.333333333333329</v>
      </c>
      <c r="I6" s="310">
        <f>IFERROR('Facility Master'!P10,0)</f>
        <v>0.33333333333333326</v>
      </c>
      <c r="J6" s="309">
        <f>IFERROR('Facility Master'!Q10,0)</f>
        <v>66.666666666666671</v>
      </c>
      <c r="K6" s="357" t="str">
        <f>IFERROR('Facility Master'!R10,"")</f>
        <v>1Y MCLR (RBL Bank)</v>
      </c>
      <c r="L6" s="311">
        <f>IFERROR('Facility Master'!S10,0)</f>
        <v>5.0000000000000001E-4</v>
      </c>
      <c r="M6" s="358">
        <f>IFERROR('Facility Master'!T10,0)</f>
        <v>9.0499999999999997E-2</v>
      </c>
    </row>
    <row r="7" spans="1:26" ht="18" customHeight="1" x14ac:dyDescent="0.3">
      <c r="A7" s="336">
        <v>7</v>
      </c>
      <c r="B7" s="337" t="str">
        <f>IFERROR('Facility Master'!B11,"")</f>
        <v>RBL Bank</v>
      </c>
      <c r="C7" s="369" t="str">
        <f>IFERROR('Facility Master'!C11,"")</f>
        <v>Working Capital Demand Loan (WCDL)</v>
      </c>
      <c r="D7" s="370" t="str">
        <f>IFERROR('Facility Master'!D11,"")</f>
        <v>FB</v>
      </c>
      <c r="E7" s="370" t="str">
        <f>IFERROR(IF('Facility Master'!F11,"Sub-limit","Standalone"),"")</f>
        <v>Sub-limit</v>
      </c>
      <c r="F7" s="370" t="str">
        <f>IFERROR('Facility Master'!K11,"")</f>
        <v>INR</v>
      </c>
      <c r="G7" s="371">
        <f>IFERROR('Facility Master'!M11,0)</f>
        <v>100</v>
      </c>
      <c r="H7" s="371">
        <f>IFERROR('Facility Master'!O11,0)</f>
        <v>0</v>
      </c>
      <c r="I7" s="372">
        <f>IFERROR('Facility Master'!P11,0)</f>
        <v>0</v>
      </c>
      <c r="J7" s="371">
        <f>IFERROR('Facility Master'!Q11,0)</f>
        <v>100</v>
      </c>
      <c r="K7" s="369" t="str">
        <f>IFERROR('Facility Master'!R11,"")</f>
        <v>To be decided</v>
      </c>
      <c r="L7" s="373">
        <f>IFERROR('Facility Master'!S11,0)</f>
        <v>0</v>
      </c>
      <c r="M7" s="374">
        <f>IFERROR('Facility Master'!T11,0)</f>
        <v>0</v>
      </c>
    </row>
    <row r="8" spans="1:26" ht="18" customHeight="1" x14ac:dyDescent="0.3">
      <c r="A8" s="1334" t="s">
        <v>750</v>
      </c>
      <c r="B8" s="1335"/>
      <c r="C8" s="1335"/>
      <c r="D8" s="1335"/>
      <c r="E8" s="1335"/>
      <c r="F8" s="1335"/>
      <c r="G8" s="1335"/>
      <c r="H8" s="1335"/>
      <c r="I8" s="1335"/>
      <c r="J8" s="1335"/>
      <c r="K8" s="1335"/>
      <c r="L8" s="1335"/>
      <c r="M8" s="1336"/>
    </row>
    <row r="9" spans="1:26" ht="18" customHeight="1" x14ac:dyDescent="0.3">
      <c r="A9" s="297">
        <v>12</v>
      </c>
      <c r="B9" s="300" t="str">
        <f>IFERROR('Facility Master'!B16,"")</f>
        <v>RBL Bank</v>
      </c>
      <c r="C9" s="357" t="str">
        <f>IFERROR('Facility Master'!C16,"")</f>
        <v>Overdraft backed by 100% FD (FDOD)</v>
      </c>
      <c r="D9" s="300" t="str">
        <f>IFERROR('Facility Master'!D16,"")</f>
        <v>FB-FDbacked</v>
      </c>
      <c r="E9" s="300" t="str">
        <f>IFERROR(IF('Facility Master'!F16,"Sub-limit","Standalone"),"")</f>
        <v>Standalone</v>
      </c>
      <c r="F9" s="300" t="str">
        <f>IFERROR('Facility Master'!K16,"")</f>
        <v>INR</v>
      </c>
      <c r="G9" s="309">
        <f>IFERROR('Facility Master'!M16,0)</f>
        <v>100</v>
      </c>
      <c r="H9" s="309">
        <f>IFERROR('Facility Master'!O16,0)</f>
        <v>100</v>
      </c>
      <c r="I9" s="310">
        <f>IFERROR('Facility Master'!P16,0)</f>
        <v>1</v>
      </c>
      <c r="J9" s="309">
        <f>IFERROR('Facility Master'!Q16,0)</f>
        <v>0</v>
      </c>
      <c r="K9" s="357" t="str">
        <f>IFERROR('Facility Master'!R16,"")</f>
        <v>FD rate</v>
      </c>
      <c r="L9" s="311">
        <f>IFERROR('Facility Master'!S16,0)</f>
        <v>2.5000000000000001E-3</v>
      </c>
      <c r="M9" s="358">
        <f>IFERROR('Facility Master'!T16,0)</f>
        <v>7.2500000000000009E-2</v>
      </c>
    </row>
    <row r="10" spans="1:26" ht="18" customHeight="1" x14ac:dyDescent="0.3">
      <c r="A10" s="297">
        <v>14</v>
      </c>
      <c r="B10" s="299" t="str">
        <f>IFERROR('Facility Master'!B18,"")</f>
        <v>RBL Bank</v>
      </c>
      <c r="C10" s="359" t="str">
        <f>IFERROR('Facility Master'!C18,"")</f>
        <v>Buyer's Credit from GIFT City - WC</v>
      </c>
      <c r="D10" s="299" t="str">
        <f>IFERROR('Facility Master'!D18,"")</f>
        <v>FB-FCY</v>
      </c>
      <c r="E10" s="299" t="str">
        <f>IFERROR(IF('Facility Master'!F18,"Sub-limit","Standalone"),"")</f>
        <v>Standalone</v>
      </c>
      <c r="F10" s="299" t="str">
        <f>IFERROR('Facility Master'!K18,"")</f>
        <v>USD</v>
      </c>
      <c r="G10" s="305">
        <f>IFERROR('Facility Master'!M18,0)</f>
        <v>100</v>
      </c>
      <c r="H10" s="305">
        <f>IFERROR('Facility Master'!O18,0)</f>
        <v>100</v>
      </c>
      <c r="I10" s="306">
        <f>IFERROR('Facility Master'!P18,0)</f>
        <v>1</v>
      </c>
      <c r="J10" s="305">
        <f>IFERROR('Facility Master'!Q18,0)</f>
        <v>0</v>
      </c>
      <c r="K10" s="359" t="str">
        <f>IFERROR('Facility Master'!R18,"")</f>
        <v>Term SOFR (USD)</v>
      </c>
      <c r="L10" s="307">
        <f>IFERROR('Facility Master'!S18,0)</f>
        <v>0</v>
      </c>
      <c r="M10" s="360">
        <f>IFERROR('Facility Master'!T18,0)</f>
        <v>4.2999999999999997E-2</v>
      </c>
    </row>
    <row r="11" spans="1:26" ht="18" customHeight="1" x14ac:dyDescent="0.3">
      <c r="A11" s="1334" t="s">
        <v>751</v>
      </c>
      <c r="B11" s="1335"/>
      <c r="C11" s="1335"/>
      <c r="D11" s="1335"/>
      <c r="E11" s="1335"/>
      <c r="F11" s="1335"/>
      <c r="G11" s="1335"/>
      <c r="H11" s="1335"/>
      <c r="I11" s="1335"/>
      <c r="J11" s="1335"/>
      <c r="K11" s="1335"/>
      <c r="L11" s="1335"/>
      <c r="M11" s="1336"/>
    </row>
    <row r="12" spans="1:26" ht="18" customHeight="1" x14ac:dyDescent="0.3">
      <c r="A12" s="297">
        <v>15</v>
      </c>
      <c r="B12" s="300" t="str">
        <f>IFERROR('Facility Master'!B19,"")</f>
        <v>RBL Bank</v>
      </c>
      <c r="C12" s="357" t="str">
        <f>IFERROR('Facility Master'!C19,"")</f>
        <v>Buyer's Credit from GIFT City - CAPEX</v>
      </c>
      <c r="D12" s="300" t="str">
        <f>IFERROR('Facility Master'!D19,"")</f>
        <v>FB-FCY</v>
      </c>
      <c r="E12" s="300" t="str">
        <f>IFERROR(IF('Facility Master'!F19,"Sub-limit","Standalone"),"")</f>
        <v>Standalone</v>
      </c>
      <c r="F12" s="300" t="str">
        <f>IFERROR('Facility Master'!K19,"")</f>
        <v>USD</v>
      </c>
      <c r="G12" s="309">
        <f>IFERROR('Facility Master'!M19,0)</f>
        <v>172</v>
      </c>
      <c r="H12" s="309">
        <f>IFERROR('Facility Master'!O19,0)</f>
        <v>172</v>
      </c>
      <c r="I12" s="310">
        <f>IFERROR('Facility Master'!P19,0)</f>
        <v>1</v>
      </c>
      <c r="J12" s="309">
        <f>IFERROR('Facility Master'!Q19,0)</f>
        <v>0</v>
      </c>
      <c r="K12" s="357" t="str">
        <f>IFERROR('Facility Master'!R19,"")</f>
        <v>Term SOFR (USD)</v>
      </c>
      <c r="L12" s="311">
        <f>IFERROR('Facility Master'!S19,0)</f>
        <v>0</v>
      </c>
      <c r="M12" s="358">
        <f>IFERROR('Facility Master'!T19,0)</f>
        <v>4.2999999999999997E-2</v>
      </c>
    </row>
    <row r="13" spans="1:26" ht="18" customHeight="1" x14ac:dyDescent="0.3">
      <c r="A13" s="313">
        <v>16</v>
      </c>
      <c r="B13" s="315" t="str">
        <f>IFERROR('Facility Master'!B20,"")</f>
        <v>YES Bank</v>
      </c>
      <c r="C13" s="361" t="str">
        <f>IFERROR('Facility Master'!C20,"")</f>
        <v>Purchase Invoice Financing</v>
      </c>
      <c r="D13" s="320" t="str">
        <f>IFERROR('Facility Master'!D20,"")</f>
        <v>FB</v>
      </c>
      <c r="E13" s="320" t="str">
        <f>IFERROR(IF('Facility Master'!F20,"Sub-limit","Standalone"),"")</f>
        <v>Standalone</v>
      </c>
      <c r="F13" s="320" t="str">
        <f>IFERROR('Facility Master'!K20,"")</f>
        <v>INR</v>
      </c>
      <c r="G13" s="318">
        <f>IFERROR('Facility Master'!M20,0)</f>
        <v>100</v>
      </c>
      <c r="H13" s="318">
        <f>IFERROR('Facility Master'!O20,0)</f>
        <v>100</v>
      </c>
      <c r="I13" s="319">
        <f>IFERROR('Facility Master'!P20,0)</f>
        <v>1</v>
      </c>
      <c r="J13" s="318">
        <f>IFERROR('Facility Master'!Q20,0)</f>
        <v>0</v>
      </c>
      <c r="K13" s="361" t="str">
        <f>IFERROR('Facility Master'!R20,"")</f>
        <v>3M MCLR (YBL)</v>
      </c>
      <c r="L13" s="321">
        <f>IFERROR('Facility Master'!S20,0)</f>
        <v>5.0000000000000001E-3</v>
      </c>
      <c r="M13" s="362">
        <f>IFERROR('Facility Master'!T20,0)</f>
        <v>9.5000000000000001E-2</v>
      </c>
    </row>
    <row r="14" spans="1:26" ht="18" customHeight="1" x14ac:dyDescent="0.3">
      <c r="A14" s="314">
        <v>17</v>
      </c>
      <c r="B14" s="316" t="str">
        <f>IFERROR('Facility Master'!B21,"")</f>
        <v>YES Bank</v>
      </c>
      <c r="C14" s="363" t="str">
        <f>IFERROR('Facility Master'!C21,"")</f>
        <v>Cash Credit</v>
      </c>
      <c r="D14" s="316" t="str">
        <f>IFERROR('Facility Master'!D21,"")</f>
        <v>FB</v>
      </c>
      <c r="E14" s="316" t="str">
        <f>IFERROR(IF('Facility Master'!F21,"Sub-limit","Standalone"),"")</f>
        <v>Standalone</v>
      </c>
      <c r="F14" s="316" t="str">
        <f>IFERROR('Facility Master'!K21,"")</f>
        <v>INR</v>
      </c>
      <c r="G14" s="322">
        <f>IFERROR('Facility Master'!M21,0)</f>
        <v>25</v>
      </c>
      <c r="H14" s="322">
        <f>IFERROR('Facility Master'!O21,0)</f>
        <v>25</v>
      </c>
      <c r="I14" s="323">
        <f>IFERROR('Facility Master'!P21,0)</f>
        <v>1</v>
      </c>
      <c r="J14" s="322">
        <f>IFERROR('Facility Master'!Q21,0)</f>
        <v>0</v>
      </c>
      <c r="K14" s="363" t="str">
        <f>IFERROR('Facility Master'!R21,"")</f>
        <v>3M MCLR (YBL)</v>
      </c>
      <c r="L14" s="324">
        <f>IFERROR('Facility Master'!S21,0)</f>
        <v>6.9999999999999999E-4</v>
      </c>
      <c r="M14" s="364">
        <f>IFERROR('Facility Master'!T21,0)</f>
        <v>9.0700000000000003E-2</v>
      </c>
    </row>
    <row r="15" spans="1:26" ht="18" customHeight="1" x14ac:dyDescent="0.3">
      <c r="A15" s="314">
        <v>20</v>
      </c>
      <c r="B15" s="317" t="str">
        <f>IFERROR('Facility Master'!B24,"")</f>
        <v>YES Bank</v>
      </c>
      <c r="C15" s="365" t="str">
        <f>IFERROR('Facility Master'!C24,"")</f>
        <v>Working Capital Demand Loan (WCDL)</v>
      </c>
      <c r="D15" s="317" t="str">
        <f>IFERROR('Facility Master'!D24,"")</f>
        <v>FB</v>
      </c>
      <c r="E15" s="317" t="str">
        <f>IFERROR(IF('Facility Master'!F24,"Sub-limit","Standalone"),"")</f>
        <v>Standalone</v>
      </c>
      <c r="F15" s="317" t="str">
        <f>IFERROR('Facility Master'!K24,"")</f>
        <v>INR</v>
      </c>
      <c r="G15" s="325">
        <f>IFERROR('Facility Master'!M24,0)</f>
        <v>50</v>
      </c>
      <c r="H15" s="325">
        <f>IFERROR('Facility Master'!O24,0)</f>
        <v>50</v>
      </c>
      <c r="I15" s="326">
        <f>IFERROR('Facility Master'!P24,0)</f>
        <v>1</v>
      </c>
      <c r="J15" s="325">
        <f>IFERROR('Facility Master'!Q24,0)</f>
        <v>0</v>
      </c>
      <c r="K15" s="365" t="str">
        <f>IFERROR('Facility Master'!R24,"")</f>
        <v>To be decided</v>
      </c>
      <c r="L15" s="327">
        <f>IFERROR('Facility Master'!S24,0)</f>
        <v>0</v>
      </c>
      <c r="M15" s="366">
        <f>IFERROR('Facility Master'!T24,0)</f>
        <v>0</v>
      </c>
    </row>
    <row r="16" spans="1:26" ht="18" customHeight="1" x14ac:dyDescent="0.3">
      <c r="A16" s="328">
        <v>23</v>
      </c>
      <c r="B16" s="330" t="str">
        <f>IFERROR('Facility Master'!B27,"")</f>
        <v>ICICI Bank</v>
      </c>
      <c r="C16" s="367" t="str">
        <f>IFERROR('Facility Master'!C27,"")</f>
        <v>Cash Credit</v>
      </c>
      <c r="D16" s="333" t="str">
        <f>IFERROR('Facility Master'!D27,"")</f>
        <v>FB</v>
      </c>
      <c r="E16" s="333" t="str">
        <f>IFERROR(IF('Facility Master'!F27,"Sub-limit","Standalone"),"")</f>
        <v>Standalone</v>
      </c>
      <c r="F16" s="333" t="str">
        <f>IFERROR('Facility Master'!K27,"")</f>
        <v>INR</v>
      </c>
      <c r="G16" s="331">
        <f>IFERROR('Facility Master'!M27,0)</f>
        <v>50</v>
      </c>
      <c r="H16" s="331">
        <f>IFERROR('Facility Master'!O27,0)</f>
        <v>50</v>
      </c>
      <c r="I16" s="332">
        <f>IFERROR('Facility Master'!P27,0)</f>
        <v>1</v>
      </c>
      <c r="J16" s="331">
        <f>IFERROR('Facility Master'!Q27,0)</f>
        <v>0</v>
      </c>
      <c r="K16" s="367" t="str">
        <f>IFERROR('Facility Master'!R27,"")</f>
        <v>6M I-MCLR (ICICI)</v>
      </c>
      <c r="L16" s="334">
        <f>IFERROR('Facility Master'!S27,0)</f>
        <v>4.4999999999999997E-3</v>
      </c>
      <c r="M16" s="368">
        <f>IFERROR('Facility Master'!T27,0)</f>
        <v>8.7500000000000008E-2</v>
      </c>
    </row>
    <row r="17" spans="1:13" ht="18" customHeight="1" x14ac:dyDescent="0.3">
      <c r="A17" s="338">
        <v>24</v>
      </c>
      <c r="B17" s="339" t="str">
        <f>IFERROR('Facility Master'!B28,"")</f>
        <v>ICICI Bank</v>
      </c>
      <c r="C17" s="375" t="str">
        <f>IFERROR('Facility Master'!C28,"")</f>
        <v>Working Capital Demand Loan (WCDL)</v>
      </c>
      <c r="D17" s="376" t="str">
        <f>IFERROR('Facility Master'!D28,"")</f>
        <v>FB</v>
      </c>
      <c r="E17" s="376" t="str">
        <f>IFERROR(IF('Facility Master'!F28,"Sub-limit","Standalone"),"")</f>
        <v>Sub-limit</v>
      </c>
      <c r="F17" s="376" t="str">
        <f>IFERROR('Facility Master'!K28,"")</f>
        <v>INR</v>
      </c>
      <c r="G17" s="377">
        <f>IFERROR('Facility Master'!M28,0)</f>
        <v>50</v>
      </c>
      <c r="H17" s="377">
        <f>IFERROR('Facility Master'!O28,0)</f>
        <v>0</v>
      </c>
      <c r="I17" s="378">
        <f>IFERROR('Facility Master'!P28,0)</f>
        <v>0</v>
      </c>
      <c r="J17" s="377">
        <f>IFERROR('Facility Master'!Q28,0)</f>
        <v>50</v>
      </c>
      <c r="K17" s="375" t="str">
        <f>IFERROR('Facility Master'!R28,"")</f>
        <v>Repo Rate</v>
      </c>
      <c r="L17" s="379">
        <f>IFERROR('Facility Master'!S28,0)</f>
        <v>0</v>
      </c>
      <c r="M17" s="380">
        <f>IFERROR('Facility Master'!T28,0)</f>
        <v>5.2499999999999998E-2</v>
      </c>
    </row>
    <row r="18" spans="1:13" ht="18" customHeight="1" x14ac:dyDescent="0.3">
      <c r="A18" s="340">
        <v>29</v>
      </c>
      <c r="B18" s="417" t="str">
        <f>IFERROR('Facility Master'!B33,"")</f>
        <v>South Indian Bank</v>
      </c>
      <c r="C18" s="381" t="str">
        <f>IFERROR('Facility Master'!C33,"")</f>
        <v>CCOL (Cash Credit)</v>
      </c>
      <c r="D18" s="382" t="str">
        <f>IFERROR('Facility Master'!D33,"")</f>
        <v>FB</v>
      </c>
      <c r="E18" s="382" t="str">
        <f>IFERROR(IF('Facility Master'!F33,"Sub-limit","Standalone"),"")</f>
        <v>Standalone</v>
      </c>
      <c r="F18" s="382" t="str">
        <f>IFERROR('Facility Master'!K33,"")</f>
        <v>INR</v>
      </c>
      <c r="G18" s="383">
        <f>IFERROR('Facility Master'!M33,0)</f>
        <v>50</v>
      </c>
      <c r="H18" s="383">
        <f>IFERROR('Facility Master'!O33,0)</f>
        <v>50</v>
      </c>
      <c r="I18" s="384">
        <f>IFERROR('Facility Master'!P33,0)</f>
        <v>1</v>
      </c>
      <c r="J18" s="383">
        <f>IFERROR('Facility Master'!Q33,0)</f>
        <v>0</v>
      </c>
      <c r="K18" s="381" t="str">
        <f>IFERROR('Facility Master'!R33,"")</f>
        <v>12M MCLR (SIB)</v>
      </c>
      <c r="L18" s="385">
        <f>IFERROR('Facility Master'!S33,0)</f>
        <v>4.4999999999999997E-3</v>
      </c>
      <c r="M18" s="386">
        <f>IFERROR('Facility Master'!T33,0)</f>
        <v>0.10200000000000001</v>
      </c>
    </row>
    <row r="19" spans="1:13" ht="18" customHeight="1" x14ac:dyDescent="0.3">
      <c r="A19" s="340">
        <v>30</v>
      </c>
      <c r="B19" s="341" t="str">
        <f>IFERROR('Facility Master'!B34,"")</f>
        <v>South Indian Bank</v>
      </c>
      <c r="C19" s="387" t="str">
        <f>IFERROR('Facility Master'!C34,"")</f>
        <v>WCL / WCDL</v>
      </c>
      <c r="D19" s="388" t="str">
        <f>IFERROR('Facility Master'!D34,"")</f>
        <v>FB</v>
      </c>
      <c r="E19" s="388" t="str">
        <f>IFERROR(IF('Facility Master'!F34,"Sub-limit","Standalone"),"")</f>
        <v>Sub-limit</v>
      </c>
      <c r="F19" s="388" t="str">
        <f>IFERROR('Facility Master'!K34,"")</f>
        <v>INR</v>
      </c>
      <c r="G19" s="389">
        <f>IFERROR('Facility Master'!M34,0)</f>
        <v>50</v>
      </c>
      <c r="H19" s="389">
        <f>IFERROR('Facility Master'!O34,0)</f>
        <v>0</v>
      </c>
      <c r="I19" s="390">
        <f>IFERROR('Facility Master'!P34,0)</f>
        <v>0</v>
      </c>
      <c r="J19" s="389">
        <f>IFERROR('Facility Master'!Q34,0)</f>
        <v>50</v>
      </c>
      <c r="K19" s="387" t="str">
        <f>IFERROR('Facility Master'!R34,"")</f>
        <v>To be decided</v>
      </c>
      <c r="L19" s="391">
        <f>IFERROR('Facility Master'!S34,0)</f>
        <v>0</v>
      </c>
      <c r="M19" s="392">
        <f>IFERROR('Facility Master'!T34,0)</f>
        <v>0</v>
      </c>
    </row>
    <row r="20" spans="1:13" ht="7.95" customHeight="1" x14ac:dyDescent="0.3">
      <c r="A20" s="170"/>
      <c r="B20" s="82"/>
      <c r="C20" s="97"/>
      <c r="D20" s="82"/>
      <c r="E20" s="82"/>
      <c r="F20" s="82"/>
      <c r="G20" s="86"/>
      <c r="H20" s="86"/>
      <c r="I20" s="86"/>
      <c r="J20" s="86"/>
      <c r="K20" s="97"/>
      <c r="L20" s="86"/>
      <c r="M20" s="108"/>
    </row>
    <row r="21" spans="1:13" ht="22.05" customHeight="1" x14ac:dyDescent="0.3">
      <c r="A21" s="1330" t="s">
        <v>178</v>
      </c>
      <c r="B21" s="1331"/>
      <c r="C21" s="1332"/>
      <c r="D21" s="1331"/>
      <c r="E21" s="1331"/>
      <c r="F21" s="1331"/>
      <c r="G21" s="1331"/>
      <c r="H21" s="1331"/>
      <c r="I21" s="1331"/>
      <c r="J21" s="1331"/>
      <c r="K21" s="1332"/>
      <c r="L21" s="1331"/>
      <c r="M21" s="1333"/>
    </row>
    <row r="22" spans="1:13" ht="18" customHeight="1" x14ac:dyDescent="0.3">
      <c r="A22" s="393" t="s">
        <v>752</v>
      </c>
      <c r="B22" s="394"/>
      <c r="C22" s="395"/>
      <c r="D22" s="394"/>
      <c r="E22" s="394"/>
      <c r="F22" s="394"/>
      <c r="G22" s="396" cm="1">
        <f t="array" ref="G22">IFERROR(SUMPRODUCT((('Facility Master'!D5:D38="FB")+('Facility Master'!D5:D38="FB-FCY")+('Facility Master'!D5:D38="FB-FDbacked"))*'Facility Master'!M5:M38),0)</f>
        <v>1147</v>
      </c>
      <c r="H22" s="397"/>
      <c r="I22" s="397"/>
      <c r="J22" s="397"/>
      <c r="K22" s="395"/>
      <c r="L22" s="397"/>
      <c r="M22" s="398"/>
    </row>
    <row r="23" spans="1:13" ht="18" customHeight="1" x14ac:dyDescent="0.3">
      <c r="A23" s="405" t="s">
        <v>410</v>
      </c>
      <c r="B23" s="406"/>
      <c r="C23" s="407"/>
      <c r="D23" s="406"/>
      <c r="E23" s="406"/>
      <c r="F23" s="406"/>
      <c r="G23" s="408">
        <f>Bucket1_WCFB_Total</f>
        <v>647</v>
      </c>
      <c r="H23" s="409"/>
      <c r="I23" s="409"/>
      <c r="J23" s="409"/>
      <c r="K23" s="407"/>
      <c r="L23" s="409"/>
      <c r="M23" s="410"/>
    </row>
    <row r="24" spans="1:13" ht="18" customHeight="1" x14ac:dyDescent="0.3">
      <c r="A24" s="399" t="s">
        <v>411</v>
      </c>
      <c r="B24" s="400"/>
      <c r="C24" s="401"/>
      <c r="D24" s="400"/>
      <c r="E24" s="400"/>
      <c r="F24" s="400"/>
      <c r="G24" s="402">
        <f>IFERROR(SUMIFS('Facility Master'!O:O,'Facility Master'!J:J,1)-SUMIFS('Facility Master'!O:O,'Facility Master'!D:D,"FB-Term",'Facility Master'!J:J,1),0)</f>
        <v>646.99999999999989</v>
      </c>
      <c r="H24" s="403"/>
      <c r="I24" s="403"/>
      <c r="J24" s="403"/>
      <c r="K24" s="401"/>
      <c r="L24" s="403"/>
      <c r="M24" s="404"/>
    </row>
    <row r="25" spans="1:13" ht="18" customHeight="1" x14ac:dyDescent="0.3">
      <c r="A25" s="170" t="s">
        <v>728</v>
      </c>
      <c r="B25" s="82"/>
      <c r="C25" s="97"/>
      <c r="D25" s="82"/>
      <c r="E25" s="82"/>
      <c r="F25" s="82"/>
      <c r="G25" s="84">
        <f>IFERROR(MAX(G23-MIN(G24,G23),0),0)</f>
        <v>1.1368683772161603E-13</v>
      </c>
      <c r="H25" s="86"/>
      <c r="I25" s="86"/>
      <c r="J25" s="86"/>
      <c r="K25" s="97"/>
      <c r="L25" s="86"/>
      <c r="M25" s="108"/>
    </row>
    <row r="26" spans="1:13" ht="18" customHeight="1" x14ac:dyDescent="0.3">
      <c r="A26" s="169" t="s">
        <v>412</v>
      </c>
      <c r="B26" s="87"/>
      <c r="C26" s="98"/>
      <c r="D26" s="87"/>
      <c r="E26" s="87"/>
      <c r="F26" s="87"/>
      <c r="G26" s="91" cm="1">
        <f t="array" ref="G26">IFERROR(SUMPRODUCT((('Facility Master'!D5:D38="FB")+('Facility Master'!D5:D38="FB-FCY"))*('Facility Master'!J5:J38=1)*'Facility Master'!O5:O38*'Facility Master'!T5:T38)/SUMPRODUCT((('Facility Master'!D5:D38="FB")+('Facility Master'!D5:D38="FB-FCY"))*('Facility Master'!J5:J38=1)*'Facility Master'!O5:O38),0)</f>
        <v>6.548969603297268E-2</v>
      </c>
      <c r="H26" s="92"/>
      <c r="I26" s="92"/>
      <c r="J26" s="92"/>
      <c r="K26" s="98"/>
      <c r="L26" s="92"/>
      <c r="M26" s="110"/>
    </row>
    <row r="27" spans="1:13" ht="18" customHeight="1" thickBot="1" x14ac:dyDescent="0.35">
      <c r="A27" s="411" t="s">
        <v>413</v>
      </c>
      <c r="B27" s="412"/>
      <c r="C27" s="413"/>
      <c r="D27" s="412"/>
      <c r="E27" s="412"/>
      <c r="F27" s="412"/>
      <c r="G27" s="414">
        <f>IFERROR(SUMIFS('Facility Master'!M:M,'Facility Master'!I:I,TRUE,'Facility Master'!J:J,3),0)</f>
        <v>100</v>
      </c>
      <c r="H27" s="415"/>
      <c r="I27" s="415"/>
      <c r="J27" s="415"/>
      <c r="K27" s="413"/>
      <c r="L27" s="415"/>
      <c r="M27" s="416"/>
    </row>
    <row r="28" spans="1:13" ht="49.95" customHeight="1" x14ac:dyDescent="0.3">
      <c r="A28" s="1337" t="s">
        <v>753</v>
      </c>
      <c r="B28" s="1338"/>
      <c r="C28" s="1338"/>
      <c r="D28" s="1338"/>
      <c r="E28" s="1338"/>
      <c r="F28" s="1338"/>
      <c r="G28" s="1338"/>
      <c r="H28" s="1338"/>
      <c r="I28" s="1338"/>
      <c r="J28" s="1338"/>
      <c r="K28" s="1338"/>
      <c r="L28" s="1338"/>
      <c r="M28" s="1338"/>
    </row>
  </sheetData>
  <mergeCells count="5">
    <mergeCell ref="A1:M1"/>
    <mergeCell ref="A21:M21"/>
    <mergeCell ref="A8:M8"/>
    <mergeCell ref="A11:M11"/>
    <mergeCell ref="A28:M28"/>
  </mergeCells>
  <conditionalFormatting sqref="E4:E7 E9:E10 E12:E19">
    <cfRule type="containsText" dxfId="35" priority="1" operator="containsText" text="Sub-limit">
      <formula>NOT(ISERROR(SEARCH("Sub-limit",E4)))</formula>
    </cfRule>
    <cfRule type="containsText" dxfId="34" priority="2" operator="containsText" text="Standalone">
      <formula>NOT(ISERROR(SEARCH("Standalone",E4)))</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Z25"/>
  <sheetViews>
    <sheetView showGridLines="0" zoomScaleNormal="100" workbookViewId="0">
      <selection activeCell="D17" sqref="D17"/>
    </sheetView>
  </sheetViews>
  <sheetFormatPr defaultColWidth="8.6640625" defaultRowHeight="14.4" x14ac:dyDescent="0.3"/>
  <cols>
    <col min="1" max="1" width="34" bestFit="1" customWidth="1"/>
    <col min="2" max="2" width="16.44140625" bestFit="1" customWidth="1"/>
    <col min="3" max="3" width="11.33203125" bestFit="1" customWidth="1"/>
    <col min="4" max="4" width="29.109375" bestFit="1" customWidth="1"/>
    <col min="5" max="5" width="1.88671875" customWidth="1"/>
    <col min="6" max="6" width="16" bestFit="1" customWidth="1"/>
    <col min="7" max="7" width="13" customWidth="1"/>
    <col min="8" max="8" width="11" customWidth="1"/>
    <col min="9" max="11" width="13" customWidth="1"/>
    <col min="12" max="12" width="20" customWidth="1"/>
    <col min="13" max="14" width="10" customWidth="1"/>
    <col min="15" max="15" width="11" customWidth="1"/>
    <col min="16" max="17" width="13" customWidth="1"/>
    <col min="18" max="18" width="28" customWidth="1"/>
    <col min="19" max="19" width="39.21875" customWidth="1"/>
  </cols>
  <sheetData>
    <row r="1" spans="1:26" ht="30" customHeight="1" x14ac:dyDescent="0.3">
      <c r="A1" s="1320" t="s">
        <v>179</v>
      </c>
      <c r="B1" s="1320"/>
      <c r="C1" s="1320"/>
      <c r="D1" s="1320"/>
      <c r="E1" s="1320"/>
      <c r="F1" s="1320"/>
    </row>
    <row r="2" spans="1:26" ht="6" customHeight="1" thickBot="1" x14ac:dyDescent="0.35">
      <c r="A2" s="2"/>
      <c r="B2" s="2"/>
      <c r="C2" s="2"/>
      <c r="D2" s="2"/>
      <c r="E2" s="490"/>
      <c r="F2" s="2"/>
    </row>
    <row r="3" spans="1:26" ht="25.95" customHeight="1" x14ac:dyDescent="0.3">
      <c r="A3" s="171" t="s">
        <v>138</v>
      </c>
      <c r="B3" s="496" t="s">
        <v>61</v>
      </c>
      <c r="C3" s="497" t="s">
        <v>123</v>
      </c>
      <c r="D3" s="498" t="s">
        <v>137</v>
      </c>
      <c r="E3" s="491"/>
      <c r="F3" s="499" t="s">
        <v>727</v>
      </c>
    </row>
    <row r="4" spans="1:26" s="2" customFormat="1" ht="18" customHeight="1" x14ac:dyDescent="0.3">
      <c r="A4" s="500" t="s">
        <v>423</v>
      </c>
      <c r="B4" s="422">
        <f>IFERROR(INDEX('Facility Master'!M:M,MATCH(RBL_TL_SNo,'Facility Master'!A:A,0)),0)</f>
        <v>200</v>
      </c>
      <c r="C4" s="513">
        <f>IFERROR(INDEX('Facility Master'!M:M,MATCH(YBL_TL_SNo,'Facility Master'!A:A,0)),0)</f>
        <v>320.7</v>
      </c>
      <c r="D4" s="520">
        <f>IFERROR(INDEX('Facility Master'!M:M,MATCH(Bajaj_TL_SNo,'Facility Master'!A:A,0)),0)</f>
        <v>150</v>
      </c>
      <c r="E4" s="492"/>
      <c r="F4" s="423">
        <f>B4+C4+D4</f>
        <v>670.7</v>
      </c>
      <c r="G4"/>
      <c r="H4"/>
      <c r="I4"/>
      <c r="J4"/>
      <c r="K4"/>
      <c r="L4"/>
      <c r="M4"/>
      <c r="N4"/>
      <c r="O4"/>
      <c r="P4"/>
      <c r="Q4"/>
      <c r="R4"/>
      <c r="S4"/>
      <c r="T4"/>
      <c r="U4"/>
      <c r="V4"/>
      <c r="W4"/>
      <c r="X4"/>
      <c r="Y4"/>
      <c r="Z4"/>
    </row>
    <row r="5" spans="1:26" ht="18" customHeight="1" x14ac:dyDescent="0.3">
      <c r="A5" s="71" t="s">
        <v>350</v>
      </c>
      <c r="B5" s="419">
        <f>IFERROR(INDEX('Facility Master'!Z:Z,MATCH(RBL_TL_SNo,'Facility Master'!A:A,0)),"")</f>
        <v>45315</v>
      </c>
      <c r="C5" s="517">
        <f>IFERROR(INDEX('Facility Master'!Z:Z,MATCH(YBL_TL_SNo,'Facility Master'!A:A,0)),"")</f>
        <v>45642</v>
      </c>
      <c r="D5" s="524">
        <f>IFERROR(INDEX('Facility Master'!Z:Z,MATCH(Bajaj_TL_SNo,'Facility Master'!A:A,0)),"")</f>
        <v>45887</v>
      </c>
      <c r="E5" s="493"/>
      <c r="F5" s="527"/>
    </row>
    <row r="6" spans="1:26" ht="18" customHeight="1" x14ac:dyDescent="0.3">
      <c r="A6" s="63" t="s">
        <v>424</v>
      </c>
      <c r="B6" s="312">
        <f>IFERROR(INDEX('Facility Master'!V:V,MATCH(RBL_TL_SNo,'Facility Master'!A:A,0)),"")</f>
        <v>24</v>
      </c>
      <c r="C6" s="514">
        <f>IFERROR(INDEX('Facility Master'!V:V,MATCH(YBL_TL_SNo,'Facility Master'!A:A,0)),"")</f>
        <v>0</v>
      </c>
      <c r="D6" s="521">
        <f>IFERROR(INDEX('Facility Master'!V:V,MATCH(Bajaj_TL_SNo,'Facility Master'!A:A,0)),"")</f>
        <v>12</v>
      </c>
      <c r="E6" s="493"/>
      <c r="F6" s="420"/>
    </row>
    <row r="7" spans="1:26" ht="18" customHeight="1" x14ac:dyDescent="0.3">
      <c r="A7" s="71" t="s">
        <v>425</v>
      </c>
      <c r="B7" s="419">
        <f>IFERROR(INDEX('Facility Master'!AA:AA,MATCH(RBL_TL_SNo,'Facility Master'!A:A,0)),"")</f>
        <v>46046</v>
      </c>
      <c r="C7" s="517">
        <f>IFERROR(INDEX('Facility Master'!AA:AA,MATCH(YBL_TL_SNo,'Facility Master'!A:A,0)),"")</f>
        <v>45747</v>
      </c>
      <c r="D7" s="524">
        <f>IFERROR(INDEX('Facility Master'!AA:AA,MATCH(Bajaj_TL_SNo,'Facility Master'!A:A,0)),"")</f>
        <v>46252</v>
      </c>
      <c r="E7" s="493"/>
      <c r="F7" s="527"/>
    </row>
    <row r="8" spans="1:26" ht="18" customHeight="1" x14ac:dyDescent="0.3">
      <c r="A8" s="63" t="s">
        <v>261</v>
      </c>
      <c r="B8" s="421">
        <f>IFERROR(INDEX('Facility Master'!AB:AB,MATCH(RBL_TL_SNo,'Facility Master'!A:A,0)),"")</f>
        <v>47208</v>
      </c>
      <c r="C8" s="515">
        <f>IFERROR(INDEX('Facility Master'!AB:AB,MATCH(YBL_TL_SNo,'Facility Master'!A:A,0)),"")</f>
        <v>49948</v>
      </c>
      <c r="D8" s="522">
        <f>IFERROR(INDEX('Facility Master'!AB:AB,MATCH(Bajaj_TL_SNo,'Facility Master'!A:A,0)),"")</f>
        <v>48822</v>
      </c>
      <c r="E8" s="493"/>
      <c r="F8" s="420"/>
    </row>
    <row r="9" spans="1:26" ht="18" customHeight="1" x14ac:dyDescent="0.3">
      <c r="A9" s="71" t="s">
        <v>426</v>
      </c>
      <c r="B9" s="308">
        <f>IFERROR(INDEX('Facility Master'!Y:Y,MATCH(RBL_TL_SNo,'Facility Master'!A:A,0)),"")</f>
        <v>12</v>
      </c>
      <c r="C9" s="518">
        <f>IFERROR(INDEX('Facility Master'!Y:Y,MATCH(YBL_TL_SNo,'Facility Master'!A:A,0)),"")</f>
        <v>47</v>
      </c>
      <c r="D9" s="525">
        <f>IFERROR(INDEX('Facility Master'!Y:Y,MATCH(Bajaj_TL_SNo,'Facility Master'!A:A,0)),"")</f>
        <v>28</v>
      </c>
      <c r="E9" s="493"/>
      <c r="F9" s="527"/>
    </row>
    <row r="10" spans="1:26" ht="18" customHeight="1" x14ac:dyDescent="0.3">
      <c r="A10" s="501" t="s">
        <v>427</v>
      </c>
      <c r="B10" s="511">
        <f>IFERROR(INDEX('Facility Master'!M:M,MATCH(RBL_TL_SNo,'Facility Master'!A:A,0))/INDEX('Facility Master'!Y:Y,MATCH(RBL_TL_SNo,'Facility Master'!A:A,0)),0)</f>
        <v>16.666666666666668</v>
      </c>
      <c r="C10" s="516">
        <f>IFERROR(INDEX('Facility Master'!M:M,MATCH(YBL_TL_SNo,'Facility Master'!A:A,0))/INDEX('Facility Master'!Y:Y,MATCH(YBL_TL_SNo,'Facility Master'!A:A,0)),0)</f>
        <v>6.823404255319149</v>
      </c>
      <c r="D10" s="523">
        <f>IFERROR(INDEX('Facility Master'!M:M,MATCH(Bajaj_TL_SNo,'Facility Master'!A:A,0))/INDEX('Facility Master'!Y:Y,MATCH(Bajaj_TL_SNo,'Facility Master'!A:A,0)),0)</f>
        <v>5.3571428571428568</v>
      </c>
      <c r="E10" s="493"/>
      <c r="F10" s="420"/>
    </row>
    <row r="11" spans="1:26" ht="18" customHeight="1" x14ac:dyDescent="0.3">
      <c r="A11" s="502" t="s">
        <v>428</v>
      </c>
      <c r="B11" s="512">
        <f>IFERROR(INDEX('Facility Master'!T:T,MATCH(RBL_TL_SNo,'Facility Master'!A:A,0)),"")</f>
        <v>9.7500000000000003E-2</v>
      </c>
      <c r="C11" s="519">
        <f>IFERROR(INDEX('Facility Master'!T:T,MATCH(YBL_TL_SNo,'Facility Master'!A:A,0)),"")</f>
        <v>7.6999999999999999E-2</v>
      </c>
      <c r="D11" s="526">
        <f>IFERROR(INDEX('Facility Master'!T:T,MATCH(Bajaj_TL_SNo,'Facility Master'!A:A,0)),"")</f>
        <v>8.6000000000000007E-2</v>
      </c>
      <c r="E11" s="493"/>
      <c r="F11" s="527"/>
    </row>
    <row r="12" spans="1:26" ht="18" customHeight="1" x14ac:dyDescent="0.3">
      <c r="A12" s="63" t="s">
        <v>31</v>
      </c>
      <c r="B12" s="312" t="str">
        <f>IFERROR(INDEX('Facility Master'!R:R,MATCH(RBL_TL_SNo,'Facility Master'!A:A,0)),"")</f>
        <v>1Y MCLR (RBL Bank)</v>
      </c>
      <c r="C12" s="514" t="str">
        <f>IFERROR(INDEX('Facility Master'!R:R,MATCH(YBL_TL_SNo,'Facility Master'!A:A,0)),"")</f>
        <v>3M T-Bill</v>
      </c>
      <c r="D12" s="521" t="str">
        <f>IFERROR(INDEX('Facility Master'!R:R,MATCH(Bajaj_TL_SNo,'Facility Master'!A:A,0)),"")</f>
        <v>Bajaj Floating Reference Rate (BFRR)</v>
      </c>
      <c r="E12" s="493"/>
      <c r="F12" s="420"/>
    </row>
    <row r="13" spans="1:26" ht="18" customHeight="1" x14ac:dyDescent="0.3">
      <c r="A13" s="71" t="s">
        <v>429</v>
      </c>
      <c r="B13" s="308">
        <f>IFERROR(INDEX('Facility Master'!S:S,MATCH(RBL_TL_SNo,'Facility Master'!A:A,0))*10000,0)</f>
        <v>75</v>
      </c>
      <c r="C13" s="518">
        <f>IFERROR(INDEX('Facility Master'!S:S,MATCH(YBL_TL_SNo,'Facility Master'!A:A,0))*10000,0)</f>
        <v>252</v>
      </c>
      <c r="D13" s="525">
        <f>IFERROR(INDEX('Facility Master'!S:S,MATCH(Bajaj_TL_SNo,'Facility Master'!A:A,0))*10000,0)</f>
        <v>10</v>
      </c>
      <c r="E13" s="493"/>
      <c r="F13" s="527"/>
    </row>
    <row r="14" spans="1:26" ht="18" customHeight="1" x14ac:dyDescent="0.3">
      <c r="A14" s="63" t="s">
        <v>58</v>
      </c>
      <c r="B14" s="312" t="str">
        <f>IFERROR(INDEX('Facility Master'!K:K,MATCH(RBL_TL_SNo,'Facility Master'!A:A,0)),"")</f>
        <v>INR</v>
      </c>
      <c r="C14" s="514" t="str">
        <f>IFERROR(INDEX('Facility Master'!K:K,MATCH(YBL_TL_SNo,'Facility Master'!A:A,0)),"")</f>
        <v>INR</v>
      </c>
      <c r="D14" s="521" t="str">
        <f>IFERROR(INDEX('Facility Master'!K:K,MATCH(Bajaj_TL_SNo,'Facility Master'!A:A,0)),"")</f>
        <v>INR</v>
      </c>
      <c r="E14" s="493"/>
      <c r="F14" s="420"/>
    </row>
    <row r="15" spans="1:26" ht="18" customHeight="1" x14ac:dyDescent="0.3">
      <c r="A15" s="71"/>
      <c r="B15" s="308"/>
      <c r="C15" s="518"/>
      <c r="D15" s="525"/>
      <c r="E15" s="493"/>
      <c r="F15" s="527"/>
    </row>
    <row r="16" spans="1:26" ht="22.05" customHeight="1" x14ac:dyDescent="0.3">
      <c r="A16" s="503" t="s">
        <v>430</v>
      </c>
      <c r="B16" s="504"/>
      <c r="C16" s="504"/>
      <c r="D16" s="505"/>
      <c r="E16" s="494"/>
      <c r="F16" s="506">
        <f>IFERROR(SUMIFS('Facility Master'!M:M,'Facility Master'!D:D,"FB-Term",'Facility Master'!J:J,1),0)</f>
        <v>670.7</v>
      </c>
    </row>
    <row r="17" spans="1:6" ht="22.05" customHeight="1" x14ac:dyDescent="0.3">
      <c r="A17" s="507" t="s">
        <v>729</v>
      </c>
      <c r="B17" s="508">
        <f>RBL_TL_PrincOS</f>
        <v>183.33333333333334</v>
      </c>
      <c r="C17" s="508">
        <f>YBL_TL_PrincOS</f>
        <v>286.58297872340427</v>
      </c>
      <c r="D17" s="509">
        <f>Bajaj_TL_PrincOS</f>
        <v>150</v>
      </c>
      <c r="E17" s="495"/>
      <c r="F17" s="510">
        <f>Total_TL_PrincOS</f>
        <v>619.91631205673764</v>
      </c>
    </row>
    <row r="18" spans="1:6" ht="6" customHeight="1" x14ac:dyDescent="0.3">
      <c r="A18" s="107"/>
      <c r="B18" s="86"/>
      <c r="C18" s="86"/>
      <c r="D18" s="418"/>
      <c r="E18" s="493"/>
      <c r="F18" s="424"/>
    </row>
    <row r="19" spans="1:6" ht="48" customHeight="1" x14ac:dyDescent="0.3">
      <c r="A19" s="1344" t="s">
        <v>432</v>
      </c>
      <c r="B19" s="1345"/>
      <c r="C19" s="1345"/>
      <c r="D19" s="1346"/>
      <c r="E19" s="1346"/>
      <c r="F19" s="1347"/>
    </row>
    <row r="20" spans="1:6" ht="6" customHeight="1" x14ac:dyDescent="0.3">
      <c r="A20" s="107"/>
      <c r="B20" s="86"/>
      <c r="C20" s="86"/>
      <c r="D20" s="418"/>
      <c r="E20" s="493"/>
      <c r="F20" s="424"/>
    </row>
    <row r="21" spans="1:6" ht="36" customHeight="1" thickBot="1" x14ac:dyDescent="0.35">
      <c r="A21" s="1339" t="s">
        <v>431</v>
      </c>
      <c r="B21" s="1340"/>
      <c r="C21" s="1340"/>
      <c r="D21" s="1341"/>
      <c r="E21" s="1342"/>
      <c r="F21" s="1343"/>
    </row>
    <row r="22" spans="1:6" x14ac:dyDescent="0.3">
      <c r="E22" s="490"/>
    </row>
    <row r="23" spans="1:6" x14ac:dyDescent="0.3">
      <c r="E23" s="490"/>
    </row>
    <row r="24" spans="1:6" x14ac:dyDescent="0.3">
      <c r="E24" s="490"/>
    </row>
    <row r="25" spans="1:6" x14ac:dyDescent="0.3">
      <c r="E25" s="490"/>
    </row>
  </sheetData>
  <mergeCells count="3">
    <mergeCell ref="A21:F21"/>
    <mergeCell ref="A1:F1"/>
    <mergeCell ref="A19:F19"/>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Z28"/>
  <sheetViews>
    <sheetView showGridLines="0" zoomScaleNormal="100" workbookViewId="0">
      <pane ySplit="3" topLeftCell="A4" activePane="bottomLeft" state="frozen"/>
      <selection pane="bottomLeft" activeCell="D15" sqref="D15"/>
    </sheetView>
  </sheetViews>
  <sheetFormatPr defaultColWidth="8.6640625" defaultRowHeight="14.4" x14ac:dyDescent="0.3"/>
  <cols>
    <col min="1" max="1" width="41.33203125" bestFit="1" customWidth="1"/>
    <col min="2" max="2" width="15.109375" bestFit="1" customWidth="1"/>
    <col min="3" max="3" width="29.6640625" customWidth="1"/>
    <col min="4" max="4" width="12.109375" bestFit="1" customWidth="1"/>
    <col min="5" max="5" width="9.6640625" bestFit="1" customWidth="1"/>
    <col min="6" max="6" width="10" bestFit="1" customWidth="1"/>
    <col min="7" max="7" width="11.21875" bestFit="1" customWidth="1"/>
    <col min="8" max="8" width="6.77734375" bestFit="1" customWidth="1"/>
    <col min="9" max="9" width="12.33203125" bestFit="1" customWidth="1"/>
    <col min="10" max="10" width="19.77734375" bestFit="1" customWidth="1"/>
    <col min="11" max="11" width="11.33203125" bestFit="1" customWidth="1"/>
    <col min="12" max="12" width="6.44140625" bestFit="1" customWidth="1"/>
    <col min="13" max="13" width="16" customWidth="1"/>
    <col min="14" max="14" width="30" customWidth="1"/>
    <col min="15" max="15" width="28" customWidth="1"/>
  </cols>
  <sheetData>
    <row r="1" spans="1:26" ht="30" customHeight="1" x14ac:dyDescent="0.3">
      <c r="A1" s="1353" t="s">
        <v>180</v>
      </c>
      <c r="B1" s="1353"/>
      <c r="C1" s="1353"/>
      <c r="D1" s="1353"/>
      <c r="E1" s="1353"/>
      <c r="F1" s="1353"/>
      <c r="G1" s="1353"/>
      <c r="H1" s="1353"/>
      <c r="I1" s="1353"/>
      <c r="J1" s="1353"/>
      <c r="K1" s="1353"/>
      <c r="L1" s="1353"/>
    </row>
    <row r="2" spans="1:26" ht="6" customHeight="1" thickBot="1" x14ac:dyDescent="0.35">
      <c r="A2" s="2"/>
      <c r="B2" s="2"/>
      <c r="C2" s="2"/>
      <c r="D2" s="2"/>
      <c r="E2" s="2"/>
      <c r="F2" s="2"/>
      <c r="G2" s="2"/>
      <c r="H2" s="2"/>
      <c r="I2" s="2"/>
      <c r="J2" s="2"/>
      <c r="K2" s="2"/>
      <c r="L2" s="2"/>
    </row>
    <row r="3" spans="1:26" ht="24" customHeight="1" x14ac:dyDescent="0.3">
      <c r="A3" s="172" t="s">
        <v>51</v>
      </c>
      <c r="B3" s="173" t="s">
        <v>52</v>
      </c>
      <c r="C3" s="173" t="s">
        <v>53</v>
      </c>
      <c r="D3" s="173" t="s">
        <v>54</v>
      </c>
      <c r="E3" s="173" t="s">
        <v>408</v>
      </c>
      <c r="F3" s="173" t="s">
        <v>341</v>
      </c>
      <c r="G3" s="173" t="s">
        <v>343</v>
      </c>
      <c r="H3" s="173" t="s">
        <v>344</v>
      </c>
      <c r="I3" s="173" t="s">
        <v>414</v>
      </c>
      <c r="J3" s="173" t="s">
        <v>415</v>
      </c>
      <c r="K3" s="173" t="s">
        <v>416</v>
      </c>
      <c r="L3" s="174" t="s">
        <v>339</v>
      </c>
    </row>
    <row r="4" spans="1:26" s="2" customFormat="1" ht="18" customHeight="1" x14ac:dyDescent="0.3">
      <c r="A4" s="175">
        <v>1</v>
      </c>
      <c r="B4" s="176" t="str">
        <f>IFERROR('Facility Master'!B5,"")</f>
        <v>RBL Bank</v>
      </c>
      <c r="C4" s="177" t="str">
        <f>IFERROR('Facility Master'!C5,"")</f>
        <v>Letter of Credit - Main Limit</v>
      </c>
      <c r="D4" s="176" t="str">
        <f>IFERROR('Facility Master'!D5,"")</f>
        <v>NFB</v>
      </c>
      <c r="E4" s="176" t="str">
        <f>IFERROR(IF('Facility Master'!F5,"Sub-limit","Standalone"),"")</f>
        <v>Standalone</v>
      </c>
      <c r="F4" s="124">
        <f>IFERROR('Facility Master'!M5,0)</f>
        <v>100</v>
      </c>
      <c r="G4" s="124">
        <f>IFERROR('Facility Master'!O5,0)</f>
        <v>100</v>
      </c>
      <c r="H4" s="178">
        <f>IFERROR('Facility Master'!P5,0)</f>
        <v>1</v>
      </c>
      <c r="I4" s="179">
        <f>IFERROR('Facility Master'!T5,0)</f>
        <v>0</v>
      </c>
      <c r="J4" s="124">
        <f t="shared" ref="J4:J20" si="0">IFERROR(G4*I4,0)</f>
        <v>0</v>
      </c>
      <c r="K4" s="180">
        <f>IFERROR('Facility Master'!AD5,"")</f>
        <v>46356</v>
      </c>
      <c r="L4" s="181">
        <f>IFERROR('Facility Master'!J5,0)</f>
        <v>2</v>
      </c>
      <c r="M4"/>
      <c r="N4"/>
      <c r="O4"/>
      <c r="P4"/>
      <c r="Q4"/>
      <c r="R4"/>
      <c r="S4"/>
      <c r="T4"/>
      <c r="U4"/>
      <c r="V4"/>
      <c r="W4"/>
      <c r="X4"/>
      <c r="Y4"/>
      <c r="Z4"/>
    </row>
    <row r="5" spans="1:26" ht="18" customHeight="1" x14ac:dyDescent="0.3">
      <c r="A5" s="182">
        <v>2</v>
      </c>
      <c r="B5" s="183" t="str">
        <f>IFERROR('Facility Master'!B6,"")</f>
        <v>RBL Bank</v>
      </c>
      <c r="C5" s="184" t="str">
        <f>IFERROR('Facility Master'!C6,"")</f>
        <v>Bank Guarantee</v>
      </c>
      <c r="D5" s="183" t="str">
        <f>IFERROR('Facility Master'!D6,"")</f>
        <v>NFB</v>
      </c>
      <c r="E5" s="183" t="str">
        <f>IFERROR(IF('Facility Master'!F6,"Sub-limit","Standalone"),"")</f>
        <v>Sub-limit</v>
      </c>
      <c r="F5" s="120">
        <f>IFERROR('Facility Master'!M6,0)</f>
        <v>25</v>
      </c>
      <c r="G5" s="120">
        <f>IFERROR('Facility Master'!O6,0)</f>
        <v>25</v>
      </c>
      <c r="H5" s="185">
        <f>IFERROR('Facility Master'!P6,0)</f>
        <v>1</v>
      </c>
      <c r="I5" s="186">
        <f>IFERROR('Facility Master'!T6,0)</f>
        <v>0</v>
      </c>
      <c r="J5" s="120">
        <f t="shared" si="0"/>
        <v>0</v>
      </c>
      <c r="K5" s="187">
        <f>IFERROR('Facility Master'!AD6,"")</f>
        <v>46356</v>
      </c>
      <c r="L5" s="188">
        <f>IFERROR('Facility Master'!J6,0)</f>
        <v>0</v>
      </c>
    </row>
    <row r="6" spans="1:26" ht="18" customHeight="1" x14ac:dyDescent="0.3">
      <c r="A6" s="175">
        <v>4</v>
      </c>
      <c r="B6" s="176" t="str">
        <f>IFERROR('Facility Master'!B8,"")</f>
        <v>RBL Bank</v>
      </c>
      <c r="C6" s="177" t="str">
        <f>IFERROR('Facility Master'!C8,"")</f>
        <v>SBLC</v>
      </c>
      <c r="D6" s="176" t="str">
        <f>IFERROR('Facility Master'!D8,"")</f>
        <v>NFB</v>
      </c>
      <c r="E6" s="176" t="str">
        <f>IFERROR(IF('Facility Master'!F8,"Sub-limit","Standalone"),"")</f>
        <v>Sub-limit</v>
      </c>
      <c r="F6" s="124">
        <f>IFERROR('Facility Master'!M8,0)</f>
        <v>100</v>
      </c>
      <c r="G6" s="124">
        <f>IFERROR('Facility Master'!O8,0)</f>
        <v>100</v>
      </c>
      <c r="H6" s="178">
        <f>IFERROR('Facility Master'!P8,0)</f>
        <v>1</v>
      </c>
      <c r="I6" s="179">
        <f>IFERROR('Facility Master'!T8,0)</f>
        <v>5.0000000000000001E-3</v>
      </c>
      <c r="J6" s="124">
        <f t="shared" si="0"/>
        <v>0.5</v>
      </c>
      <c r="K6" s="180">
        <f>IFERROR('Facility Master'!AD8,"")</f>
        <v>46356</v>
      </c>
      <c r="L6" s="181">
        <f>IFERROR('Facility Master'!J8,0)</f>
        <v>0</v>
      </c>
    </row>
    <row r="7" spans="1:26" ht="18" customHeight="1" x14ac:dyDescent="0.3">
      <c r="A7" s="182">
        <v>8</v>
      </c>
      <c r="B7" s="183" t="str">
        <f>IFERROR('Facility Master'!B12,"")</f>
        <v>RBL Bank</v>
      </c>
      <c r="C7" s="184" t="str">
        <f>IFERROR('Facility Master'!C12,"")</f>
        <v>Loan Equivalent Risk (LER)</v>
      </c>
      <c r="D7" s="183" t="str">
        <f>IFERROR('Facility Master'!D12,"")</f>
        <v>Hedge</v>
      </c>
      <c r="E7" s="183" t="str">
        <f>IFERROR(IF('Facility Master'!F12,"Sub-limit","Standalone"),"")</f>
        <v>Standalone</v>
      </c>
      <c r="F7" s="120">
        <f>IFERROR('Facility Master'!M12,0)</f>
        <v>20</v>
      </c>
      <c r="G7" s="120">
        <f>IFERROR('Facility Master'!O12,0)</f>
        <v>20</v>
      </c>
      <c r="H7" s="185">
        <f>IFERROR('Facility Master'!P12,0)</f>
        <v>1</v>
      </c>
      <c r="I7" s="186">
        <f>IFERROR('Facility Master'!T12,0)</f>
        <v>0</v>
      </c>
      <c r="J7" s="120">
        <f t="shared" si="0"/>
        <v>0</v>
      </c>
      <c r="K7" s="187">
        <f>IFERROR('Facility Master'!AD12,"")</f>
        <v>46356</v>
      </c>
      <c r="L7" s="188">
        <f>IFERROR('Facility Master'!J12,0)</f>
        <v>3</v>
      </c>
    </row>
    <row r="8" spans="1:26" ht="18" customHeight="1" x14ac:dyDescent="0.3">
      <c r="A8" s="175">
        <v>10</v>
      </c>
      <c r="B8" s="176" t="str">
        <f>IFERROR('Facility Master'!B14,"")</f>
        <v>RBL Bank</v>
      </c>
      <c r="C8" s="177" t="str">
        <f>IFERROR('Facility Master'!C14,"")</f>
        <v>SBLC for Buyer's Credit (GIFT City)</v>
      </c>
      <c r="D8" s="176" t="str">
        <f>IFERROR('Facility Master'!D14,"")</f>
        <v>NFB</v>
      </c>
      <c r="E8" s="176" t="str">
        <f>IFERROR(IF('Facility Master'!F14,"Sub-limit","Standalone"),"")</f>
        <v>Standalone</v>
      </c>
      <c r="F8" s="124">
        <f>IFERROR('Facility Master'!M14,0)</f>
        <v>190</v>
      </c>
      <c r="G8" s="124">
        <f>IFERROR('Facility Master'!O14,0)</f>
        <v>190</v>
      </c>
      <c r="H8" s="178">
        <f>IFERROR('Facility Master'!P14,0)</f>
        <v>1</v>
      </c>
      <c r="I8" s="179">
        <f>IFERROR('Facility Master'!T14,0)</f>
        <v>5.0000000000000001E-3</v>
      </c>
      <c r="J8" s="124">
        <f t="shared" si="0"/>
        <v>0.95000000000000007</v>
      </c>
      <c r="K8" s="180">
        <f>IFERROR('Facility Master'!AD14,"")</f>
        <v>46356</v>
      </c>
      <c r="L8" s="181">
        <f>IFERROR('Facility Master'!J14,0)</f>
        <v>2</v>
      </c>
    </row>
    <row r="9" spans="1:26" ht="18" customHeight="1" x14ac:dyDescent="0.3">
      <c r="A9" s="182">
        <v>11</v>
      </c>
      <c r="B9" s="183" t="str">
        <f>IFERROR('Facility Master'!B15,"")</f>
        <v>RBL Bank</v>
      </c>
      <c r="C9" s="184" t="str">
        <f>IFERROR('Facility Master'!C15,"")</f>
        <v>Capex LC</v>
      </c>
      <c r="D9" s="183" t="str">
        <f>IFERROR('Facility Master'!D15,"")</f>
        <v>NFB</v>
      </c>
      <c r="E9" s="183" t="str">
        <f>IFERROR(IF('Facility Master'!F15,"Sub-limit","Standalone"),"")</f>
        <v>Standalone</v>
      </c>
      <c r="F9" s="120">
        <f>IFERROR('Facility Master'!M15,0)</f>
        <v>25</v>
      </c>
      <c r="G9" s="120">
        <f>IFERROR('Facility Master'!O15,0)</f>
        <v>25</v>
      </c>
      <c r="H9" s="185">
        <f>IFERROR('Facility Master'!P15,0)</f>
        <v>1</v>
      </c>
      <c r="I9" s="186">
        <f>IFERROR('Facility Master'!T15,0)</f>
        <v>5.0000000000000001E-3</v>
      </c>
      <c r="J9" s="120">
        <f t="shared" si="0"/>
        <v>0.125</v>
      </c>
      <c r="K9" s="187">
        <f>IFERROR('Facility Master'!AD15,"")</f>
        <v>46356</v>
      </c>
      <c r="L9" s="188">
        <f>IFERROR('Facility Master'!J15,0)</f>
        <v>2</v>
      </c>
    </row>
    <row r="10" spans="1:26" ht="18" customHeight="1" x14ac:dyDescent="0.3">
      <c r="A10" s="175">
        <v>13</v>
      </c>
      <c r="B10" s="176" t="str">
        <f>IFERROR('Facility Master'!B17,"")</f>
        <v>RBL Bank</v>
      </c>
      <c r="C10" s="177" t="str">
        <f>IFERROR('Facility Master'!C17,"")</f>
        <v>LC backed by 100% FD</v>
      </c>
      <c r="D10" s="176" t="str">
        <f>IFERROR('Facility Master'!D17,"")</f>
        <v>NFB-FDbacked</v>
      </c>
      <c r="E10" s="176" t="str">
        <f>IFERROR(IF('Facility Master'!F17,"Sub-limit","Standalone"),"")</f>
        <v>Sub-limit</v>
      </c>
      <c r="F10" s="124">
        <f>IFERROR('Facility Master'!M17,0)</f>
        <v>50</v>
      </c>
      <c r="G10" s="124">
        <f>IFERROR('Facility Master'!O17,0)</f>
        <v>50</v>
      </c>
      <c r="H10" s="178">
        <f>IFERROR('Facility Master'!P17,0)</f>
        <v>1</v>
      </c>
      <c r="I10" s="179">
        <f>IFERROR('Facility Master'!T17,0)</f>
        <v>0</v>
      </c>
      <c r="J10" s="124">
        <f t="shared" si="0"/>
        <v>0</v>
      </c>
      <c r="K10" s="180">
        <f>IFERROR('Facility Master'!AD17,"")</f>
        <v>46356</v>
      </c>
      <c r="L10" s="181">
        <f>IFERROR('Facility Master'!J17,0)</f>
        <v>0</v>
      </c>
    </row>
    <row r="11" spans="1:26" ht="18" customHeight="1" x14ac:dyDescent="0.3">
      <c r="A11" s="182">
        <v>18</v>
      </c>
      <c r="B11" s="183" t="str">
        <f>IFERROR('Facility Master'!B22,"")</f>
        <v>YES Bank</v>
      </c>
      <c r="C11" s="184" t="str">
        <f>IFERROR('Facility Master'!C22,"")</f>
        <v>Letter of Credit</v>
      </c>
      <c r="D11" s="183" t="str">
        <f>IFERROR('Facility Master'!D22,"")</f>
        <v>NFB</v>
      </c>
      <c r="E11" s="183" t="str">
        <f>IFERROR(IF('Facility Master'!F22,"Sub-limit","Standalone"),"")</f>
        <v>Standalone</v>
      </c>
      <c r="F11" s="120">
        <f>IFERROR('Facility Master'!M22,0)</f>
        <v>200</v>
      </c>
      <c r="G11" s="120">
        <f>IFERROR('Facility Master'!O22,0)</f>
        <v>200</v>
      </c>
      <c r="H11" s="185">
        <f>IFERROR('Facility Master'!P22,0)</f>
        <v>1</v>
      </c>
      <c r="I11" s="186">
        <f>IFERROR('Facility Master'!T22,0)</f>
        <v>0</v>
      </c>
      <c r="J11" s="120">
        <f t="shared" si="0"/>
        <v>0</v>
      </c>
      <c r="K11" s="187">
        <f>IFERROR('Facility Master'!AD22,"")</f>
        <v>46472</v>
      </c>
      <c r="L11" s="188">
        <f>IFERROR('Facility Master'!J22,0)</f>
        <v>2</v>
      </c>
    </row>
    <row r="12" spans="1:26" ht="18" customHeight="1" x14ac:dyDescent="0.3">
      <c r="A12" s="175">
        <v>19</v>
      </c>
      <c r="B12" s="176" t="str">
        <f>IFERROR('Facility Master'!B23,"")</f>
        <v>YES Bank</v>
      </c>
      <c r="C12" s="177" t="str">
        <f>IFERROR('Facility Master'!C23,"")</f>
        <v>Financial BG / SBLC</v>
      </c>
      <c r="D12" s="176" t="str">
        <f>IFERROR('Facility Master'!D23,"")</f>
        <v>NFB</v>
      </c>
      <c r="E12" s="176" t="str">
        <f>IFERROR(IF('Facility Master'!F23,"Sub-limit","Standalone"),"")</f>
        <v>Sub-limit</v>
      </c>
      <c r="F12" s="124">
        <f>IFERROR('Facility Master'!M23,0)</f>
        <v>200</v>
      </c>
      <c r="G12" s="124">
        <f>IFERROR('Facility Master'!O23,0)</f>
        <v>200</v>
      </c>
      <c r="H12" s="178">
        <f>IFERROR('Facility Master'!P23,0)</f>
        <v>1</v>
      </c>
      <c r="I12" s="179">
        <f>IFERROR('Facility Master'!T23,0)</f>
        <v>5.0000000000000001E-3</v>
      </c>
      <c r="J12" s="124">
        <f t="shared" si="0"/>
        <v>1</v>
      </c>
      <c r="K12" s="180">
        <f>IFERROR('Facility Master'!AD23,"")</f>
        <v>46490</v>
      </c>
      <c r="L12" s="181">
        <f>IFERROR('Facility Master'!J23,0)</f>
        <v>0</v>
      </c>
    </row>
    <row r="13" spans="1:26" ht="18" customHeight="1" x14ac:dyDescent="0.3">
      <c r="A13" s="182">
        <v>25</v>
      </c>
      <c r="B13" s="183" t="str">
        <f>IFERROR('Facility Master'!B29,"")</f>
        <v>ICICI Bank</v>
      </c>
      <c r="C13" s="184" t="str">
        <f>IFERROR('Facility Master'!C29,"")</f>
        <v>Letter of Credit (Inland/Foreign)</v>
      </c>
      <c r="D13" s="183" t="str">
        <f>IFERROR('Facility Master'!D29,"")</f>
        <v>NFB</v>
      </c>
      <c r="E13" s="183" t="str">
        <f>IFERROR(IF('Facility Master'!F29,"Sub-limit","Standalone"),"")</f>
        <v>Standalone</v>
      </c>
      <c r="F13" s="120">
        <f>IFERROR('Facility Master'!M29,0)</f>
        <v>150</v>
      </c>
      <c r="G13" s="120">
        <f>IFERROR('Facility Master'!O29,0)</f>
        <v>150</v>
      </c>
      <c r="H13" s="185">
        <f>IFERROR('Facility Master'!P29,0)</f>
        <v>1</v>
      </c>
      <c r="I13" s="186">
        <f>IFERROR('Facility Master'!T29,0)</f>
        <v>5.0000000000000001E-3</v>
      </c>
      <c r="J13" s="120">
        <f t="shared" si="0"/>
        <v>0.75</v>
      </c>
      <c r="K13" s="187">
        <f>IFERROR('Facility Master'!AD29,"")</f>
        <v>46268</v>
      </c>
      <c r="L13" s="188">
        <f>IFERROR('Facility Master'!J29,0)</f>
        <v>2</v>
      </c>
    </row>
    <row r="14" spans="1:26" ht="18" customHeight="1" x14ac:dyDescent="0.3">
      <c r="A14" s="175">
        <v>26</v>
      </c>
      <c r="B14" s="176" t="str">
        <f>IFERROR('Facility Master'!B30,"")</f>
        <v>ICICI Bank</v>
      </c>
      <c r="C14" s="177" t="str">
        <f>IFERROR('Facility Master'!C30,"")</f>
        <v>SBLC for Buyers' Credit</v>
      </c>
      <c r="D14" s="176" t="str">
        <f>IFERROR('Facility Master'!D30,"")</f>
        <v>NFB</v>
      </c>
      <c r="E14" s="176" t="str">
        <f>IFERROR(IF('Facility Master'!F30,"Sub-limit","Standalone"),"")</f>
        <v>Sub-limit</v>
      </c>
      <c r="F14" s="124">
        <f>IFERROR('Facility Master'!M30,0)</f>
        <v>150</v>
      </c>
      <c r="G14" s="124">
        <f>IFERROR('Facility Master'!O30,0)</f>
        <v>150</v>
      </c>
      <c r="H14" s="178">
        <f>IFERROR('Facility Master'!P30,0)</f>
        <v>1</v>
      </c>
      <c r="I14" s="179">
        <f>IFERROR('Facility Master'!T30,0)</f>
        <v>5.0000000000000001E-3</v>
      </c>
      <c r="J14" s="124">
        <f t="shared" si="0"/>
        <v>0.75</v>
      </c>
      <c r="K14" s="180">
        <f>IFERROR('Facility Master'!AD30,"")</f>
        <v>46268</v>
      </c>
      <c r="L14" s="181">
        <f>IFERROR('Facility Master'!J30,0)</f>
        <v>0</v>
      </c>
    </row>
    <row r="15" spans="1:26" ht="18" customHeight="1" x14ac:dyDescent="0.3">
      <c r="A15" s="182">
        <v>27</v>
      </c>
      <c r="B15" s="183" t="str">
        <f>IFERROR('Facility Master'!B31,"")</f>
        <v>ICICI Bank</v>
      </c>
      <c r="C15" s="184" t="str">
        <f>IFERROR('Facility Master'!C31,"")</f>
        <v>Bank Guarantee - Performance</v>
      </c>
      <c r="D15" s="183" t="str">
        <f>IFERROR('Facility Master'!D31,"")</f>
        <v>NFB</v>
      </c>
      <c r="E15" s="183" t="str">
        <f>IFERROR(IF('Facility Master'!F31,"Sub-limit","Standalone"),"")</f>
        <v>Sub-limit</v>
      </c>
      <c r="F15" s="120">
        <f>IFERROR('Facility Master'!M31,0)</f>
        <v>25</v>
      </c>
      <c r="G15" s="120">
        <f>IFERROR('Facility Master'!O31,0)</f>
        <v>25</v>
      </c>
      <c r="H15" s="185">
        <f>IFERROR('Facility Master'!P31,0)</f>
        <v>1</v>
      </c>
      <c r="I15" s="186">
        <f>IFERROR('Facility Master'!T31,0)</f>
        <v>5.0000000000000001E-3</v>
      </c>
      <c r="J15" s="120">
        <f t="shared" si="0"/>
        <v>0.125</v>
      </c>
      <c r="K15" s="187">
        <f>IFERROR('Facility Master'!AD31,"")</f>
        <v>46268</v>
      </c>
      <c r="L15" s="188">
        <f>IFERROR('Facility Master'!J31,0)</f>
        <v>0</v>
      </c>
    </row>
    <row r="16" spans="1:26" ht="18" customHeight="1" x14ac:dyDescent="0.3">
      <c r="A16" s="175">
        <v>28</v>
      </c>
      <c r="B16" s="176" t="str">
        <f>IFERROR('Facility Master'!B32,"")</f>
        <v>ICICI Bank</v>
      </c>
      <c r="C16" s="177" t="str">
        <f>IFERROR('Facility Master'!C32,"")</f>
        <v>Bank Guarantee - Financial</v>
      </c>
      <c r="D16" s="176" t="str">
        <f>IFERROR('Facility Master'!D32,"")</f>
        <v>NFB</v>
      </c>
      <c r="E16" s="176" t="str">
        <f>IFERROR(IF('Facility Master'!F32,"Sub-limit","Standalone"),"")</f>
        <v>Sub-limit</v>
      </c>
      <c r="F16" s="124">
        <f>IFERROR('Facility Master'!M32,0)</f>
        <v>5</v>
      </c>
      <c r="G16" s="124">
        <f>IFERROR('Facility Master'!O32,0)</f>
        <v>5</v>
      </c>
      <c r="H16" s="178">
        <f>IFERROR('Facility Master'!P32,0)</f>
        <v>1</v>
      </c>
      <c r="I16" s="179">
        <f>IFERROR('Facility Master'!T32,0)</f>
        <v>6.0000000000000001E-3</v>
      </c>
      <c r="J16" s="124">
        <f t="shared" si="0"/>
        <v>0.03</v>
      </c>
      <c r="K16" s="180">
        <f>IFERROR('Facility Master'!AD32,"")</f>
        <v>46268</v>
      </c>
      <c r="L16" s="181">
        <f>IFERROR('Facility Master'!J32,0)</f>
        <v>0</v>
      </c>
    </row>
    <row r="17" spans="1:12" ht="18" customHeight="1" x14ac:dyDescent="0.3">
      <c r="A17" s="182">
        <v>31</v>
      </c>
      <c r="B17" s="183" t="str">
        <f>IFERROR('Facility Master'!B35,"")</f>
        <v>South Indian Bank</v>
      </c>
      <c r="C17" s="184" t="str">
        <f>IFERROR('Facility Master'!C35,"")</f>
        <v>Inland / Import LC</v>
      </c>
      <c r="D17" s="183" t="str">
        <f>IFERROR('Facility Master'!D35,"")</f>
        <v>NFB</v>
      </c>
      <c r="E17" s="183" t="str">
        <f>IFERROR(IF('Facility Master'!F35,"Sub-limit","Standalone"),"")</f>
        <v>Standalone</v>
      </c>
      <c r="F17" s="120">
        <f>IFERROR('Facility Master'!M35,0)</f>
        <v>150</v>
      </c>
      <c r="G17" s="120">
        <f>IFERROR('Facility Master'!O35,0)</f>
        <v>150</v>
      </c>
      <c r="H17" s="185">
        <f>IFERROR('Facility Master'!P35,0)</f>
        <v>1</v>
      </c>
      <c r="I17" s="186">
        <f>IFERROR('Facility Master'!T35,0)</f>
        <v>6.4999999999999997E-3</v>
      </c>
      <c r="J17" s="120">
        <f t="shared" si="0"/>
        <v>0.97499999999999998</v>
      </c>
      <c r="K17" s="187">
        <f>IFERROR('Facility Master'!AD35,"")</f>
        <v>46194</v>
      </c>
      <c r="L17" s="188">
        <f>IFERROR('Facility Master'!J35,0)</f>
        <v>2</v>
      </c>
    </row>
    <row r="18" spans="1:12" ht="18" customHeight="1" x14ac:dyDescent="0.3">
      <c r="A18" s="175">
        <v>32</v>
      </c>
      <c r="B18" s="176" t="str">
        <f>IFERROR('Facility Master'!B36,"")</f>
        <v>South Indian Bank</v>
      </c>
      <c r="C18" s="177" t="str">
        <f>IFERROR('Facility Master'!C36,"")</f>
        <v>Capex LC</v>
      </c>
      <c r="D18" s="176" t="str">
        <f>IFERROR('Facility Master'!D36,"")</f>
        <v>NFB</v>
      </c>
      <c r="E18" s="176" t="str">
        <f>IFERROR(IF('Facility Master'!F36,"Sub-limit","Standalone"),"")</f>
        <v>Standalone</v>
      </c>
      <c r="F18" s="124">
        <f>IFERROR('Facility Master'!M36,0)</f>
        <v>50</v>
      </c>
      <c r="G18" s="124">
        <f>IFERROR('Facility Master'!O36,0)</f>
        <v>50</v>
      </c>
      <c r="H18" s="178">
        <f>IFERROR('Facility Master'!P36,0)</f>
        <v>1</v>
      </c>
      <c r="I18" s="179">
        <f>IFERROR('Facility Master'!T36,0)</f>
        <v>7.4999999999999997E-3</v>
      </c>
      <c r="J18" s="124">
        <f t="shared" si="0"/>
        <v>0.375</v>
      </c>
      <c r="K18" s="180">
        <f>IFERROR('Facility Master'!AD36,"")</f>
        <v>46194</v>
      </c>
      <c r="L18" s="181">
        <f>IFERROR('Facility Master'!J36,0)</f>
        <v>2</v>
      </c>
    </row>
    <row r="19" spans="1:12" ht="18" customHeight="1" x14ac:dyDescent="0.3">
      <c r="A19" s="182">
        <v>33</v>
      </c>
      <c r="B19" s="183" t="str">
        <f>IFERROR('Facility Master'!B37,"")</f>
        <v>South Indian Bank</v>
      </c>
      <c r="C19" s="184" t="str">
        <f>IFERROR('Facility Master'!C37,"")</f>
        <v>SBLC</v>
      </c>
      <c r="D19" s="183" t="str">
        <f>IFERROR('Facility Master'!D37,"")</f>
        <v>NFB</v>
      </c>
      <c r="E19" s="183" t="str">
        <f>IFERROR(IF('Facility Master'!F37,"Sub-limit","Standalone"),"")</f>
        <v>Sub-limit</v>
      </c>
      <c r="F19" s="120">
        <f>IFERROR('Facility Master'!M37,0)</f>
        <v>150</v>
      </c>
      <c r="G19" s="120">
        <f>IFERROR('Facility Master'!O37,0)</f>
        <v>150</v>
      </c>
      <c r="H19" s="185">
        <f>IFERROR('Facility Master'!P37,0)</f>
        <v>1</v>
      </c>
      <c r="I19" s="186">
        <f>IFERROR('Facility Master'!T37,0)</f>
        <v>6.4999999999999997E-3</v>
      </c>
      <c r="J19" s="120">
        <f t="shared" si="0"/>
        <v>0.97499999999999998</v>
      </c>
      <c r="K19" s="187">
        <f>IFERROR('Facility Master'!AD37,"")</f>
        <v>46194</v>
      </c>
      <c r="L19" s="188">
        <f>IFERROR('Facility Master'!J37,0)</f>
        <v>0</v>
      </c>
    </row>
    <row r="20" spans="1:12" ht="18" customHeight="1" x14ac:dyDescent="0.3">
      <c r="A20" s="175">
        <v>34</v>
      </c>
      <c r="B20" s="176" t="str">
        <f>IFERROR('Facility Master'!B38,"")</f>
        <v>South Indian Bank</v>
      </c>
      <c r="C20" s="177" t="str">
        <f>IFERROR('Facility Master'!C38,"")</f>
        <v>Forward Contract Limit</v>
      </c>
      <c r="D20" s="176" t="str">
        <f>IFERROR('Facility Master'!D38,"")</f>
        <v>Hedge</v>
      </c>
      <c r="E20" s="176" t="str">
        <f>IFERROR(IF('Facility Master'!F38,"Sub-limit","Standalone"),"")</f>
        <v>Standalone</v>
      </c>
      <c r="F20" s="124">
        <f>IFERROR('Facility Master'!M38,0)</f>
        <v>3</v>
      </c>
      <c r="G20" s="124">
        <f>IFERROR('Facility Master'!O38,0)</f>
        <v>3</v>
      </c>
      <c r="H20" s="178">
        <f>IFERROR('Facility Master'!P38,0)</f>
        <v>1</v>
      </c>
      <c r="I20" s="179">
        <f>IFERROR('Facility Master'!T38,0)</f>
        <v>0</v>
      </c>
      <c r="J20" s="124">
        <f t="shared" si="0"/>
        <v>0</v>
      </c>
      <c r="K20" s="180">
        <f>IFERROR('Facility Master'!AD38,"")</f>
        <v>46194</v>
      </c>
      <c r="L20" s="181">
        <f>IFERROR('Facility Master'!J38,0)</f>
        <v>3</v>
      </c>
    </row>
    <row r="21" spans="1:12" ht="18" customHeight="1" x14ac:dyDescent="0.3">
      <c r="A21" s="182"/>
      <c r="B21" s="183"/>
      <c r="C21" s="184"/>
      <c r="D21" s="183"/>
      <c r="E21" s="183"/>
      <c r="F21" s="121"/>
      <c r="G21" s="121"/>
      <c r="H21" s="121"/>
      <c r="I21" s="121"/>
      <c r="J21" s="121"/>
      <c r="K21" s="183"/>
      <c r="L21" s="188"/>
    </row>
    <row r="22" spans="1:12" ht="18" customHeight="1" x14ac:dyDescent="0.3">
      <c r="A22" s="1354" t="s">
        <v>417</v>
      </c>
      <c r="B22" s="1355"/>
      <c r="C22" s="1356"/>
      <c r="D22" s="1355"/>
      <c r="E22" s="1355"/>
      <c r="F22" s="1357"/>
      <c r="G22" s="1357"/>
      <c r="H22" s="1357"/>
      <c r="I22" s="1357"/>
      <c r="J22" s="1357"/>
      <c r="K22" s="1355"/>
      <c r="L22" s="1358"/>
    </row>
    <row r="23" spans="1:12" ht="18" customHeight="1" x14ac:dyDescent="0.3">
      <c r="A23" s="182" t="s">
        <v>418</v>
      </c>
      <c r="B23" s="183"/>
      <c r="C23" s="184"/>
      <c r="D23" s="183"/>
      <c r="E23" s="183"/>
      <c r="F23" s="120" cm="1">
        <f t="array" ref="F23">IFERROR(SUMPRODUCT((('Facility Master'!D5:D38="NFB")+('Facility Master'!D5:D38="NFB-FDbacked")+('Facility Master'!D5:D38="Hedge"))*'Facility Master'!M5:M38),0)</f>
        <v>1593</v>
      </c>
      <c r="G23" s="121"/>
      <c r="H23" s="121"/>
      <c r="I23" s="121"/>
      <c r="J23" s="121"/>
      <c r="K23" s="183"/>
      <c r="L23" s="188"/>
    </row>
    <row r="24" spans="1:12" ht="18" customHeight="1" x14ac:dyDescent="0.3">
      <c r="A24" s="175" t="s">
        <v>419</v>
      </c>
      <c r="B24" s="176"/>
      <c r="C24" s="177"/>
      <c r="D24" s="176"/>
      <c r="E24" s="176"/>
      <c r="F24" s="124">
        <f>Bucket2_NFBTotal</f>
        <v>865</v>
      </c>
      <c r="G24" s="125"/>
      <c r="H24" s="125"/>
      <c r="I24" s="125"/>
      <c r="J24" s="125"/>
      <c r="K24" s="176"/>
      <c r="L24" s="181"/>
    </row>
    <row r="25" spans="1:12" ht="18" customHeight="1" x14ac:dyDescent="0.3">
      <c r="A25" s="182" t="s">
        <v>420</v>
      </c>
      <c r="B25" s="183"/>
      <c r="C25" s="184"/>
      <c r="D25" s="183"/>
      <c r="E25" s="183"/>
      <c r="F25" s="120">
        <f>IFERROR(SUMIFS('Facility Master'!M:M,'Facility Master'!D:D,"Hedge",'Facility Master'!J:J,3),0)</f>
        <v>23</v>
      </c>
      <c r="G25" s="121"/>
      <c r="H25" s="121"/>
      <c r="I25" s="121"/>
      <c r="J25" s="121"/>
      <c r="K25" s="183"/>
      <c r="L25" s="188"/>
    </row>
    <row r="26" spans="1:12" ht="18" customHeight="1" x14ac:dyDescent="0.3">
      <c r="A26" s="175" t="s">
        <v>421</v>
      </c>
      <c r="B26" s="176"/>
      <c r="C26" s="177"/>
      <c r="D26" s="176"/>
      <c r="E26" s="176"/>
      <c r="F26" s="124" cm="1">
        <f t="array" ref="F26">IFERROR(SUMPRODUCT(('Facility Master'!J5:J38=2)*'Facility Master'!O5:O38*'Facility Master'!T5:T38),0)</f>
        <v>3.1750000000000003</v>
      </c>
      <c r="G26" s="125"/>
      <c r="H26" s="125"/>
      <c r="I26" s="125"/>
      <c r="J26" s="125"/>
      <c r="K26" s="176"/>
      <c r="L26" s="181"/>
    </row>
    <row r="27" spans="1:12" ht="18" customHeight="1" x14ac:dyDescent="0.3">
      <c r="A27" s="182"/>
      <c r="B27" s="183"/>
      <c r="C27" s="184"/>
      <c r="D27" s="183"/>
      <c r="E27" s="183"/>
      <c r="F27" s="121"/>
      <c r="G27" s="121"/>
      <c r="H27" s="121"/>
      <c r="I27" s="121"/>
      <c r="J27" s="121"/>
      <c r="K27" s="183"/>
      <c r="L27" s="188"/>
    </row>
    <row r="28" spans="1:12" ht="19.95" customHeight="1" thickBot="1" x14ac:dyDescent="0.35">
      <c r="A28" s="1348" t="s">
        <v>422</v>
      </c>
      <c r="B28" s="1349"/>
      <c r="C28" s="1350"/>
      <c r="D28" s="1349"/>
      <c r="E28" s="1349"/>
      <c r="F28" s="1351"/>
      <c r="G28" s="1351"/>
      <c r="H28" s="1351"/>
      <c r="I28" s="1351"/>
      <c r="J28" s="1351"/>
      <c r="K28" s="1349"/>
      <c r="L28" s="1352"/>
    </row>
  </sheetData>
  <mergeCells count="3">
    <mergeCell ref="A28:L28"/>
    <mergeCell ref="A1:L1"/>
    <mergeCell ref="A22:L22"/>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Z246"/>
  <sheetViews>
    <sheetView showGridLines="0" zoomScaleNormal="100" workbookViewId="0">
      <pane ySplit="4" topLeftCell="A5" activePane="bottomLeft" state="frozen"/>
      <selection activeCell="D1" sqref="D1"/>
      <selection pane="bottomLeft" activeCell="O7" sqref="O7"/>
    </sheetView>
  </sheetViews>
  <sheetFormatPr defaultColWidth="8.6640625" defaultRowHeight="14.4" x14ac:dyDescent="0.3"/>
  <cols>
    <col min="1" max="1" width="12.109375" bestFit="1" customWidth="1"/>
    <col min="2" max="2" width="13.33203125" customWidth="1"/>
    <col min="3" max="3" width="11.109375" customWidth="1"/>
    <col min="4" max="5" width="12" customWidth="1"/>
    <col min="6" max="7" width="11.109375" customWidth="1"/>
    <col min="8" max="10" width="12" customWidth="1"/>
    <col min="11" max="12" width="11.109375" customWidth="1"/>
    <col min="13" max="15" width="12" customWidth="1"/>
    <col min="16" max="17" width="11.109375" customWidth="1"/>
    <col min="18" max="19" width="12" customWidth="1"/>
    <col min="20" max="20" width="11.109375" customWidth="1"/>
    <col min="21" max="21" width="12" customWidth="1"/>
    <col min="22" max="22" width="13.88671875" customWidth="1"/>
  </cols>
  <sheetData>
    <row r="1" spans="1:26" ht="24" customHeight="1" x14ac:dyDescent="0.3">
      <c r="A1" s="1363" t="s">
        <v>433</v>
      </c>
      <c r="B1" s="1363"/>
      <c r="C1" s="1363"/>
      <c r="D1" s="1363"/>
      <c r="E1" s="1363"/>
      <c r="F1" s="1363"/>
      <c r="G1" s="1363"/>
      <c r="H1" s="1363"/>
      <c r="I1" s="1363"/>
      <c r="J1" s="1363"/>
      <c r="K1" s="1363"/>
      <c r="L1" s="1363"/>
      <c r="M1" s="1363"/>
      <c r="N1" s="1363"/>
      <c r="O1" s="1363"/>
      <c r="P1" s="1363"/>
      <c r="Q1" s="1363"/>
      <c r="R1" s="1363"/>
      <c r="S1" s="44"/>
      <c r="T1" s="44"/>
      <c r="U1" s="44"/>
      <c r="V1" s="44"/>
    </row>
    <row r="2" spans="1:26" ht="6" customHeight="1" thickBot="1" x14ac:dyDescent="0.35">
      <c r="A2" s="2"/>
      <c r="B2" s="2"/>
      <c r="C2" s="2"/>
      <c r="D2" s="2"/>
      <c r="E2" s="2"/>
      <c r="F2" s="2"/>
      <c r="G2" s="2"/>
      <c r="H2" s="2"/>
      <c r="I2" s="2"/>
      <c r="J2" s="2"/>
      <c r="K2" s="2"/>
      <c r="L2" s="2"/>
      <c r="M2" s="2"/>
      <c r="N2" s="2"/>
      <c r="O2" s="2"/>
      <c r="P2" s="2"/>
      <c r="Q2" s="2"/>
      <c r="R2" s="2"/>
      <c r="S2" s="2"/>
      <c r="T2" s="2"/>
      <c r="U2" s="2"/>
      <c r="V2" s="2"/>
    </row>
    <row r="3" spans="1:26" ht="28.05" customHeight="1" thickBot="1" x14ac:dyDescent="0.35">
      <c r="A3" s="1364" t="s">
        <v>434</v>
      </c>
      <c r="B3" s="1365"/>
      <c r="C3" s="1365"/>
      <c r="D3" s="1366" t="s">
        <v>435</v>
      </c>
      <c r="E3" s="1366"/>
      <c r="F3" s="1366"/>
      <c r="G3" s="1366"/>
      <c r="H3" s="1366"/>
      <c r="I3" s="1367" t="s">
        <v>436</v>
      </c>
      <c r="J3" s="1367"/>
      <c r="K3" s="1367"/>
      <c r="L3" s="1367"/>
      <c r="M3" s="1367"/>
      <c r="N3" s="1368" t="s">
        <v>437</v>
      </c>
      <c r="O3" s="1368"/>
      <c r="P3" s="1368"/>
      <c r="Q3" s="1368"/>
      <c r="R3" s="1368"/>
      <c r="S3" s="1360" t="s">
        <v>438</v>
      </c>
      <c r="T3" s="1360"/>
      <c r="U3" s="1360"/>
      <c r="V3" s="1361"/>
    </row>
    <row r="4" spans="1:26" s="2" customFormat="1" ht="28.05" customHeight="1" x14ac:dyDescent="0.3">
      <c r="A4" s="192" t="s">
        <v>173</v>
      </c>
      <c r="B4" s="193" t="s">
        <v>182</v>
      </c>
      <c r="C4" s="193" t="s">
        <v>439</v>
      </c>
      <c r="D4" s="193" t="s">
        <v>440</v>
      </c>
      <c r="E4" s="193" t="s">
        <v>181</v>
      </c>
      <c r="F4" s="193" t="s">
        <v>441</v>
      </c>
      <c r="G4" s="193" t="s">
        <v>270</v>
      </c>
      <c r="H4" s="194" t="s">
        <v>442</v>
      </c>
      <c r="I4" s="193" t="s">
        <v>440</v>
      </c>
      <c r="J4" s="193" t="s">
        <v>181</v>
      </c>
      <c r="K4" s="193" t="s">
        <v>441</v>
      </c>
      <c r="L4" s="193" t="s">
        <v>270</v>
      </c>
      <c r="M4" s="195" t="s">
        <v>442</v>
      </c>
      <c r="N4" s="193" t="s">
        <v>440</v>
      </c>
      <c r="O4" s="193" t="s">
        <v>181</v>
      </c>
      <c r="P4" s="193" t="s">
        <v>441</v>
      </c>
      <c r="Q4" s="193" t="s">
        <v>270</v>
      </c>
      <c r="R4" s="196" t="s">
        <v>442</v>
      </c>
      <c r="S4" s="193" t="s">
        <v>443</v>
      </c>
      <c r="T4" s="193" t="s">
        <v>444</v>
      </c>
      <c r="U4" s="193" t="s">
        <v>445</v>
      </c>
      <c r="V4" s="197" t="s">
        <v>446</v>
      </c>
      <c r="W4"/>
      <c r="X4"/>
      <c r="Y4"/>
      <c r="Z4"/>
    </row>
    <row r="5" spans="1:26" ht="16.95" customHeight="1" x14ac:dyDescent="0.3">
      <c r="A5" s="429">
        <v>1</v>
      </c>
      <c r="B5" s="430">
        <v>45382</v>
      </c>
      <c r="C5" s="431" t="s">
        <v>183</v>
      </c>
      <c r="D5" s="432">
        <f>0</f>
        <v>0</v>
      </c>
      <c r="E5" s="432">
        <f>IFERROR(IF(INDEX('Facility Master'!Z:Z,MATCH(RBL_TL_SNo,'Facility Master'!A:A,0))&lt;=B5,INDEX('Facility Master'!M:M,MATCH(RBL_TL_SNo,'Facility Master'!A:A,0)),0),0)</f>
        <v>200</v>
      </c>
      <c r="F5" s="432">
        <f>IFERROR(IF(AND(B5&gt;=INDEX('Facility Master'!AA:AA,MATCH(RBL_TL_SNo,'Facility Master'!A:A,0)),B5&lt;=INDEX('Facility Master'!AB:AB,MATCH(RBL_TL_SNo,'Facility Master'!A:A,0))),MIN(IFERROR(INDEX('Facility Master'!M:M,MATCH(RBL_TL_SNo,'Facility Master'!A:A,0))/INDEX('Facility Master'!Y:Y,MATCH(RBL_TL_SNo,'Facility Master'!A:A,0)),0),D5+E5),0),0)</f>
        <v>0</v>
      </c>
      <c r="G5" s="432">
        <f>IFERROR((D5+E5-F5/2)*INDEX('Facility Master'!T:T,MATCH(RBL_TL_SNo,'Facility Master'!A:A,0))*IF(B5&lt;INDEX('Facility Master'!Z:Z,MATCH(RBL_TL_SNo,'Facility Master'!A:A,0)),0,IF(D5=0,MAX(0,B5-INDEX('Facility Master'!Z:Z,MATCH(RBL_TL_SNo,'Facility Master'!A:A,0))),B5-B4))/DaysInYear,0)</f>
        <v>3.5794520547945203</v>
      </c>
      <c r="H5" s="432">
        <f>IFERROR(ROUND(MAX(D5+E5-F5,0),4),0)</f>
        <v>200</v>
      </c>
      <c r="I5" s="433">
        <f>0</f>
        <v>0</v>
      </c>
      <c r="J5" s="433">
        <f>IFERROR(IF(INDEX('Facility Master'!Z:Z,MATCH(YBL_TL_SNo,'Facility Master'!A:A,0))&lt;=B5,INDEX('Facility Master'!M:M,MATCH(YBL_TL_SNo,'Facility Master'!A:A,0)),0),0)</f>
        <v>0</v>
      </c>
      <c r="K5" s="433">
        <f>IFERROR(IF(AND(B5&gt;=INDEX('Facility Master'!AA:AA,MATCH(YBL_TL_SNo,'Facility Master'!A:A,0)),B5&lt;=INDEX('Facility Master'!AB:AB,MATCH(YBL_TL_SNo,'Facility Master'!A:A,0))),MIN(IFERROR(INDEX('Facility Master'!M:M,MATCH(YBL_TL_SNo,'Facility Master'!A:A,0))/INDEX('Facility Master'!Y:Y,MATCH(YBL_TL_SNo,'Facility Master'!A:A,0)),0),I5+J5),0),0)</f>
        <v>0</v>
      </c>
      <c r="L5" s="433">
        <f>IFERROR((I5+J5-K5/2)*INDEX('Facility Master'!T:T,MATCH(YBL_TL_SNo,'Facility Master'!A:A,0))*IF(B5&lt;INDEX('Facility Master'!Z:Z,MATCH(YBL_TL_SNo,'Facility Master'!A:A,0)),0,IF(I5=0,MAX(0,B5-INDEX('Facility Master'!Z:Z,MATCH(YBL_TL_SNo,'Facility Master'!A:A,0))),B5-B4))/DaysInYear,0)</f>
        <v>0</v>
      </c>
      <c r="M5" s="433">
        <f>IFERROR(ROUND(MAX(I5+J5-K5,0),4),0)</f>
        <v>0</v>
      </c>
      <c r="N5" s="434">
        <f>0</f>
        <v>0</v>
      </c>
      <c r="O5" s="434">
        <f>IFERROR(IF(INDEX('Facility Master'!Z:Z,MATCH(Bajaj_TL_SNo,'Facility Master'!A:A,0))&lt;=B5,INDEX('Facility Master'!M:M,MATCH(Bajaj_TL_SNo,'Facility Master'!A:A,0)),0),0)</f>
        <v>0</v>
      </c>
      <c r="P5" s="434">
        <f>IFERROR(IF(AND(B5&gt;=INDEX('Facility Master'!AA:AA,MATCH(Bajaj_TL_SNo,'Facility Master'!A:A,0)),B5&lt;=INDEX('Facility Master'!AB:AB,MATCH(Bajaj_TL_SNo,'Facility Master'!A:A,0))),MIN(IFERROR(INDEX('Facility Master'!M:M,MATCH(Bajaj_TL_SNo,'Facility Master'!A:A,0))/INDEX('Facility Master'!Y:Y,MATCH(Bajaj_TL_SNo,'Facility Master'!A:A,0)),0),N5+O5),0),0)</f>
        <v>0</v>
      </c>
      <c r="Q5" s="434">
        <f>IFERROR((N5+O5-P5/2)*INDEX('Facility Master'!T:T,MATCH(Bajaj_TL_SNo,'Facility Master'!A:A,0))*IF(B5&lt;INDEX('Facility Master'!Z:Z,MATCH(Bajaj_TL_SNo,'Facility Master'!A:A,0)),0,IF(N5=0,MAX(0,B5-INDEX('Facility Master'!Z:Z,MATCH(Bajaj_TL_SNo,'Facility Master'!A:A,0))),B5-B4))/DaysInYear,0)</f>
        <v>0</v>
      </c>
      <c r="R5" s="434">
        <f>IFERROR(ROUND(MAX(N5+O5-P5,0),4),0)</f>
        <v>0</v>
      </c>
      <c r="S5" s="435">
        <f t="shared" ref="S5:S36" si="0">F5+K5+P5</f>
        <v>0</v>
      </c>
      <c r="T5" s="435">
        <f t="shared" ref="T5:T36" si="1">G5+L5+Q5</f>
        <v>3.5794520547945203</v>
      </c>
      <c r="U5" s="435">
        <f t="shared" ref="U5:U36" si="2">S5+T5</f>
        <v>3.5794520547945203</v>
      </c>
      <c r="V5" s="436">
        <f t="shared" ref="V5:V36" si="3">H5+M5+R5</f>
        <v>200</v>
      </c>
    </row>
    <row r="6" spans="1:26" ht="15" customHeight="1" x14ac:dyDescent="0.3">
      <c r="A6" s="201">
        <v>2</v>
      </c>
      <c r="B6" s="202">
        <v>45473</v>
      </c>
      <c r="C6" s="203" t="s">
        <v>184</v>
      </c>
      <c r="D6" s="425">
        <f t="shared" ref="D6:D37" si="4">IFERROR(MAX(H5,0),0)</f>
        <v>200</v>
      </c>
      <c r="E6" s="425">
        <f>IFERROR(IF(AND(INDEX('Facility Master'!Z:Z,MATCH(RBL_TL_SNo,'Facility Master'!A:A,0))&gt;B5,INDEX('Facility Master'!Z:Z,MATCH(RBL_TL_SNo,'Facility Master'!A:A,0))&lt;=B6),INDEX('Facility Master'!M:M,MATCH(RBL_TL_SNo,'Facility Master'!A:A,0)),0),0)</f>
        <v>0</v>
      </c>
      <c r="F6" s="425">
        <f>IFERROR(IF(AND(B6&gt;=INDEX('Facility Master'!AA:AA,MATCH(RBL_TL_SNo,'Facility Master'!A:A,0)),B6&lt;=INDEX('Facility Master'!AB:AB,MATCH(RBL_TL_SNo,'Facility Master'!A:A,0))),MIN(IFERROR(INDEX('Facility Master'!M:M,MATCH(RBL_TL_SNo,'Facility Master'!A:A,0))/INDEX('Facility Master'!Y:Y,MATCH(RBL_TL_SNo,'Facility Master'!A:A,0)),0),D6+E6),0),0)</f>
        <v>0</v>
      </c>
      <c r="G6" s="432">
        <f>IFERROR((D6+E6-F6/2)*INDEX('Facility Master'!T:T,MATCH(RBL_TL_SNo,'Facility Master'!A:A,0))*IF(B6&lt;INDEX('Facility Master'!Z:Z,MATCH(RBL_TL_SNo,'Facility Master'!A:A,0)),0,IF(D6=0,MAX(0,B6-INDEX('Facility Master'!Z:Z,MATCH(RBL_TL_SNo,'Facility Master'!A:A,0))),B6-B5))/DaysInYear,0)</f>
        <v>4.8616438356164382</v>
      </c>
      <c r="H6" s="432">
        <f t="shared" ref="H6:H57" si="5">IFERROR(ROUND(MAX(D6+E6-F6,0),4),0)</f>
        <v>200</v>
      </c>
      <c r="I6" s="433">
        <f t="shared" ref="I6:I37" si="6">IFERROR(MAX(M5,0),0)</f>
        <v>0</v>
      </c>
      <c r="J6" s="433">
        <f>IFERROR(IF(AND(INDEX('Facility Master'!Z:Z,MATCH(YBL_TL_SNo,'Facility Master'!A:A,0))&gt;B5,INDEX('Facility Master'!Z:Z,MATCH(YBL_TL_SNo,'Facility Master'!A:A,0))&lt;=B6),INDEX('Facility Master'!M:M,MATCH(YBL_TL_SNo,'Facility Master'!A:A,0)),0),0)</f>
        <v>0</v>
      </c>
      <c r="K6" s="433">
        <f>IFERROR(IF(AND(B6&gt;=INDEX('Facility Master'!AA:AA,MATCH(YBL_TL_SNo,'Facility Master'!A:A,0)),B6&lt;=INDEX('Facility Master'!AB:AB,MATCH(YBL_TL_SNo,'Facility Master'!A:A,0))),MIN(IFERROR(INDEX('Facility Master'!M:M,MATCH(YBL_TL_SNo,'Facility Master'!A:A,0))/INDEX('Facility Master'!Y:Y,MATCH(YBL_TL_SNo,'Facility Master'!A:A,0)),0),I6+J6),0),0)</f>
        <v>0</v>
      </c>
      <c r="L6" s="433">
        <f>IFERROR((I6+J6-K6/2)*INDEX('Facility Master'!T:T,MATCH(YBL_TL_SNo,'Facility Master'!A:A,0))*IF(B6&lt;INDEX('Facility Master'!Z:Z,MATCH(YBL_TL_SNo,'Facility Master'!A:A,0)),0,IF(I6=0,MAX(0,B6-INDEX('Facility Master'!Z:Z,MATCH(YBL_TL_SNo,'Facility Master'!A:A,0))),B6-B5))/DaysInYear,0)</f>
        <v>0</v>
      </c>
      <c r="M6" s="433">
        <f t="shared" ref="M6:M57" si="7">IFERROR(ROUND(MAX(I6+J6-K6,0),4),0)</f>
        <v>0</v>
      </c>
      <c r="N6" s="434">
        <f t="shared" ref="N6:N37" si="8">IFERROR(MAX(R5,0),0)</f>
        <v>0</v>
      </c>
      <c r="O6" s="434">
        <f>IFERROR(IF(AND(INDEX('Facility Master'!Z:Z,MATCH(Bajaj_TL_SNo,'Facility Master'!A:A,0))&gt;B5,INDEX('Facility Master'!Z:Z,MATCH(Bajaj_TL_SNo,'Facility Master'!A:A,0))&lt;=B6),INDEX('Facility Master'!M:M,MATCH(Bajaj_TL_SNo,'Facility Master'!A:A,0)),0),0)</f>
        <v>0</v>
      </c>
      <c r="P6" s="434">
        <f>IFERROR(IF(AND(B6&gt;=INDEX('Facility Master'!AA:AA,MATCH(Bajaj_TL_SNo,'Facility Master'!A:A,0)),B6&lt;=INDEX('Facility Master'!AB:AB,MATCH(Bajaj_TL_SNo,'Facility Master'!A:A,0))),MIN(IFERROR(INDEX('Facility Master'!M:M,MATCH(Bajaj_TL_SNo,'Facility Master'!A:A,0))/INDEX('Facility Master'!Y:Y,MATCH(Bajaj_TL_SNo,'Facility Master'!A:A,0)),0),N6+O6),0),0)</f>
        <v>0</v>
      </c>
      <c r="Q6" s="434">
        <f>IFERROR((N6+O6-P6/2)*INDEX('Facility Master'!T:T,MATCH(Bajaj_TL_SNo,'Facility Master'!A:A,0))*IF(B6&lt;INDEX('Facility Master'!Z:Z,MATCH(Bajaj_TL_SNo,'Facility Master'!A:A,0)),0,IF(N6=0,MAX(0,B6-INDEX('Facility Master'!Z:Z,MATCH(Bajaj_TL_SNo,'Facility Master'!A:A,0))),B6-B5))/DaysInYear,0)</f>
        <v>0</v>
      </c>
      <c r="R6" s="444">
        <f t="shared" ref="R6:R57" si="9">IFERROR(ROUND(MAX(N6+O6-P6,0),4),0)</f>
        <v>0</v>
      </c>
      <c r="S6" s="426">
        <f t="shared" si="0"/>
        <v>0</v>
      </c>
      <c r="T6" s="426">
        <f t="shared" si="1"/>
        <v>4.8616438356164382</v>
      </c>
      <c r="U6" s="426">
        <f t="shared" si="2"/>
        <v>4.8616438356164382</v>
      </c>
      <c r="V6" s="445">
        <f t="shared" si="3"/>
        <v>200</v>
      </c>
    </row>
    <row r="7" spans="1:26" ht="15" customHeight="1" x14ac:dyDescent="0.3">
      <c r="A7" s="198">
        <v>3</v>
      </c>
      <c r="B7" s="199">
        <v>45565</v>
      </c>
      <c r="C7" s="200" t="s">
        <v>185</v>
      </c>
      <c r="D7" s="427">
        <f t="shared" si="4"/>
        <v>200</v>
      </c>
      <c r="E7" s="427">
        <f>IFERROR(IF(AND(INDEX('Facility Master'!Z:Z,MATCH(RBL_TL_SNo,'Facility Master'!A:A,0))&gt;B6,INDEX('Facility Master'!Z:Z,MATCH(RBL_TL_SNo,'Facility Master'!A:A,0))&lt;=B7),INDEX('Facility Master'!M:M,MATCH(RBL_TL_SNo,'Facility Master'!A:A,0)),0),0)</f>
        <v>0</v>
      </c>
      <c r="F7" s="427">
        <f>IFERROR(IF(AND(B7&gt;=INDEX('Facility Master'!AA:AA,MATCH(RBL_TL_SNo,'Facility Master'!A:A,0)),B7&lt;=INDEX('Facility Master'!AB:AB,MATCH(RBL_TL_SNo,'Facility Master'!A:A,0))),MIN(IFERROR(INDEX('Facility Master'!M:M,MATCH(RBL_TL_SNo,'Facility Master'!A:A,0))/INDEX('Facility Master'!Y:Y,MATCH(RBL_TL_SNo,'Facility Master'!A:A,0)),0),D7+E7),0),0)</f>
        <v>0</v>
      </c>
      <c r="G7" s="432">
        <f>IFERROR((D7+E7-F7/2)*INDEX('Facility Master'!T:T,MATCH(RBL_TL_SNo,'Facility Master'!A:A,0))*IF(B7&lt;INDEX('Facility Master'!Z:Z,MATCH(RBL_TL_SNo,'Facility Master'!A:A,0)),0,IF(D7=0,MAX(0,B7-INDEX('Facility Master'!Z:Z,MATCH(RBL_TL_SNo,'Facility Master'!A:A,0))),B7-B6))/DaysInYear,0)</f>
        <v>4.9150684931506845</v>
      </c>
      <c r="H7" s="432">
        <f t="shared" si="5"/>
        <v>200</v>
      </c>
      <c r="I7" s="433">
        <f t="shared" si="6"/>
        <v>0</v>
      </c>
      <c r="J7" s="433">
        <f>IFERROR(IF(AND(INDEX('Facility Master'!Z:Z,MATCH(YBL_TL_SNo,'Facility Master'!A:A,0))&gt;B6,INDEX('Facility Master'!Z:Z,MATCH(YBL_TL_SNo,'Facility Master'!A:A,0))&lt;=B7),INDEX('Facility Master'!M:M,MATCH(YBL_TL_SNo,'Facility Master'!A:A,0)),0),0)</f>
        <v>0</v>
      </c>
      <c r="K7" s="433">
        <f>IFERROR(IF(AND(B7&gt;=INDEX('Facility Master'!AA:AA,MATCH(YBL_TL_SNo,'Facility Master'!A:A,0)),B7&lt;=INDEX('Facility Master'!AB:AB,MATCH(YBL_TL_SNo,'Facility Master'!A:A,0))),MIN(IFERROR(INDEX('Facility Master'!M:M,MATCH(YBL_TL_SNo,'Facility Master'!A:A,0))/INDEX('Facility Master'!Y:Y,MATCH(YBL_TL_SNo,'Facility Master'!A:A,0)),0),I7+J7),0),0)</f>
        <v>0</v>
      </c>
      <c r="L7" s="433">
        <f>IFERROR((I7+J7-K7/2)*INDEX('Facility Master'!T:T,MATCH(YBL_TL_SNo,'Facility Master'!A:A,0))*IF(B7&lt;INDEX('Facility Master'!Z:Z,MATCH(YBL_TL_SNo,'Facility Master'!A:A,0)),0,IF(I7=0,MAX(0,B7-INDEX('Facility Master'!Z:Z,MATCH(YBL_TL_SNo,'Facility Master'!A:A,0))),B7-B6))/DaysInYear,0)</f>
        <v>0</v>
      </c>
      <c r="M7" s="433">
        <f t="shared" si="7"/>
        <v>0</v>
      </c>
      <c r="N7" s="434">
        <f t="shared" si="8"/>
        <v>0</v>
      </c>
      <c r="O7" s="434">
        <f>IFERROR(IF(AND(INDEX('Facility Master'!Z:Z,MATCH(Bajaj_TL_SNo,'Facility Master'!A:A,0))&gt;B6,INDEX('Facility Master'!Z:Z,MATCH(Bajaj_TL_SNo,'Facility Master'!A:A,0))&lt;=B7),INDEX('Facility Master'!M:M,MATCH(Bajaj_TL_SNo,'Facility Master'!A:A,0)),0),0)</f>
        <v>0</v>
      </c>
      <c r="P7" s="434">
        <f>IFERROR(IF(AND(B7&gt;=INDEX('Facility Master'!AA:AA,MATCH(Bajaj_TL_SNo,'Facility Master'!A:A,0)),B7&lt;=INDEX('Facility Master'!AB:AB,MATCH(Bajaj_TL_SNo,'Facility Master'!A:A,0))),MIN(IFERROR(INDEX('Facility Master'!M:M,MATCH(Bajaj_TL_SNo,'Facility Master'!A:A,0))/INDEX('Facility Master'!Y:Y,MATCH(Bajaj_TL_SNo,'Facility Master'!A:A,0)),0),N7+O7),0),0)</f>
        <v>0</v>
      </c>
      <c r="Q7" s="434">
        <f>IFERROR((N7+O7-P7/2)*INDEX('Facility Master'!T:T,MATCH(Bajaj_TL_SNo,'Facility Master'!A:A,0))*IF(B7&lt;INDEX('Facility Master'!Z:Z,MATCH(Bajaj_TL_SNo,'Facility Master'!A:A,0)),0,IF(N7=0,MAX(0,B7-INDEX('Facility Master'!Z:Z,MATCH(Bajaj_TL_SNo,'Facility Master'!A:A,0))),B7-B6))/DaysInYear,0)</f>
        <v>0</v>
      </c>
      <c r="R7" s="444">
        <f t="shared" si="9"/>
        <v>0</v>
      </c>
      <c r="S7" s="428">
        <f t="shared" si="0"/>
        <v>0</v>
      </c>
      <c r="T7" s="428">
        <f t="shared" si="1"/>
        <v>4.9150684931506845</v>
      </c>
      <c r="U7" s="428">
        <f t="shared" si="2"/>
        <v>4.9150684931506845</v>
      </c>
      <c r="V7" s="445">
        <f t="shared" si="3"/>
        <v>200</v>
      </c>
    </row>
    <row r="8" spans="1:26" ht="15" customHeight="1" x14ac:dyDescent="0.3">
      <c r="A8" s="201">
        <v>4</v>
      </c>
      <c r="B8" s="202">
        <v>45657</v>
      </c>
      <c r="C8" s="203" t="s">
        <v>186</v>
      </c>
      <c r="D8" s="425">
        <f t="shared" si="4"/>
        <v>200</v>
      </c>
      <c r="E8" s="425">
        <f>IFERROR(IF(AND(INDEX('Facility Master'!Z:Z,MATCH(RBL_TL_SNo,'Facility Master'!A:A,0))&gt;B7,INDEX('Facility Master'!Z:Z,MATCH(RBL_TL_SNo,'Facility Master'!A:A,0))&lt;=B8),INDEX('Facility Master'!M:M,MATCH(RBL_TL_SNo,'Facility Master'!A:A,0)),0),0)</f>
        <v>0</v>
      </c>
      <c r="F8" s="425">
        <f>IFERROR(IF(AND(B8&gt;=INDEX('Facility Master'!AA:AA,MATCH(RBL_TL_SNo,'Facility Master'!A:A,0)),B8&lt;=INDEX('Facility Master'!AB:AB,MATCH(RBL_TL_SNo,'Facility Master'!A:A,0))),MIN(IFERROR(INDEX('Facility Master'!M:M,MATCH(RBL_TL_SNo,'Facility Master'!A:A,0))/INDEX('Facility Master'!Y:Y,MATCH(RBL_TL_SNo,'Facility Master'!A:A,0)),0),D8+E8),0),0)</f>
        <v>0</v>
      </c>
      <c r="G8" s="432">
        <f>IFERROR((D8+E8-F8/2)*INDEX('Facility Master'!T:T,MATCH(RBL_TL_SNo,'Facility Master'!A:A,0))*IF(B8&lt;INDEX('Facility Master'!Z:Z,MATCH(RBL_TL_SNo,'Facility Master'!A:A,0)),0,IF(D8=0,MAX(0,B8-INDEX('Facility Master'!Z:Z,MATCH(RBL_TL_SNo,'Facility Master'!A:A,0))),B8-B7))/DaysInYear,0)</f>
        <v>4.9150684931506845</v>
      </c>
      <c r="H8" s="432">
        <f t="shared" si="5"/>
        <v>200</v>
      </c>
      <c r="I8" s="433">
        <f t="shared" si="6"/>
        <v>0</v>
      </c>
      <c r="J8" s="433">
        <f>IFERROR(IF(AND(INDEX('Facility Master'!Z:Z,MATCH(YBL_TL_SNo,'Facility Master'!A:A,0))&gt;B7,INDEX('Facility Master'!Z:Z,MATCH(YBL_TL_SNo,'Facility Master'!A:A,0))&lt;=B8),INDEX('Facility Master'!M:M,MATCH(YBL_TL_SNo,'Facility Master'!A:A,0)),0),0)</f>
        <v>320.7</v>
      </c>
      <c r="K8" s="433">
        <f>IFERROR(IF(AND(B8&gt;=INDEX('Facility Master'!AA:AA,MATCH(YBL_TL_SNo,'Facility Master'!A:A,0)),B8&lt;=INDEX('Facility Master'!AB:AB,MATCH(YBL_TL_SNo,'Facility Master'!A:A,0))),MIN(IFERROR(INDEX('Facility Master'!M:M,MATCH(YBL_TL_SNo,'Facility Master'!A:A,0))/INDEX('Facility Master'!Y:Y,MATCH(YBL_TL_SNo,'Facility Master'!A:A,0)),0),I8+J8),0),0)</f>
        <v>0</v>
      </c>
      <c r="L8" s="433">
        <f>IFERROR((I8+J8-K8/2)*INDEX('Facility Master'!T:T,MATCH(YBL_TL_SNo,'Facility Master'!A:A,0))*IF(B8&lt;INDEX('Facility Master'!Z:Z,MATCH(YBL_TL_SNo,'Facility Master'!A:A,0)),0,IF(I8=0,MAX(0,B8-INDEX('Facility Master'!Z:Z,MATCH(YBL_TL_SNo,'Facility Master'!A:A,0))),B8-B7))/DaysInYear,0)</f>
        <v>1.0148178082191781</v>
      </c>
      <c r="M8" s="433">
        <f t="shared" si="7"/>
        <v>320.7</v>
      </c>
      <c r="N8" s="434">
        <f t="shared" si="8"/>
        <v>0</v>
      </c>
      <c r="O8" s="434">
        <f>IFERROR(IF(AND(INDEX('Facility Master'!Z:Z,MATCH(Bajaj_TL_SNo,'Facility Master'!A:A,0))&gt;B7,INDEX('Facility Master'!Z:Z,MATCH(Bajaj_TL_SNo,'Facility Master'!A:A,0))&lt;=B8),INDEX('Facility Master'!M:M,MATCH(Bajaj_TL_SNo,'Facility Master'!A:A,0)),0),0)</f>
        <v>0</v>
      </c>
      <c r="P8" s="434">
        <f>IFERROR(IF(AND(B8&gt;=INDEX('Facility Master'!AA:AA,MATCH(Bajaj_TL_SNo,'Facility Master'!A:A,0)),B8&lt;=INDEX('Facility Master'!AB:AB,MATCH(Bajaj_TL_SNo,'Facility Master'!A:A,0))),MIN(IFERROR(INDEX('Facility Master'!M:M,MATCH(Bajaj_TL_SNo,'Facility Master'!A:A,0))/INDEX('Facility Master'!Y:Y,MATCH(Bajaj_TL_SNo,'Facility Master'!A:A,0)),0),N8+O8),0),0)</f>
        <v>0</v>
      </c>
      <c r="Q8" s="434">
        <f>IFERROR((N8+O8-P8/2)*INDEX('Facility Master'!T:T,MATCH(Bajaj_TL_SNo,'Facility Master'!A:A,0))*IF(B8&lt;INDEX('Facility Master'!Z:Z,MATCH(Bajaj_TL_SNo,'Facility Master'!A:A,0)),0,IF(N8=0,MAX(0,B8-INDEX('Facility Master'!Z:Z,MATCH(Bajaj_TL_SNo,'Facility Master'!A:A,0))),B8-B7))/DaysInYear,0)</f>
        <v>0</v>
      </c>
      <c r="R8" s="444">
        <f t="shared" si="9"/>
        <v>0</v>
      </c>
      <c r="S8" s="426">
        <f t="shared" si="0"/>
        <v>0</v>
      </c>
      <c r="T8" s="426">
        <f t="shared" si="1"/>
        <v>5.9298863013698622</v>
      </c>
      <c r="U8" s="426">
        <f t="shared" si="2"/>
        <v>5.9298863013698622</v>
      </c>
      <c r="V8" s="445">
        <f t="shared" si="3"/>
        <v>520.70000000000005</v>
      </c>
    </row>
    <row r="9" spans="1:26" ht="16.95" customHeight="1" x14ac:dyDescent="0.3">
      <c r="A9" s="429">
        <v>5</v>
      </c>
      <c r="B9" s="430">
        <v>45747</v>
      </c>
      <c r="C9" s="431" t="s">
        <v>187</v>
      </c>
      <c r="D9" s="432">
        <f t="shared" si="4"/>
        <v>200</v>
      </c>
      <c r="E9" s="432">
        <f>IFERROR(IF(AND(INDEX('Facility Master'!Z:Z,MATCH(RBL_TL_SNo,'Facility Master'!A:A,0))&gt;B8,INDEX('Facility Master'!Z:Z,MATCH(RBL_TL_SNo,'Facility Master'!A:A,0))&lt;=B9),INDEX('Facility Master'!M:M,MATCH(RBL_TL_SNo,'Facility Master'!A:A,0)),0),0)</f>
        <v>0</v>
      </c>
      <c r="F9" s="432">
        <f>IFERROR(IF(AND(B9&gt;=INDEX('Facility Master'!AA:AA,MATCH(RBL_TL_SNo,'Facility Master'!A:A,0)),B9&lt;=INDEX('Facility Master'!AB:AB,MATCH(RBL_TL_SNo,'Facility Master'!A:A,0))),MIN(IFERROR(INDEX('Facility Master'!M:M,MATCH(RBL_TL_SNo,'Facility Master'!A:A,0))/INDEX('Facility Master'!Y:Y,MATCH(RBL_TL_SNo,'Facility Master'!A:A,0)),0),D9+E9),0),0)</f>
        <v>0</v>
      </c>
      <c r="G9" s="432">
        <f>IFERROR((D9+E9-F9/2)*INDEX('Facility Master'!T:T,MATCH(RBL_TL_SNo,'Facility Master'!A:A,0))*IF(B9&lt;INDEX('Facility Master'!Z:Z,MATCH(RBL_TL_SNo,'Facility Master'!A:A,0)),0,IF(D9=0,MAX(0,B9-INDEX('Facility Master'!Z:Z,MATCH(RBL_TL_SNo,'Facility Master'!A:A,0))),B9-B8))/DaysInYear,0)</f>
        <v>4.8082191780821919</v>
      </c>
      <c r="H9" s="432">
        <f t="shared" si="5"/>
        <v>200</v>
      </c>
      <c r="I9" s="433">
        <f t="shared" si="6"/>
        <v>320.7</v>
      </c>
      <c r="J9" s="433">
        <f>IFERROR(IF(AND(INDEX('Facility Master'!Z:Z,MATCH(YBL_TL_SNo,'Facility Master'!A:A,0))&gt;B8,INDEX('Facility Master'!Z:Z,MATCH(YBL_TL_SNo,'Facility Master'!A:A,0))&lt;=B9),INDEX('Facility Master'!M:M,MATCH(YBL_TL_SNo,'Facility Master'!A:A,0)),0),0)</f>
        <v>0</v>
      </c>
      <c r="K9" s="433">
        <f>IFERROR(IF(AND(B9&gt;=INDEX('Facility Master'!AA:AA,MATCH(YBL_TL_SNo,'Facility Master'!A:A,0)),B9&lt;=INDEX('Facility Master'!AB:AB,MATCH(YBL_TL_SNo,'Facility Master'!A:A,0))),MIN(IFERROR(INDEX('Facility Master'!M:M,MATCH(YBL_TL_SNo,'Facility Master'!A:A,0))/INDEX('Facility Master'!Y:Y,MATCH(YBL_TL_SNo,'Facility Master'!A:A,0)),0),I9+J9),0),0)</f>
        <v>6.823404255319149</v>
      </c>
      <c r="L9" s="433">
        <f>IFERROR((I9+J9-K9/2)*INDEX('Facility Master'!T:T,MATCH(YBL_TL_SNo,'Facility Master'!A:A,0))*IF(B9&lt;INDEX('Facility Master'!Z:Z,MATCH(YBL_TL_SNo,'Facility Master'!A:A,0)),0,IF(I9=0,MAX(0,B9-INDEX('Facility Master'!Z:Z,MATCH(YBL_TL_SNo,'Facility Master'!A:A,0))),B9-B8))/DaysInYear,0)</f>
        <v>6.0241312445351207</v>
      </c>
      <c r="M9" s="433">
        <f t="shared" si="7"/>
        <v>313.8766</v>
      </c>
      <c r="N9" s="434">
        <f t="shared" si="8"/>
        <v>0</v>
      </c>
      <c r="O9" s="434">
        <f>IFERROR(IF(AND(INDEX('Facility Master'!Z:Z,MATCH(Bajaj_TL_SNo,'Facility Master'!A:A,0))&gt;B8,INDEX('Facility Master'!Z:Z,MATCH(Bajaj_TL_SNo,'Facility Master'!A:A,0))&lt;=B9),INDEX('Facility Master'!M:M,MATCH(Bajaj_TL_SNo,'Facility Master'!A:A,0)),0),0)</f>
        <v>0</v>
      </c>
      <c r="P9" s="434">
        <f>IFERROR(IF(AND(B9&gt;=INDEX('Facility Master'!AA:AA,MATCH(Bajaj_TL_SNo,'Facility Master'!A:A,0)),B9&lt;=INDEX('Facility Master'!AB:AB,MATCH(Bajaj_TL_SNo,'Facility Master'!A:A,0))),MIN(IFERROR(INDEX('Facility Master'!M:M,MATCH(Bajaj_TL_SNo,'Facility Master'!A:A,0))/INDEX('Facility Master'!Y:Y,MATCH(Bajaj_TL_SNo,'Facility Master'!A:A,0)),0),N9+O9),0),0)</f>
        <v>0</v>
      </c>
      <c r="Q9" s="434">
        <f>IFERROR((N9+O9-P9/2)*INDEX('Facility Master'!T:T,MATCH(Bajaj_TL_SNo,'Facility Master'!A:A,0))*IF(B9&lt;INDEX('Facility Master'!Z:Z,MATCH(Bajaj_TL_SNo,'Facility Master'!A:A,0)),0,IF(N9=0,MAX(0,B9-INDEX('Facility Master'!Z:Z,MATCH(Bajaj_TL_SNo,'Facility Master'!A:A,0))),B9-B8))/DaysInYear,0)</f>
        <v>0</v>
      </c>
      <c r="R9" s="434">
        <f t="shared" si="9"/>
        <v>0</v>
      </c>
      <c r="S9" s="435">
        <f t="shared" si="0"/>
        <v>6.823404255319149</v>
      </c>
      <c r="T9" s="435">
        <f t="shared" si="1"/>
        <v>10.832350422617314</v>
      </c>
      <c r="U9" s="435">
        <f t="shared" si="2"/>
        <v>17.655754677936464</v>
      </c>
      <c r="V9" s="436">
        <f t="shared" si="3"/>
        <v>513.87660000000005</v>
      </c>
    </row>
    <row r="10" spans="1:26" ht="15" customHeight="1" x14ac:dyDescent="0.3">
      <c r="A10" s="201">
        <v>6</v>
      </c>
      <c r="B10" s="202">
        <v>45838</v>
      </c>
      <c r="C10" s="203" t="s">
        <v>188</v>
      </c>
      <c r="D10" s="425">
        <f t="shared" si="4"/>
        <v>200</v>
      </c>
      <c r="E10" s="425">
        <f>IFERROR(IF(AND(INDEX('Facility Master'!Z:Z,MATCH(RBL_TL_SNo,'Facility Master'!A:A,0))&gt;B9,INDEX('Facility Master'!Z:Z,MATCH(RBL_TL_SNo,'Facility Master'!A:A,0))&lt;=B10),INDEX('Facility Master'!M:M,MATCH(RBL_TL_SNo,'Facility Master'!A:A,0)),0),0)</f>
        <v>0</v>
      </c>
      <c r="F10" s="425">
        <f>IFERROR(IF(AND(B10&gt;=INDEX('Facility Master'!AA:AA,MATCH(RBL_TL_SNo,'Facility Master'!A:A,0)),B10&lt;=INDEX('Facility Master'!AB:AB,MATCH(RBL_TL_SNo,'Facility Master'!A:A,0))),MIN(IFERROR(INDEX('Facility Master'!M:M,MATCH(RBL_TL_SNo,'Facility Master'!A:A,0))/INDEX('Facility Master'!Y:Y,MATCH(RBL_TL_SNo,'Facility Master'!A:A,0)),0),D10+E10),0),0)</f>
        <v>0</v>
      </c>
      <c r="G10" s="432">
        <f>IFERROR((D10+E10-F10/2)*INDEX('Facility Master'!T:T,MATCH(RBL_TL_SNo,'Facility Master'!A:A,0))*IF(B10&lt;INDEX('Facility Master'!Z:Z,MATCH(RBL_TL_SNo,'Facility Master'!A:A,0)),0,IF(D10=0,MAX(0,B10-INDEX('Facility Master'!Z:Z,MATCH(RBL_TL_SNo,'Facility Master'!A:A,0))),B10-B9))/DaysInYear,0)</f>
        <v>4.8616438356164382</v>
      </c>
      <c r="H10" s="432">
        <f t="shared" si="5"/>
        <v>200</v>
      </c>
      <c r="I10" s="433">
        <f t="shared" si="6"/>
        <v>313.8766</v>
      </c>
      <c r="J10" s="433">
        <f>IFERROR(IF(AND(INDEX('Facility Master'!Z:Z,MATCH(YBL_TL_SNo,'Facility Master'!A:A,0))&gt;B9,INDEX('Facility Master'!Z:Z,MATCH(YBL_TL_SNo,'Facility Master'!A:A,0))&lt;=B10),INDEX('Facility Master'!M:M,MATCH(YBL_TL_SNo,'Facility Master'!A:A,0)),0),0)</f>
        <v>0</v>
      </c>
      <c r="K10" s="433">
        <f>IFERROR(IF(AND(B10&gt;=INDEX('Facility Master'!AA:AA,MATCH(YBL_TL_SNo,'Facility Master'!A:A,0)),B10&lt;=INDEX('Facility Master'!AB:AB,MATCH(YBL_TL_SNo,'Facility Master'!A:A,0))),MIN(IFERROR(INDEX('Facility Master'!M:M,MATCH(YBL_TL_SNo,'Facility Master'!A:A,0))/INDEX('Facility Master'!Y:Y,MATCH(YBL_TL_SNo,'Facility Master'!A:A,0)),0),I10+J10),0),0)</f>
        <v>6.823404255319149</v>
      </c>
      <c r="L10" s="433">
        <f>IFERROR((I10+J10-K10/2)*INDEX('Facility Master'!T:T,MATCH(YBL_TL_SNo,'Facility Master'!A:A,0))*IF(B10&lt;INDEX('Facility Master'!Z:Z,MATCH(YBL_TL_SNo,'Facility Master'!A:A,0)),0,IF(I10=0,MAX(0,B10-INDEX('Facility Master'!Z:Z,MATCH(YBL_TL_SNo,'Facility Master'!A:A,0))),B10-B9))/DaysInYear,0)</f>
        <v>5.9600754503876425</v>
      </c>
      <c r="M10" s="433">
        <f t="shared" si="7"/>
        <v>307.0532</v>
      </c>
      <c r="N10" s="434">
        <f t="shared" si="8"/>
        <v>0</v>
      </c>
      <c r="O10" s="434">
        <f>IFERROR(IF(AND(INDEX('Facility Master'!Z:Z,MATCH(Bajaj_TL_SNo,'Facility Master'!A:A,0))&gt;B9,INDEX('Facility Master'!Z:Z,MATCH(Bajaj_TL_SNo,'Facility Master'!A:A,0))&lt;=B10),INDEX('Facility Master'!M:M,MATCH(Bajaj_TL_SNo,'Facility Master'!A:A,0)),0),0)</f>
        <v>0</v>
      </c>
      <c r="P10" s="434">
        <f>IFERROR(IF(AND(B10&gt;=INDEX('Facility Master'!AA:AA,MATCH(Bajaj_TL_SNo,'Facility Master'!A:A,0)),B10&lt;=INDEX('Facility Master'!AB:AB,MATCH(Bajaj_TL_SNo,'Facility Master'!A:A,0))),MIN(IFERROR(INDEX('Facility Master'!M:M,MATCH(Bajaj_TL_SNo,'Facility Master'!A:A,0))/INDEX('Facility Master'!Y:Y,MATCH(Bajaj_TL_SNo,'Facility Master'!A:A,0)),0),N10+O10),0),0)</f>
        <v>0</v>
      </c>
      <c r="Q10" s="434">
        <f>IFERROR((N10+O10-P10/2)*INDEX('Facility Master'!T:T,MATCH(Bajaj_TL_SNo,'Facility Master'!A:A,0))*IF(B10&lt;INDEX('Facility Master'!Z:Z,MATCH(Bajaj_TL_SNo,'Facility Master'!A:A,0)),0,IF(N10=0,MAX(0,B10-INDEX('Facility Master'!Z:Z,MATCH(Bajaj_TL_SNo,'Facility Master'!A:A,0))),B10-B9))/DaysInYear,0)</f>
        <v>0</v>
      </c>
      <c r="R10" s="444">
        <f t="shared" si="9"/>
        <v>0</v>
      </c>
      <c r="S10" s="426">
        <f t="shared" si="0"/>
        <v>6.823404255319149</v>
      </c>
      <c r="T10" s="426">
        <f t="shared" si="1"/>
        <v>10.821719286004081</v>
      </c>
      <c r="U10" s="426">
        <f t="shared" si="2"/>
        <v>17.64512354132323</v>
      </c>
      <c r="V10" s="445">
        <f t="shared" si="3"/>
        <v>507.0532</v>
      </c>
    </row>
    <row r="11" spans="1:26" ht="15" customHeight="1" x14ac:dyDescent="0.3">
      <c r="A11" s="198">
        <v>7</v>
      </c>
      <c r="B11" s="199">
        <v>45930</v>
      </c>
      <c r="C11" s="200" t="s">
        <v>189</v>
      </c>
      <c r="D11" s="427">
        <f t="shared" si="4"/>
        <v>200</v>
      </c>
      <c r="E11" s="427">
        <f>IFERROR(IF(AND(INDEX('Facility Master'!Z:Z,MATCH(RBL_TL_SNo,'Facility Master'!A:A,0))&gt;B10,INDEX('Facility Master'!Z:Z,MATCH(RBL_TL_SNo,'Facility Master'!A:A,0))&lt;=B11),INDEX('Facility Master'!M:M,MATCH(RBL_TL_SNo,'Facility Master'!A:A,0)),0),0)</f>
        <v>0</v>
      </c>
      <c r="F11" s="427">
        <f>IFERROR(IF(AND(B11&gt;=INDEX('Facility Master'!AA:AA,MATCH(RBL_TL_SNo,'Facility Master'!A:A,0)),B11&lt;=INDEX('Facility Master'!AB:AB,MATCH(RBL_TL_SNo,'Facility Master'!A:A,0))),MIN(IFERROR(INDEX('Facility Master'!M:M,MATCH(RBL_TL_SNo,'Facility Master'!A:A,0))/INDEX('Facility Master'!Y:Y,MATCH(RBL_TL_SNo,'Facility Master'!A:A,0)),0),D11+E11),0),0)</f>
        <v>0</v>
      </c>
      <c r="G11" s="432">
        <f>IFERROR((D11+E11-F11/2)*INDEX('Facility Master'!T:T,MATCH(RBL_TL_SNo,'Facility Master'!A:A,0))*IF(B11&lt;INDEX('Facility Master'!Z:Z,MATCH(RBL_TL_SNo,'Facility Master'!A:A,0)),0,IF(D11=0,MAX(0,B11-INDEX('Facility Master'!Z:Z,MATCH(RBL_TL_SNo,'Facility Master'!A:A,0))),B11-B10))/DaysInYear,0)</f>
        <v>4.9150684931506845</v>
      </c>
      <c r="H11" s="432">
        <f t="shared" si="5"/>
        <v>200</v>
      </c>
      <c r="I11" s="433">
        <f t="shared" si="6"/>
        <v>307.0532</v>
      </c>
      <c r="J11" s="433">
        <f>IFERROR(IF(AND(INDEX('Facility Master'!Z:Z,MATCH(YBL_TL_SNo,'Facility Master'!A:A,0))&gt;B10,INDEX('Facility Master'!Z:Z,MATCH(YBL_TL_SNo,'Facility Master'!A:A,0))&lt;=B11),INDEX('Facility Master'!M:M,MATCH(YBL_TL_SNo,'Facility Master'!A:A,0)),0),0)</f>
        <v>0</v>
      </c>
      <c r="K11" s="433">
        <f>IFERROR(IF(AND(B11&gt;=INDEX('Facility Master'!AA:AA,MATCH(YBL_TL_SNo,'Facility Master'!A:A,0)),B11&lt;=INDEX('Facility Master'!AB:AB,MATCH(YBL_TL_SNo,'Facility Master'!A:A,0))),MIN(IFERROR(INDEX('Facility Master'!M:M,MATCH(YBL_TL_SNo,'Facility Master'!A:A,0))/INDEX('Facility Master'!Y:Y,MATCH(YBL_TL_SNo,'Facility Master'!A:A,0)),0),I11+J11),0),0)</f>
        <v>6.823404255319149</v>
      </c>
      <c r="L11" s="433">
        <f>IFERROR((I11+J11-K11/2)*INDEX('Facility Master'!T:T,MATCH(YBL_TL_SNo,'Facility Master'!A:A,0))*IF(B11&lt;INDEX('Facility Master'!Z:Z,MATCH(YBL_TL_SNo,'Facility Master'!A:A,0)),0,IF(I11=0,MAX(0,B11-INDEX('Facility Master'!Z:Z,MATCH(YBL_TL_SNo,'Facility Master'!A:A,0))),B11-B10))/DaysInYear,0)</f>
        <v>5.8931407422675601</v>
      </c>
      <c r="M11" s="433">
        <f t="shared" si="7"/>
        <v>300.22980000000001</v>
      </c>
      <c r="N11" s="434">
        <f t="shared" si="8"/>
        <v>0</v>
      </c>
      <c r="O11" s="434">
        <f>IFERROR(IF(AND(INDEX('Facility Master'!Z:Z,MATCH(Bajaj_TL_SNo,'Facility Master'!A:A,0))&gt;B10,INDEX('Facility Master'!Z:Z,MATCH(Bajaj_TL_SNo,'Facility Master'!A:A,0))&lt;=B11),INDEX('Facility Master'!M:M,MATCH(Bajaj_TL_SNo,'Facility Master'!A:A,0)),0),0)</f>
        <v>150</v>
      </c>
      <c r="P11" s="434">
        <f>IFERROR(IF(AND(B11&gt;=INDEX('Facility Master'!AA:AA,MATCH(Bajaj_TL_SNo,'Facility Master'!A:A,0)),B11&lt;=INDEX('Facility Master'!AB:AB,MATCH(Bajaj_TL_SNo,'Facility Master'!A:A,0))),MIN(IFERROR(INDEX('Facility Master'!M:M,MATCH(Bajaj_TL_SNo,'Facility Master'!A:A,0))/INDEX('Facility Master'!Y:Y,MATCH(Bajaj_TL_SNo,'Facility Master'!A:A,0)),0),N11+O11),0),0)</f>
        <v>0</v>
      </c>
      <c r="Q11" s="434">
        <f>IFERROR((N11+O11-P11/2)*INDEX('Facility Master'!T:T,MATCH(Bajaj_TL_SNo,'Facility Master'!A:A,0))*IF(B11&lt;INDEX('Facility Master'!Z:Z,MATCH(Bajaj_TL_SNo,'Facility Master'!A:A,0)),0,IF(N11=0,MAX(0,B11-INDEX('Facility Master'!Z:Z,MATCH(Bajaj_TL_SNo,'Facility Master'!A:A,0))),B11-B10))/DaysInYear,0)</f>
        <v>1.5197260273972604</v>
      </c>
      <c r="R11" s="444">
        <f t="shared" si="9"/>
        <v>150</v>
      </c>
      <c r="S11" s="428">
        <f t="shared" si="0"/>
        <v>6.823404255319149</v>
      </c>
      <c r="T11" s="428">
        <f t="shared" si="1"/>
        <v>12.327935262815505</v>
      </c>
      <c r="U11" s="428">
        <f t="shared" si="2"/>
        <v>19.151339518134655</v>
      </c>
      <c r="V11" s="445">
        <f t="shared" si="3"/>
        <v>650.22980000000007</v>
      </c>
    </row>
    <row r="12" spans="1:26" ht="15" customHeight="1" x14ac:dyDescent="0.3">
      <c r="A12" s="201">
        <v>8</v>
      </c>
      <c r="B12" s="202">
        <v>46022</v>
      </c>
      <c r="C12" s="203" t="s">
        <v>190</v>
      </c>
      <c r="D12" s="425">
        <f t="shared" si="4"/>
        <v>200</v>
      </c>
      <c r="E12" s="425">
        <f>IFERROR(IF(AND(INDEX('Facility Master'!Z:Z,MATCH(RBL_TL_SNo,'Facility Master'!A:A,0))&gt;B11,INDEX('Facility Master'!Z:Z,MATCH(RBL_TL_SNo,'Facility Master'!A:A,0))&lt;=B12),INDEX('Facility Master'!M:M,MATCH(RBL_TL_SNo,'Facility Master'!A:A,0)),0),0)</f>
        <v>0</v>
      </c>
      <c r="F12" s="425">
        <f>IFERROR(IF(AND(B12&gt;=INDEX('Facility Master'!AA:AA,MATCH(RBL_TL_SNo,'Facility Master'!A:A,0)),B12&lt;=INDEX('Facility Master'!AB:AB,MATCH(RBL_TL_SNo,'Facility Master'!A:A,0))),MIN(IFERROR(INDEX('Facility Master'!M:M,MATCH(RBL_TL_SNo,'Facility Master'!A:A,0))/INDEX('Facility Master'!Y:Y,MATCH(RBL_TL_SNo,'Facility Master'!A:A,0)),0),D12+E12),0),0)</f>
        <v>0</v>
      </c>
      <c r="G12" s="432">
        <f>IFERROR((D12+E12-F12/2)*INDEX('Facility Master'!T:T,MATCH(RBL_TL_SNo,'Facility Master'!A:A,0))*IF(B12&lt;INDEX('Facility Master'!Z:Z,MATCH(RBL_TL_SNo,'Facility Master'!A:A,0)),0,IF(D12=0,MAX(0,B12-INDEX('Facility Master'!Z:Z,MATCH(RBL_TL_SNo,'Facility Master'!A:A,0))),B12-B11))/DaysInYear,0)</f>
        <v>4.9150684931506845</v>
      </c>
      <c r="H12" s="432">
        <f t="shared" si="5"/>
        <v>200</v>
      </c>
      <c r="I12" s="433">
        <f t="shared" si="6"/>
        <v>300.22980000000001</v>
      </c>
      <c r="J12" s="433">
        <f>IFERROR(IF(AND(INDEX('Facility Master'!Z:Z,MATCH(YBL_TL_SNo,'Facility Master'!A:A,0))&gt;B11,INDEX('Facility Master'!Z:Z,MATCH(YBL_TL_SNo,'Facility Master'!A:A,0))&lt;=B12),INDEX('Facility Master'!M:M,MATCH(YBL_TL_SNo,'Facility Master'!A:A,0)),0),0)</f>
        <v>0</v>
      </c>
      <c r="K12" s="433">
        <f>IFERROR(IF(AND(B12&gt;=INDEX('Facility Master'!AA:AA,MATCH(YBL_TL_SNo,'Facility Master'!A:A,0)),B12&lt;=INDEX('Facility Master'!AB:AB,MATCH(YBL_TL_SNo,'Facility Master'!A:A,0))),MIN(IFERROR(INDEX('Facility Master'!M:M,MATCH(YBL_TL_SNo,'Facility Master'!A:A,0))/INDEX('Facility Master'!Y:Y,MATCH(YBL_TL_SNo,'Facility Master'!A:A,0)),0),I12+J12),0),0)</f>
        <v>6.823404255319149</v>
      </c>
      <c r="L12" s="433">
        <f>IFERROR((I12+J12-K12/2)*INDEX('Facility Master'!T:T,MATCH(YBL_TL_SNo,'Facility Master'!A:A,0))*IF(B12&lt;INDEX('Facility Master'!Z:Z,MATCH(YBL_TL_SNo,'Facility Master'!A:A,0)),0,IF(I12=0,MAX(0,B12-INDEX('Facility Master'!Z:Z,MATCH(YBL_TL_SNo,'Facility Master'!A:A,0))),B12-B11))/DaysInYear,0)</f>
        <v>5.7607106995278343</v>
      </c>
      <c r="M12" s="433">
        <f t="shared" si="7"/>
        <v>293.40640000000002</v>
      </c>
      <c r="N12" s="434">
        <f t="shared" si="8"/>
        <v>150</v>
      </c>
      <c r="O12" s="434">
        <f>IFERROR(IF(AND(INDEX('Facility Master'!Z:Z,MATCH(Bajaj_TL_SNo,'Facility Master'!A:A,0))&gt;B11,INDEX('Facility Master'!Z:Z,MATCH(Bajaj_TL_SNo,'Facility Master'!A:A,0))&lt;=B12),INDEX('Facility Master'!M:M,MATCH(Bajaj_TL_SNo,'Facility Master'!A:A,0)),0),0)</f>
        <v>0</v>
      </c>
      <c r="P12" s="434">
        <f>IFERROR(IF(AND(B12&gt;=INDEX('Facility Master'!AA:AA,MATCH(Bajaj_TL_SNo,'Facility Master'!A:A,0)),B12&lt;=INDEX('Facility Master'!AB:AB,MATCH(Bajaj_TL_SNo,'Facility Master'!A:A,0))),MIN(IFERROR(INDEX('Facility Master'!M:M,MATCH(Bajaj_TL_SNo,'Facility Master'!A:A,0))/INDEX('Facility Master'!Y:Y,MATCH(Bajaj_TL_SNo,'Facility Master'!A:A,0)),0),N12+O12),0),0)</f>
        <v>0</v>
      </c>
      <c r="Q12" s="434">
        <f>IFERROR((N12+O12-P12/2)*INDEX('Facility Master'!T:T,MATCH(Bajaj_TL_SNo,'Facility Master'!A:A,0))*IF(B12&lt;INDEX('Facility Master'!Z:Z,MATCH(Bajaj_TL_SNo,'Facility Master'!A:A,0)),0,IF(N12=0,MAX(0,B12-INDEX('Facility Master'!Z:Z,MATCH(Bajaj_TL_SNo,'Facility Master'!A:A,0))),B12-B11))/DaysInYear,0)</f>
        <v>3.2515068493150685</v>
      </c>
      <c r="R12" s="444">
        <f t="shared" si="9"/>
        <v>150</v>
      </c>
      <c r="S12" s="426">
        <f t="shared" si="0"/>
        <v>6.823404255319149</v>
      </c>
      <c r="T12" s="426">
        <f t="shared" si="1"/>
        <v>13.927286041993588</v>
      </c>
      <c r="U12" s="426">
        <f t="shared" si="2"/>
        <v>20.750690297312737</v>
      </c>
      <c r="V12" s="445">
        <f t="shared" si="3"/>
        <v>643.40640000000008</v>
      </c>
    </row>
    <row r="13" spans="1:26" ht="16.95" customHeight="1" x14ac:dyDescent="0.3">
      <c r="A13" s="429">
        <v>9</v>
      </c>
      <c r="B13" s="430">
        <v>46112</v>
      </c>
      <c r="C13" s="431" t="s">
        <v>191</v>
      </c>
      <c r="D13" s="432">
        <f t="shared" si="4"/>
        <v>200</v>
      </c>
      <c r="E13" s="432">
        <f>IFERROR(IF(AND(INDEX('Facility Master'!Z:Z,MATCH(RBL_TL_SNo,'Facility Master'!A:A,0))&gt;B12,INDEX('Facility Master'!Z:Z,MATCH(RBL_TL_SNo,'Facility Master'!A:A,0))&lt;=B13),INDEX('Facility Master'!M:M,MATCH(RBL_TL_SNo,'Facility Master'!A:A,0)),0),0)</f>
        <v>0</v>
      </c>
      <c r="F13" s="432">
        <f>IFERROR(IF(AND(B13&gt;=INDEX('Facility Master'!AA:AA,MATCH(RBL_TL_SNo,'Facility Master'!A:A,0)),B13&lt;=INDEX('Facility Master'!AB:AB,MATCH(RBL_TL_SNo,'Facility Master'!A:A,0))),MIN(IFERROR(INDEX('Facility Master'!M:M,MATCH(RBL_TL_SNo,'Facility Master'!A:A,0))/INDEX('Facility Master'!Y:Y,MATCH(RBL_TL_SNo,'Facility Master'!A:A,0)),0),D13+E13),0),0)</f>
        <v>16.666666666666668</v>
      </c>
      <c r="G13" s="432">
        <f>IFERROR((D13+E13-F13/2)*INDEX('Facility Master'!T:T,MATCH(RBL_TL_SNo,'Facility Master'!A:A,0))*IF(B13&lt;INDEX('Facility Master'!Z:Z,MATCH(RBL_TL_SNo,'Facility Master'!A:A,0)),0,IF(D13=0,MAX(0,B13-INDEX('Facility Master'!Z:Z,MATCH(RBL_TL_SNo,'Facility Master'!A:A,0))),B13-B12))/DaysInYear,0)</f>
        <v>4.6078767123287667</v>
      </c>
      <c r="H13" s="432">
        <f t="shared" si="5"/>
        <v>183.33330000000001</v>
      </c>
      <c r="I13" s="433">
        <f t="shared" si="6"/>
        <v>293.40640000000002</v>
      </c>
      <c r="J13" s="433">
        <f>IFERROR(IF(AND(INDEX('Facility Master'!Z:Z,MATCH(YBL_TL_SNo,'Facility Master'!A:A,0))&gt;B12,INDEX('Facility Master'!Z:Z,MATCH(YBL_TL_SNo,'Facility Master'!A:A,0))&lt;=B13),INDEX('Facility Master'!M:M,MATCH(YBL_TL_SNo,'Facility Master'!A:A,0)),0),0)</f>
        <v>0</v>
      </c>
      <c r="K13" s="433">
        <f>IFERROR(IF(AND(B13&gt;=INDEX('Facility Master'!AA:AA,MATCH(YBL_TL_SNo,'Facility Master'!A:A,0)),B13&lt;=INDEX('Facility Master'!AB:AB,MATCH(YBL_TL_SNo,'Facility Master'!A:A,0))),MIN(IFERROR(INDEX('Facility Master'!M:M,MATCH(YBL_TL_SNo,'Facility Master'!A:A,0))/INDEX('Facility Master'!Y:Y,MATCH(YBL_TL_SNo,'Facility Master'!A:A,0)),0),I13+J13),0),0)</f>
        <v>6.823404255319149</v>
      </c>
      <c r="L13" s="433">
        <f>IFERROR((I13+J13-K13/2)*INDEX('Facility Master'!T:T,MATCH(YBL_TL_SNo,'Facility Master'!A:A,0))*IF(B13&lt;INDEX('Facility Master'!Z:Z,MATCH(YBL_TL_SNo,'Facility Master'!A:A,0)),0,IF(I13=0,MAX(0,B13-INDEX('Facility Master'!Z:Z,MATCH(YBL_TL_SNo,'Facility Master'!A:A,0))),B13-B12))/DaysInYear,0)</f>
        <v>5.5059267294666281</v>
      </c>
      <c r="M13" s="433">
        <f t="shared" si="7"/>
        <v>286.58300000000003</v>
      </c>
      <c r="N13" s="434">
        <f t="shared" si="8"/>
        <v>150</v>
      </c>
      <c r="O13" s="434">
        <f>IFERROR(IF(AND(INDEX('Facility Master'!Z:Z,MATCH(Bajaj_TL_SNo,'Facility Master'!A:A,0))&gt;B12,INDEX('Facility Master'!Z:Z,MATCH(Bajaj_TL_SNo,'Facility Master'!A:A,0))&lt;=B13),INDEX('Facility Master'!M:M,MATCH(Bajaj_TL_SNo,'Facility Master'!A:A,0)),0),0)</f>
        <v>0</v>
      </c>
      <c r="P13" s="434">
        <f>IFERROR(IF(AND(B13&gt;=INDEX('Facility Master'!AA:AA,MATCH(Bajaj_TL_SNo,'Facility Master'!A:A,0)),B13&lt;=INDEX('Facility Master'!AB:AB,MATCH(Bajaj_TL_SNo,'Facility Master'!A:A,0))),MIN(IFERROR(INDEX('Facility Master'!M:M,MATCH(Bajaj_TL_SNo,'Facility Master'!A:A,0))/INDEX('Facility Master'!Y:Y,MATCH(Bajaj_TL_SNo,'Facility Master'!A:A,0)),0),N13+O13),0),0)</f>
        <v>0</v>
      </c>
      <c r="Q13" s="434">
        <f>IFERROR((N13+O13-P13/2)*INDEX('Facility Master'!T:T,MATCH(Bajaj_TL_SNo,'Facility Master'!A:A,0))*IF(B13&lt;INDEX('Facility Master'!Z:Z,MATCH(Bajaj_TL_SNo,'Facility Master'!A:A,0)),0,IF(N13=0,MAX(0,B13-INDEX('Facility Master'!Z:Z,MATCH(Bajaj_TL_SNo,'Facility Master'!A:A,0))),B13-B12))/DaysInYear,0)</f>
        <v>3.1808219178082191</v>
      </c>
      <c r="R13" s="434">
        <f t="shared" si="9"/>
        <v>150</v>
      </c>
      <c r="S13" s="435">
        <f t="shared" si="0"/>
        <v>23.490070921985819</v>
      </c>
      <c r="T13" s="435">
        <f t="shared" si="1"/>
        <v>13.294625359603613</v>
      </c>
      <c r="U13" s="435">
        <f t="shared" si="2"/>
        <v>36.784696281589433</v>
      </c>
      <c r="V13" s="436">
        <f t="shared" si="3"/>
        <v>619.91630000000009</v>
      </c>
    </row>
    <row r="14" spans="1:26" ht="15" customHeight="1" x14ac:dyDescent="0.3">
      <c r="A14" s="201">
        <v>10</v>
      </c>
      <c r="B14" s="202">
        <v>46203</v>
      </c>
      <c r="C14" s="203" t="s">
        <v>192</v>
      </c>
      <c r="D14" s="425">
        <f t="shared" si="4"/>
        <v>183.33330000000001</v>
      </c>
      <c r="E14" s="425">
        <f>IFERROR(IF(AND(INDEX('Facility Master'!Z:Z,MATCH(RBL_TL_SNo,'Facility Master'!A:A,0))&gt;B13,INDEX('Facility Master'!Z:Z,MATCH(RBL_TL_SNo,'Facility Master'!A:A,0))&lt;=B14),INDEX('Facility Master'!M:M,MATCH(RBL_TL_SNo,'Facility Master'!A:A,0)),0),0)</f>
        <v>0</v>
      </c>
      <c r="F14" s="425">
        <f>IFERROR(IF(AND(B14&gt;=INDEX('Facility Master'!AA:AA,MATCH(RBL_TL_SNo,'Facility Master'!A:A,0)),B14&lt;=INDEX('Facility Master'!AB:AB,MATCH(RBL_TL_SNo,'Facility Master'!A:A,0))),MIN(IFERROR(INDEX('Facility Master'!M:M,MATCH(RBL_TL_SNo,'Facility Master'!A:A,0))/INDEX('Facility Master'!Y:Y,MATCH(RBL_TL_SNo,'Facility Master'!A:A,0)),0),D14+E14),0),0)</f>
        <v>16.666666666666668</v>
      </c>
      <c r="G14" s="432">
        <f>IFERROR((D14+E14-F14/2)*INDEX('Facility Master'!T:T,MATCH(RBL_TL_SNo,'Facility Master'!A:A,0))*IF(B14&lt;INDEX('Facility Master'!Z:Z,MATCH(RBL_TL_SNo,'Facility Master'!A:A,0)),0,IF(D14=0,MAX(0,B14-INDEX('Facility Master'!Z:Z,MATCH(RBL_TL_SNo,'Facility Master'!A:A,0))),B14-B13))/DaysInYear,0)</f>
        <v>4.2539375458904116</v>
      </c>
      <c r="H14" s="432">
        <f t="shared" si="5"/>
        <v>166.66659999999999</v>
      </c>
      <c r="I14" s="433">
        <f t="shared" si="6"/>
        <v>286.58300000000003</v>
      </c>
      <c r="J14" s="433">
        <f>IFERROR(IF(AND(INDEX('Facility Master'!Z:Z,MATCH(YBL_TL_SNo,'Facility Master'!A:A,0))&gt;B13,INDEX('Facility Master'!Z:Z,MATCH(YBL_TL_SNo,'Facility Master'!A:A,0))&lt;=B14),INDEX('Facility Master'!M:M,MATCH(YBL_TL_SNo,'Facility Master'!A:A,0)),0),0)</f>
        <v>0</v>
      </c>
      <c r="K14" s="433">
        <f>IFERROR(IF(AND(B14&gt;=INDEX('Facility Master'!AA:AA,MATCH(YBL_TL_SNo,'Facility Master'!A:A,0)),B14&lt;=INDEX('Facility Master'!AB:AB,MATCH(YBL_TL_SNo,'Facility Master'!A:A,0))),MIN(IFERROR(INDEX('Facility Master'!M:M,MATCH(YBL_TL_SNo,'Facility Master'!A:A,0))/INDEX('Facility Master'!Y:Y,MATCH(YBL_TL_SNo,'Facility Master'!A:A,0)),0),I14+J14),0),0)</f>
        <v>6.823404255319149</v>
      </c>
      <c r="L14" s="433">
        <f>IFERROR((I14+J14-K14/2)*INDEX('Facility Master'!T:T,MATCH(YBL_TL_SNo,'Facility Master'!A:A,0))*IF(B14&lt;INDEX('Facility Master'!Z:Z,MATCH(YBL_TL_SNo,'Facility Master'!A:A,0)),0,IF(I14=0,MAX(0,B14-INDEX('Facility Master'!Z:Z,MATCH(YBL_TL_SNo,'Facility Master'!A:A,0))),B14-B13))/DaysInYear,0)</f>
        <v>5.4361131073739442</v>
      </c>
      <c r="M14" s="433">
        <f t="shared" si="7"/>
        <v>279.75959999999998</v>
      </c>
      <c r="N14" s="434">
        <f t="shared" si="8"/>
        <v>150</v>
      </c>
      <c r="O14" s="434">
        <f>IFERROR(IF(AND(INDEX('Facility Master'!Z:Z,MATCH(Bajaj_TL_SNo,'Facility Master'!A:A,0))&gt;B13,INDEX('Facility Master'!Z:Z,MATCH(Bajaj_TL_SNo,'Facility Master'!A:A,0))&lt;=B14),INDEX('Facility Master'!M:M,MATCH(Bajaj_TL_SNo,'Facility Master'!A:A,0)),0),0)</f>
        <v>0</v>
      </c>
      <c r="P14" s="434">
        <f>IFERROR(IF(AND(B14&gt;=INDEX('Facility Master'!AA:AA,MATCH(Bajaj_TL_SNo,'Facility Master'!A:A,0)),B14&lt;=INDEX('Facility Master'!AB:AB,MATCH(Bajaj_TL_SNo,'Facility Master'!A:A,0))),MIN(IFERROR(INDEX('Facility Master'!M:M,MATCH(Bajaj_TL_SNo,'Facility Master'!A:A,0))/INDEX('Facility Master'!Y:Y,MATCH(Bajaj_TL_SNo,'Facility Master'!A:A,0)),0),N14+O14),0),0)</f>
        <v>0</v>
      </c>
      <c r="Q14" s="434">
        <f>IFERROR((N14+O14-P14/2)*INDEX('Facility Master'!T:T,MATCH(Bajaj_TL_SNo,'Facility Master'!A:A,0))*IF(B14&lt;INDEX('Facility Master'!Z:Z,MATCH(Bajaj_TL_SNo,'Facility Master'!A:A,0)),0,IF(N14=0,MAX(0,B14-INDEX('Facility Master'!Z:Z,MATCH(Bajaj_TL_SNo,'Facility Master'!A:A,0))),B14-B13))/DaysInYear,0)</f>
        <v>3.2161643835616442</v>
      </c>
      <c r="R14" s="444">
        <f t="shared" si="9"/>
        <v>150</v>
      </c>
      <c r="S14" s="426">
        <f t="shared" si="0"/>
        <v>23.490070921985819</v>
      </c>
      <c r="T14" s="426">
        <f t="shared" si="1"/>
        <v>12.906215036826</v>
      </c>
      <c r="U14" s="426">
        <f t="shared" si="2"/>
        <v>36.396285958811816</v>
      </c>
      <c r="V14" s="445">
        <f t="shared" si="3"/>
        <v>596.42619999999999</v>
      </c>
    </row>
    <row r="15" spans="1:26" ht="15" customHeight="1" x14ac:dyDescent="0.3">
      <c r="A15" s="198">
        <v>11</v>
      </c>
      <c r="B15" s="199">
        <v>46295</v>
      </c>
      <c r="C15" s="200" t="s">
        <v>193</v>
      </c>
      <c r="D15" s="427">
        <f t="shared" si="4"/>
        <v>166.66659999999999</v>
      </c>
      <c r="E15" s="427">
        <f>IFERROR(IF(AND(INDEX('Facility Master'!Z:Z,MATCH(RBL_TL_SNo,'Facility Master'!A:A,0))&gt;B14,INDEX('Facility Master'!Z:Z,MATCH(RBL_TL_SNo,'Facility Master'!A:A,0))&lt;=B15),INDEX('Facility Master'!M:M,MATCH(RBL_TL_SNo,'Facility Master'!A:A,0)),0),0)</f>
        <v>0</v>
      </c>
      <c r="F15" s="427">
        <f>IFERROR(IF(AND(B15&gt;=INDEX('Facility Master'!AA:AA,MATCH(RBL_TL_SNo,'Facility Master'!A:A,0)),B15&lt;=INDEX('Facility Master'!AB:AB,MATCH(RBL_TL_SNo,'Facility Master'!A:A,0))),MIN(IFERROR(INDEX('Facility Master'!M:M,MATCH(RBL_TL_SNo,'Facility Master'!A:A,0))/INDEX('Facility Master'!Y:Y,MATCH(RBL_TL_SNo,'Facility Master'!A:A,0)),0),D15+E15),0),0)</f>
        <v>16.666666666666668</v>
      </c>
      <c r="G15" s="432">
        <f>IFERROR((D15+E15-F15/2)*INDEX('Facility Master'!T:T,MATCH(RBL_TL_SNo,'Facility Master'!A:A,0))*IF(B15&lt;INDEX('Facility Master'!Z:Z,MATCH(RBL_TL_SNo,'Facility Master'!A:A,0)),0,IF(D15=0,MAX(0,B15-INDEX('Facility Master'!Z:Z,MATCH(RBL_TL_SNo,'Facility Master'!A:A,0))),B15-B14))/DaysInYear,0)</f>
        <v>3.8910942520547942</v>
      </c>
      <c r="H15" s="432">
        <f t="shared" si="5"/>
        <v>149.9999</v>
      </c>
      <c r="I15" s="433">
        <f t="shared" si="6"/>
        <v>279.75959999999998</v>
      </c>
      <c r="J15" s="433">
        <f>IFERROR(IF(AND(INDEX('Facility Master'!Z:Z,MATCH(YBL_TL_SNo,'Facility Master'!A:A,0))&gt;B14,INDEX('Facility Master'!Z:Z,MATCH(YBL_TL_SNo,'Facility Master'!A:A,0))&lt;=B15),INDEX('Facility Master'!M:M,MATCH(YBL_TL_SNo,'Facility Master'!A:A,0)),0),0)</f>
        <v>0</v>
      </c>
      <c r="K15" s="433">
        <f>IFERROR(IF(AND(B15&gt;=INDEX('Facility Master'!AA:AA,MATCH(YBL_TL_SNo,'Facility Master'!A:A,0)),B15&lt;=INDEX('Facility Master'!AB:AB,MATCH(YBL_TL_SNo,'Facility Master'!A:A,0))),MIN(IFERROR(INDEX('Facility Master'!M:M,MATCH(YBL_TL_SNo,'Facility Master'!A:A,0))/INDEX('Facility Master'!Y:Y,MATCH(YBL_TL_SNo,'Facility Master'!A:A,0)),0),I15+J15),0),0)</f>
        <v>6.823404255319149</v>
      </c>
      <c r="L15" s="433">
        <f>IFERROR((I15+J15-K15/2)*INDEX('Facility Master'!T:T,MATCH(YBL_TL_SNo,'Facility Master'!A:A,0))*IF(B15&lt;INDEX('Facility Master'!Z:Z,MATCH(YBL_TL_SNo,'Facility Master'!A:A,0)),0,IF(I15=0,MAX(0,B15-INDEX('Facility Master'!Z:Z,MATCH(YBL_TL_SNo,'Facility Master'!A:A,0))),B15-B14))/DaysInYear,0)</f>
        <v>5.3634205713086551</v>
      </c>
      <c r="M15" s="433">
        <f t="shared" si="7"/>
        <v>272.93619999999999</v>
      </c>
      <c r="N15" s="434">
        <f t="shared" si="8"/>
        <v>150</v>
      </c>
      <c r="O15" s="434">
        <f>IFERROR(IF(AND(INDEX('Facility Master'!Z:Z,MATCH(Bajaj_TL_SNo,'Facility Master'!A:A,0))&gt;B14,INDEX('Facility Master'!Z:Z,MATCH(Bajaj_TL_SNo,'Facility Master'!A:A,0))&lt;=B15),INDEX('Facility Master'!M:M,MATCH(Bajaj_TL_SNo,'Facility Master'!A:A,0)),0),0)</f>
        <v>0</v>
      </c>
      <c r="P15" s="434">
        <f>IFERROR(IF(AND(B15&gt;=INDEX('Facility Master'!AA:AA,MATCH(Bajaj_TL_SNo,'Facility Master'!A:A,0)),B15&lt;=INDEX('Facility Master'!AB:AB,MATCH(Bajaj_TL_SNo,'Facility Master'!A:A,0))),MIN(IFERROR(INDEX('Facility Master'!M:M,MATCH(Bajaj_TL_SNo,'Facility Master'!A:A,0))/INDEX('Facility Master'!Y:Y,MATCH(Bajaj_TL_SNo,'Facility Master'!A:A,0)),0),N15+O15),0),0)</f>
        <v>5.3571428571428568</v>
      </c>
      <c r="Q15" s="434">
        <f>IFERROR((N15+O15-P15/2)*INDEX('Facility Master'!T:T,MATCH(Bajaj_TL_SNo,'Facility Master'!A:A,0))*IF(B15&lt;INDEX('Facility Master'!Z:Z,MATCH(Bajaj_TL_SNo,'Facility Master'!A:A,0)),0,IF(N15=0,MAX(0,B15-INDEX('Facility Master'!Z:Z,MATCH(Bajaj_TL_SNo,'Facility Master'!A:A,0))),B15-B14))/DaysInYear,0)</f>
        <v>3.1934442270058714</v>
      </c>
      <c r="R15" s="444">
        <f t="shared" si="9"/>
        <v>144.6429</v>
      </c>
      <c r="S15" s="428">
        <f t="shared" si="0"/>
        <v>28.847213779128676</v>
      </c>
      <c r="T15" s="428">
        <f t="shared" si="1"/>
        <v>12.44795905036932</v>
      </c>
      <c r="U15" s="428">
        <f t="shared" si="2"/>
        <v>41.295172829498</v>
      </c>
      <c r="V15" s="445">
        <f t="shared" si="3"/>
        <v>567.57899999999995</v>
      </c>
    </row>
    <row r="16" spans="1:26" ht="15" customHeight="1" x14ac:dyDescent="0.3">
      <c r="A16" s="201">
        <v>12</v>
      </c>
      <c r="B16" s="202">
        <v>46387</v>
      </c>
      <c r="C16" s="203" t="s">
        <v>194</v>
      </c>
      <c r="D16" s="425">
        <f t="shared" si="4"/>
        <v>149.9999</v>
      </c>
      <c r="E16" s="425">
        <f>IFERROR(IF(AND(INDEX('Facility Master'!Z:Z,MATCH(RBL_TL_SNo,'Facility Master'!A:A,0))&gt;B15,INDEX('Facility Master'!Z:Z,MATCH(RBL_TL_SNo,'Facility Master'!A:A,0))&lt;=B16),INDEX('Facility Master'!M:M,MATCH(RBL_TL_SNo,'Facility Master'!A:A,0)),0),0)</f>
        <v>0</v>
      </c>
      <c r="F16" s="425">
        <f>IFERROR(IF(AND(B16&gt;=INDEX('Facility Master'!AA:AA,MATCH(RBL_TL_SNo,'Facility Master'!A:A,0)),B16&lt;=INDEX('Facility Master'!AB:AB,MATCH(RBL_TL_SNo,'Facility Master'!A:A,0))),MIN(IFERROR(INDEX('Facility Master'!M:M,MATCH(RBL_TL_SNo,'Facility Master'!A:A,0))/INDEX('Facility Master'!Y:Y,MATCH(RBL_TL_SNo,'Facility Master'!A:A,0)),0),D16+E16),0),0)</f>
        <v>16.666666666666668</v>
      </c>
      <c r="G16" s="432">
        <f>IFERROR((D16+E16-F16/2)*INDEX('Facility Master'!T:T,MATCH(RBL_TL_SNo,'Facility Master'!A:A,0))*IF(B16&lt;INDEX('Facility Master'!Z:Z,MATCH(RBL_TL_SNo,'Facility Master'!A:A,0)),0,IF(D16=0,MAX(0,B16-INDEX('Facility Master'!Z:Z,MATCH(RBL_TL_SNo,'Facility Master'!A:A,0))),B16-B15))/DaysInYear,0)</f>
        <v>3.4815043917808217</v>
      </c>
      <c r="H16" s="432">
        <f t="shared" si="5"/>
        <v>133.33320000000001</v>
      </c>
      <c r="I16" s="433">
        <f t="shared" si="6"/>
        <v>272.93619999999999</v>
      </c>
      <c r="J16" s="433">
        <f>IFERROR(IF(AND(INDEX('Facility Master'!Z:Z,MATCH(YBL_TL_SNo,'Facility Master'!A:A,0))&gt;B15,INDEX('Facility Master'!Z:Z,MATCH(YBL_TL_SNo,'Facility Master'!A:A,0))&lt;=B16),INDEX('Facility Master'!M:M,MATCH(YBL_TL_SNo,'Facility Master'!A:A,0)),0),0)</f>
        <v>0</v>
      </c>
      <c r="K16" s="433">
        <f>IFERROR(IF(AND(B16&gt;=INDEX('Facility Master'!AA:AA,MATCH(YBL_TL_SNo,'Facility Master'!A:A,0)),B16&lt;=INDEX('Facility Master'!AB:AB,MATCH(YBL_TL_SNo,'Facility Master'!A:A,0))),MIN(IFERROR(INDEX('Facility Master'!M:M,MATCH(YBL_TL_SNo,'Facility Master'!A:A,0))/INDEX('Facility Master'!Y:Y,MATCH(YBL_TL_SNo,'Facility Master'!A:A,0)),0),I16+J16),0),0)</f>
        <v>6.823404255319149</v>
      </c>
      <c r="L16" s="433">
        <f>IFERROR((I16+J16-K16/2)*INDEX('Facility Master'!T:T,MATCH(YBL_TL_SNo,'Facility Master'!A:A,0))*IF(B16&lt;INDEX('Facility Master'!Z:Z,MATCH(YBL_TL_SNo,'Facility Master'!A:A,0)),0,IF(I16=0,MAX(0,B16-INDEX('Facility Master'!Z:Z,MATCH(YBL_TL_SNo,'Facility Master'!A:A,0))),B16-B15))/DaysInYear,0)</f>
        <v>5.2309905285689302</v>
      </c>
      <c r="M16" s="433">
        <f t="shared" si="7"/>
        <v>266.11279999999999</v>
      </c>
      <c r="N16" s="434">
        <f t="shared" si="8"/>
        <v>144.6429</v>
      </c>
      <c r="O16" s="434">
        <f>IFERROR(IF(AND(INDEX('Facility Master'!Z:Z,MATCH(Bajaj_TL_SNo,'Facility Master'!A:A,0))&gt;B15,INDEX('Facility Master'!Z:Z,MATCH(Bajaj_TL_SNo,'Facility Master'!A:A,0))&lt;=B16),INDEX('Facility Master'!M:M,MATCH(Bajaj_TL_SNo,'Facility Master'!A:A,0)),0),0)</f>
        <v>0</v>
      </c>
      <c r="P16" s="434">
        <f>IFERROR(IF(AND(B16&gt;=INDEX('Facility Master'!AA:AA,MATCH(Bajaj_TL_SNo,'Facility Master'!A:A,0)),B16&lt;=INDEX('Facility Master'!AB:AB,MATCH(Bajaj_TL_SNo,'Facility Master'!A:A,0))),MIN(IFERROR(INDEX('Facility Master'!M:M,MATCH(Bajaj_TL_SNo,'Facility Master'!A:A,0))/INDEX('Facility Master'!Y:Y,MATCH(Bajaj_TL_SNo,'Facility Master'!A:A,0)),0),N16+O16),0),0)</f>
        <v>5.3571428571428568</v>
      </c>
      <c r="Q16" s="434">
        <f>IFERROR((N16+O16-P16/2)*INDEX('Facility Master'!T:T,MATCH(Bajaj_TL_SNo,'Facility Master'!A:A,0))*IF(B16&lt;INDEX('Facility Master'!Z:Z,MATCH(Bajaj_TL_SNo,'Facility Master'!A:A,0)),0,IF(N16=0,MAX(0,B16-INDEX('Facility Master'!Z:Z,MATCH(Bajaj_TL_SNo,'Facility Master'!A:A,0))),B16-B15))/DaysInYear,0)</f>
        <v>3.0773199113894334</v>
      </c>
      <c r="R16" s="444">
        <f t="shared" si="9"/>
        <v>139.28579999999999</v>
      </c>
      <c r="S16" s="426">
        <f t="shared" si="0"/>
        <v>28.847213779128676</v>
      </c>
      <c r="T16" s="426">
        <f t="shared" si="1"/>
        <v>11.789814831739186</v>
      </c>
      <c r="U16" s="426">
        <f t="shared" si="2"/>
        <v>40.637028610867858</v>
      </c>
      <c r="V16" s="445">
        <f t="shared" si="3"/>
        <v>538.73180000000002</v>
      </c>
    </row>
    <row r="17" spans="1:22" ht="16.95" customHeight="1" x14ac:dyDescent="0.3">
      <c r="A17" s="429">
        <v>13</v>
      </c>
      <c r="B17" s="430">
        <v>46477</v>
      </c>
      <c r="C17" s="431" t="s">
        <v>195</v>
      </c>
      <c r="D17" s="432">
        <f t="shared" si="4"/>
        <v>133.33320000000001</v>
      </c>
      <c r="E17" s="432">
        <f>IFERROR(IF(AND(INDEX('Facility Master'!Z:Z,MATCH(RBL_TL_SNo,'Facility Master'!A:A,0))&gt;B16,INDEX('Facility Master'!Z:Z,MATCH(RBL_TL_SNo,'Facility Master'!A:A,0))&lt;=B17),INDEX('Facility Master'!M:M,MATCH(RBL_TL_SNo,'Facility Master'!A:A,0)),0),0)</f>
        <v>0</v>
      </c>
      <c r="F17" s="432">
        <f>IFERROR(IF(AND(B17&gt;=INDEX('Facility Master'!AA:AA,MATCH(RBL_TL_SNo,'Facility Master'!A:A,0)),B17&lt;=INDEX('Facility Master'!AB:AB,MATCH(RBL_TL_SNo,'Facility Master'!A:A,0))),MIN(IFERROR(INDEX('Facility Master'!M:M,MATCH(RBL_TL_SNo,'Facility Master'!A:A,0))/INDEX('Facility Master'!Y:Y,MATCH(RBL_TL_SNo,'Facility Master'!A:A,0)),0),D17+E17),0),0)</f>
        <v>16.666666666666668</v>
      </c>
      <c r="G17" s="432">
        <f>IFERROR((D17+E17-F17/2)*INDEX('Facility Master'!T:T,MATCH(RBL_TL_SNo,'Facility Master'!A:A,0))*IF(B17&lt;INDEX('Facility Master'!Z:Z,MATCH(RBL_TL_SNo,'Facility Master'!A:A,0)),0,IF(D17=0,MAX(0,B17-INDEX('Facility Master'!Z:Z,MATCH(RBL_TL_SNo,'Facility Master'!A:A,0))),B17-B16))/DaysInYear,0)</f>
        <v>3.0051337808219176</v>
      </c>
      <c r="H17" s="432">
        <f t="shared" si="5"/>
        <v>116.6665</v>
      </c>
      <c r="I17" s="433">
        <f t="shared" si="6"/>
        <v>266.11279999999999</v>
      </c>
      <c r="J17" s="433">
        <f>IFERROR(IF(AND(INDEX('Facility Master'!Z:Z,MATCH(YBL_TL_SNo,'Facility Master'!A:A,0))&gt;B16,INDEX('Facility Master'!Z:Z,MATCH(YBL_TL_SNo,'Facility Master'!A:A,0))&lt;=B17),INDEX('Facility Master'!M:M,MATCH(YBL_TL_SNo,'Facility Master'!A:A,0)),0),0)</f>
        <v>0</v>
      </c>
      <c r="K17" s="433">
        <f>IFERROR(IF(AND(B17&gt;=INDEX('Facility Master'!AA:AA,MATCH(YBL_TL_SNo,'Facility Master'!A:A,0)),B17&lt;=INDEX('Facility Master'!AB:AB,MATCH(YBL_TL_SNo,'Facility Master'!A:A,0))),MIN(IFERROR(INDEX('Facility Master'!M:M,MATCH(YBL_TL_SNo,'Facility Master'!A:A,0))/INDEX('Facility Master'!Y:Y,MATCH(YBL_TL_SNo,'Facility Master'!A:A,0)),0),I17+J17),0),0)</f>
        <v>6.823404255319149</v>
      </c>
      <c r="L17" s="433">
        <f>IFERROR((I17+J17-K17/2)*INDEX('Facility Master'!T:T,MATCH(YBL_TL_SNo,'Facility Master'!A:A,0))*IF(B17&lt;INDEX('Facility Master'!Z:Z,MATCH(YBL_TL_SNo,'Facility Master'!A:A,0)),0,IF(I17=0,MAX(0,B17-INDEX('Facility Master'!Z:Z,MATCH(YBL_TL_SNo,'Facility Master'!A:A,0))),B17-B16))/DaysInYear,0)</f>
        <v>4.9877222143981346</v>
      </c>
      <c r="M17" s="433">
        <f t="shared" si="7"/>
        <v>259.2894</v>
      </c>
      <c r="N17" s="434">
        <f t="shared" si="8"/>
        <v>139.28579999999999</v>
      </c>
      <c r="O17" s="434">
        <f>IFERROR(IF(AND(INDEX('Facility Master'!Z:Z,MATCH(Bajaj_TL_SNo,'Facility Master'!A:A,0))&gt;B16,INDEX('Facility Master'!Z:Z,MATCH(Bajaj_TL_SNo,'Facility Master'!A:A,0))&lt;=B17),INDEX('Facility Master'!M:M,MATCH(Bajaj_TL_SNo,'Facility Master'!A:A,0)),0),0)</f>
        <v>0</v>
      </c>
      <c r="P17" s="434">
        <f>IFERROR(IF(AND(B17&gt;=INDEX('Facility Master'!AA:AA,MATCH(Bajaj_TL_SNo,'Facility Master'!A:A,0)),B17&lt;=INDEX('Facility Master'!AB:AB,MATCH(Bajaj_TL_SNo,'Facility Master'!A:A,0))),MIN(IFERROR(INDEX('Facility Master'!M:M,MATCH(Bajaj_TL_SNo,'Facility Master'!A:A,0))/INDEX('Facility Master'!Y:Y,MATCH(Bajaj_TL_SNo,'Facility Master'!A:A,0)),0),N17+O17),0),0)</f>
        <v>5.3571428571428568</v>
      </c>
      <c r="Q17" s="434">
        <f>IFERROR((N17+O17-P17/2)*INDEX('Facility Master'!T:T,MATCH(Bajaj_TL_SNo,'Facility Master'!A:A,0))*IF(B17&lt;INDEX('Facility Master'!Z:Z,MATCH(Bajaj_TL_SNo,'Facility Master'!A:A,0)),0,IF(N17=0,MAX(0,B17-INDEX('Facility Master'!Z:Z,MATCH(Bajaj_TL_SNo,'Facility Master'!A:A,0))),B17-B16))/DaysInYear,0)</f>
        <v>2.8968217784735812</v>
      </c>
      <c r="R17" s="434">
        <f t="shared" si="9"/>
        <v>133.92869999999999</v>
      </c>
      <c r="S17" s="435">
        <f t="shared" si="0"/>
        <v>28.847213779128676</v>
      </c>
      <c r="T17" s="435">
        <f t="shared" si="1"/>
        <v>10.889677773693634</v>
      </c>
      <c r="U17" s="435">
        <f t="shared" si="2"/>
        <v>39.736891552822314</v>
      </c>
      <c r="V17" s="436">
        <f t="shared" si="3"/>
        <v>509.88459999999998</v>
      </c>
    </row>
    <row r="18" spans="1:22" ht="15" customHeight="1" x14ac:dyDescent="0.3">
      <c r="A18" s="201">
        <v>14</v>
      </c>
      <c r="B18" s="202">
        <v>46568</v>
      </c>
      <c r="C18" s="203" t="s">
        <v>196</v>
      </c>
      <c r="D18" s="425">
        <f t="shared" si="4"/>
        <v>116.6665</v>
      </c>
      <c r="E18" s="425">
        <f>IFERROR(IF(AND(INDEX('Facility Master'!Z:Z,MATCH(RBL_TL_SNo,'Facility Master'!A:A,0))&gt;B17,INDEX('Facility Master'!Z:Z,MATCH(RBL_TL_SNo,'Facility Master'!A:A,0))&lt;=B18),INDEX('Facility Master'!M:M,MATCH(RBL_TL_SNo,'Facility Master'!A:A,0)),0),0)</f>
        <v>0</v>
      </c>
      <c r="F18" s="425">
        <f>IFERROR(IF(AND(B18&gt;=INDEX('Facility Master'!AA:AA,MATCH(RBL_TL_SNo,'Facility Master'!A:A,0)),B18&lt;=INDEX('Facility Master'!AB:AB,MATCH(RBL_TL_SNo,'Facility Master'!A:A,0))),MIN(IFERROR(INDEX('Facility Master'!M:M,MATCH(RBL_TL_SNo,'Facility Master'!A:A,0))/INDEX('Facility Master'!Y:Y,MATCH(RBL_TL_SNo,'Facility Master'!A:A,0)),0),D18+E18),0),0)</f>
        <v>16.666666666666668</v>
      </c>
      <c r="G18" s="432">
        <f>IFERROR((D18+E18-F18/2)*INDEX('Facility Master'!T:T,MATCH(RBL_TL_SNo,'Facility Master'!A:A,0))*IF(B18&lt;INDEX('Facility Master'!Z:Z,MATCH(RBL_TL_SNo,'Facility Master'!A:A,0)),0,IF(D18=0,MAX(0,B18-INDEX('Facility Master'!Z:Z,MATCH(RBL_TL_SNo,'Facility Master'!A:A,0))),B18-B17))/DaysInYear,0)</f>
        <v>2.6333863595890414</v>
      </c>
      <c r="H18" s="432">
        <f t="shared" si="5"/>
        <v>99.999799999999993</v>
      </c>
      <c r="I18" s="433">
        <f t="shared" si="6"/>
        <v>259.2894</v>
      </c>
      <c r="J18" s="433">
        <f>IFERROR(IF(AND(INDEX('Facility Master'!Z:Z,MATCH(YBL_TL_SNo,'Facility Master'!A:A,0))&gt;B17,INDEX('Facility Master'!Z:Z,MATCH(YBL_TL_SNo,'Facility Master'!A:A,0))&lt;=B18),INDEX('Facility Master'!M:M,MATCH(YBL_TL_SNo,'Facility Master'!A:A,0)),0),0)</f>
        <v>0</v>
      </c>
      <c r="K18" s="433">
        <f>IFERROR(IF(AND(B18&gt;=INDEX('Facility Master'!AA:AA,MATCH(YBL_TL_SNo,'Facility Master'!A:A,0)),B18&lt;=INDEX('Facility Master'!AB:AB,MATCH(YBL_TL_SNo,'Facility Master'!A:A,0))),MIN(IFERROR(INDEX('Facility Master'!M:M,MATCH(YBL_TL_SNo,'Facility Master'!A:A,0))/INDEX('Facility Master'!Y:Y,MATCH(YBL_TL_SNo,'Facility Master'!A:A,0)),0),I18+J18),0),0)</f>
        <v>6.823404255319149</v>
      </c>
      <c r="L18" s="433">
        <f>IFERROR((I18+J18-K18/2)*INDEX('Facility Master'!T:T,MATCH(YBL_TL_SNo,'Facility Master'!A:A,0))*IF(B18&lt;INDEX('Facility Master'!Z:Z,MATCH(YBL_TL_SNo,'Facility Master'!A:A,0)),0,IF(I18=0,MAX(0,B18-INDEX('Facility Master'!Z:Z,MATCH(YBL_TL_SNo,'Facility Master'!A:A,0))),B18-B17))/DaysInYear,0)</f>
        <v>4.9121507643602449</v>
      </c>
      <c r="M18" s="433">
        <f t="shared" si="7"/>
        <v>252.46600000000001</v>
      </c>
      <c r="N18" s="434">
        <f t="shared" si="8"/>
        <v>133.92869999999999</v>
      </c>
      <c r="O18" s="434">
        <f>IFERROR(IF(AND(INDEX('Facility Master'!Z:Z,MATCH(Bajaj_TL_SNo,'Facility Master'!A:A,0))&gt;B17,INDEX('Facility Master'!Z:Z,MATCH(Bajaj_TL_SNo,'Facility Master'!A:A,0))&lt;=B18),INDEX('Facility Master'!M:M,MATCH(Bajaj_TL_SNo,'Facility Master'!A:A,0)),0),0)</f>
        <v>0</v>
      </c>
      <c r="P18" s="434">
        <f>IFERROR(IF(AND(B18&gt;=INDEX('Facility Master'!AA:AA,MATCH(Bajaj_TL_SNo,'Facility Master'!A:A,0)),B18&lt;=INDEX('Facility Master'!AB:AB,MATCH(Bajaj_TL_SNo,'Facility Master'!A:A,0))),MIN(IFERROR(INDEX('Facility Master'!M:M,MATCH(Bajaj_TL_SNo,'Facility Master'!A:A,0))/INDEX('Facility Master'!Y:Y,MATCH(Bajaj_TL_SNo,'Facility Master'!A:A,0)),0),N18+O18),0),0)</f>
        <v>5.3571428571428568</v>
      </c>
      <c r="Q18" s="434">
        <f>IFERROR((N18+O18-P18/2)*INDEX('Facility Master'!T:T,MATCH(Bajaj_TL_SNo,'Facility Master'!A:A,0))*IF(B18&lt;INDEX('Facility Master'!Z:Z,MATCH(Bajaj_TL_SNo,'Facility Master'!A:A,0)),0,IF(N18=0,MAX(0,B18-INDEX('Facility Master'!Z:Z,MATCH(Bajaj_TL_SNo,'Facility Master'!A:A,0))),B18-B17))/DaysInYear,0)</f>
        <v>2.8141465923287674</v>
      </c>
      <c r="R18" s="444">
        <f t="shared" si="9"/>
        <v>128.57159999999999</v>
      </c>
      <c r="S18" s="426">
        <f t="shared" si="0"/>
        <v>28.847213779128676</v>
      </c>
      <c r="T18" s="426">
        <f t="shared" si="1"/>
        <v>10.359683716278052</v>
      </c>
      <c r="U18" s="426">
        <f t="shared" si="2"/>
        <v>39.206897495406729</v>
      </c>
      <c r="V18" s="445">
        <f t="shared" si="3"/>
        <v>481.03739999999999</v>
      </c>
    </row>
    <row r="19" spans="1:22" ht="15" customHeight="1" x14ac:dyDescent="0.3">
      <c r="A19" s="198">
        <v>15</v>
      </c>
      <c r="B19" s="199">
        <v>46660</v>
      </c>
      <c r="C19" s="200" t="s">
        <v>197</v>
      </c>
      <c r="D19" s="427">
        <f t="shared" si="4"/>
        <v>99.999799999999993</v>
      </c>
      <c r="E19" s="427">
        <f>IFERROR(IF(AND(INDEX('Facility Master'!Z:Z,MATCH(RBL_TL_SNo,'Facility Master'!A:A,0))&gt;B18,INDEX('Facility Master'!Z:Z,MATCH(RBL_TL_SNo,'Facility Master'!A:A,0))&lt;=B19),INDEX('Facility Master'!M:M,MATCH(RBL_TL_SNo,'Facility Master'!A:A,0)),0),0)</f>
        <v>0</v>
      </c>
      <c r="F19" s="427">
        <f>IFERROR(IF(AND(B19&gt;=INDEX('Facility Master'!AA:AA,MATCH(RBL_TL_SNo,'Facility Master'!A:A,0)),B19&lt;=INDEX('Facility Master'!AB:AB,MATCH(RBL_TL_SNo,'Facility Master'!A:A,0))),MIN(IFERROR(INDEX('Facility Master'!M:M,MATCH(RBL_TL_SNo,'Facility Master'!A:A,0))/INDEX('Facility Master'!Y:Y,MATCH(RBL_TL_SNo,'Facility Master'!A:A,0)),0),D19+E19),0),0)</f>
        <v>16.666666666666668</v>
      </c>
      <c r="G19" s="432">
        <f>IFERROR((D19+E19-F19/2)*INDEX('Facility Master'!T:T,MATCH(RBL_TL_SNo,'Facility Master'!A:A,0))*IF(B19&lt;INDEX('Facility Master'!Z:Z,MATCH(RBL_TL_SNo,'Facility Master'!A:A,0)),0,IF(D19=0,MAX(0,B19-INDEX('Facility Master'!Z:Z,MATCH(RBL_TL_SNo,'Facility Master'!A:A,0))),B19-B18))/DaysInYear,0)</f>
        <v>2.2527348109589043</v>
      </c>
      <c r="H19" s="432">
        <f t="shared" si="5"/>
        <v>83.333100000000002</v>
      </c>
      <c r="I19" s="433">
        <f t="shared" si="6"/>
        <v>252.46600000000001</v>
      </c>
      <c r="J19" s="433">
        <f>IFERROR(IF(AND(INDEX('Facility Master'!Z:Z,MATCH(YBL_TL_SNo,'Facility Master'!A:A,0))&gt;B18,INDEX('Facility Master'!Z:Z,MATCH(YBL_TL_SNo,'Facility Master'!A:A,0))&lt;=B19),INDEX('Facility Master'!M:M,MATCH(YBL_TL_SNo,'Facility Master'!A:A,0)),0),0)</f>
        <v>0</v>
      </c>
      <c r="K19" s="433">
        <f>IFERROR(IF(AND(B19&gt;=INDEX('Facility Master'!AA:AA,MATCH(YBL_TL_SNo,'Facility Master'!A:A,0)),B19&lt;=INDEX('Facility Master'!AB:AB,MATCH(YBL_TL_SNo,'Facility Master'!A:A,0))),MIN(IFERROR(INDEX('Facility Master'!M:M,MATCH(YBL_TL_SNo,'Facility Master'!A:A,0))/INDEX('Facility Master'!Y:Y,MATCH(YBL_TL_SNo,'Facility Master'!A:A,0)),0),I19+J19),0),0)</f>
        <v>6.823404255319149</v>
      </c>
      <c r="L19" s="433">
        <f>IFERROR((I19+J19-K19/2)*INDEX('Facility Master'!T:T,MATCH(YBL_TL_SNo,'Facility Master'!A:A,0))*IF(B19&lt;INDEX('Facility Master'!Z:Z,MATCH(YBL_TL_SNo,'Facility Master'!A:A,0)),0,IF(I19=0,MAX(0,B19-INDEX('Facility Master'!Z:Z,MATCH(YBL_TL_SNo,'Facility Master'!A:A,0))),B19-B18))/DaysInYear,0)</f>
        <v>4.8337004003497519</v>
      </c>
      <c r="M19" s="433">
        <f t="shared" si="7"/>
        <v>245.64259999999999</v>
      </c>
      <c r="N19" s="434">
        <f t="shared" si="8"/>
        <v>128.57159999999999</v>
      </c>
      <c r="O19" s="434">
        <f>IFERROR(IF(AND(INDEX('Facility Master'!Z:Z,MATCH(Bajaj_TL_SNo,'Facility Master'!A:A,0))&gt;B18,INDEX('Facility Master'!Z:Z,MATCH(Bajaj_TL_SNo,'Facility Master'!A:A,0))&lt;=B19),INDEX('Facility Master'!M:M,MATCH(Bajaj_TL_SNo,'Facility Master'!A:A,0)),0),0)</f>
        <v>0</v>
      </c>
      <c r="P19" s="434">
        <f>IFERROR(IF(AND(B19&gt;=INDEX('Facility Master'!AA:AA,MATCH(Bajaj_TL_SNo,'Facility Master'!A:A,0)),B19&lt;=INDEX('Facility Master'!AB:AB,MATCH(Bajaj_TL_SNo,'Facility Master'!A:A,0))),MIN(IFERROR(INDEX('Facility Master'!M:M,MATCH(Bajaj_TL_SNo,'Facility Master'!A:A,0))/INDEX('Facility Master'!Y:Y,MATCH(Bajaj_TL_SNo,'Facility Master'!A:A,0)),0),N19+O19),0),0)</f>
        <v>5.3571428571428568</v>
      </c>
      <c r="Q19" s="434">
        <f>IFERROR((N19+O19-P19/2)*INDEX('Facility Master'!T:T,MATCH(Bajaj_TL_SNo,'Facility Master'!A:A,0))*IF(B19&lt;INDEX('Facility Master'!Z:Z,MATCH(Bajaj_TL_SNo,'Facility Master'!A:A,0)),0,IF(N19=0,MAX(0,B19-INDEX('Facility Master'!Z:Z,MATCH(Bajaj_TL_SNo,'Facility Master'!A:A,0))),B19-B18))/DaysInYear,0)</f>
        <v>2.7289469645401176</v>
      </c>
      <c r="R19" s="444">
        <f t="shared" si="9"/>
        <v>123.2145</v>
      </c>
      <c r="S19" s="428">
        <f t="shared" si="0"/>
        <v>28.847213779128676</v>
      </c>
      <c r="T19" s="428">
        <f t="shared" si="1"/>
        <v>9.8153821758487734</v>
      </c>
      <c r="U19" s="428">
        <f t="shared" si="2"/>
        <v>38.662595954977448</v>
      </c>
      <c r="V19" s="445">
        <f t="shared" si="3"/>
        <v>452.19019999999995</v>
      </c>
    </row>
    <row r="20" spans="1:22" ht="15" customHeight="1" x14ac:dyDescent="0.3">
      <c r="A20" s="201">
        <v>16</v>
      </c>
      <c r="B20" s="202">
        <v>46752</v>
      </c>
      <c r="C20" s="203" t="s">
        <v>198</v>
      </c>
      <c r="D20" s="425">
        <f t="shared" si="4"/>
        <v>83.333100000000002</v>
      </c>
      <c r="E20" s="425">
        <f>IFERROR(IF(AND(INDEX('Facility Master'!Z:Z,MATCH(RBL_TL_SNo,'Facility Master'!A:A,0))&gt;B19,INDEX('Facility Master'!Z:Z,MATCH(RBL_TL_SNo,'Facility Master'!A:A,0))&lt;=B20),INDEX('Facility Master'!M:M,MATCH(RBL_TL_SNo,'Facility Master'!A:A,0)),0),0)</f>
        <v>0</v>
      </c>
      <c r="F20" s="425">
        <f>IFERROR(IF(AND(B20&gt;=INDEX('Facility Master'!AA:AA,MATCH(RBL_TL_SNo,'Facility Master'!A:A,0)),B20&lt;=INDEX('Facility Master'!AB:AB,MATCH(RBL_TL_SNo,'Facility Master'!A:A,0))),MIN(IFERROR(INDEX('Facility Master'!M:M,MATCH(RBL_TL_SNo,'Facility Master'!A:A,0))/INDEX('Facility Master'!Y:Y,MATCH(RBL_TL_SNo,'Facility Master'!A:A,0)),0),D20+E20),0),0)</f>
        <v>16.666666666666668</v>
      </c>
      <c r="G20" s="432">
        <f>IFERROR((D20+E20-F20/2)*INDEX('Facility Master'!T:T,MATCH(RBL_TL_SNo,'Facility Master'!A:A,0))*IF(B20&lt;INDEX('Facility Master'!Z:Z,MATCH(RBL_TL_SNo,'Facility Master'!A:A,0)),0,IF(D20=0,MAX(0,B20-INDEX('Facility Master'!Z:Z,MATCH(RBL_TL_SNo,'Facility Master'!A:A,0))),B20-B19))/DaysInYear,0)</f>
        <v>1.8431449506849316</v>
      </c>
      <c r="H20" s="432">
        <f t="shared" si="5"/>
        <v>66.666399999999996</v>
      </c>
      <c r="I20" s="433">
        <f t="shared" si="6"/>
        <v>245.64259999999999</v>
      </c>
      <c r="J20" s="433">
        <f>IFERROR(IF(AND(INDEX('Facility Master'!Z:Z,MATCH(YBL_TL_SNo,'Facility Master'!A:A,0))&gt;B19,INDEX('Facility Master'!Z:Z,MATCH(YBL_TL_SNo,'Facility Master'!A:A,0))&lt;=B20),INDEX('Facility Master'!M:M,MATCH(YBL_TL_SNo,'Facility Master'!A:A,0)),0),0)</f>
        <v>0</v>
      </c>
      <c r="K20" s="433">
        <f>IFERROR(IF(AND(B20&gt;=INDEX('Facility Master'!AA:AA,MATCH(YBL_TL_SNo,'Facility Master'!A:A,0)),B20&lt;=INDEX('Facility Master'!AB:AB,MATCH(YBL_TL_SNo,'Facility Master'!A:A,0))),MIN(IFERROR(INDEX('Facility Master'!M:M,MATCH(YBL_TL_SNo,'Facility Master'!A:A,0))/INDEX('Facility Master'!Y:Y,MATCH(YBL_TL_SNo,'Facility Master'!A:A,0)),0),I20+J20),0),0)</f>
        <v>6.823404255319149</v>
      </c>
      <c r="L20" s="433">
        <f>IFERROR((I20+J20-K20/2)*INDEX('Facility Master'!T:T,MATCH(YBL_TL_SNo,'Facility Master'!A:A,0))*IF(B20&lt;INDEX('Facility Master'!Z:Z,MATCH(YBL_TL_SNo,'Facility Master'!A:A,0)),0,IF(I20=0,MAX(0,B20-INDEX('Facility Master'!Z:Z,MATCH(YBL_TL_SNo,'Facility Master'!A:A,0))),B20-B19))/DaysInYear,0)</f>
        <v>4.7012703576100261</v>
      </c>
      <c r="M20" s="433">
        <f t="shared" si="7"/>
        <v>238.8192</v>
      </c>
      <c r="N20" s="434">
        <f t="shared" si="8"/>
        <v>123.2145</v>
      </c>
      <c r="O20" s="434">
        <f>IFERROR(IF(AND(INDEX('Facility Master'!Z:Z,MATCH(Bajaj_TL_SNo,'Facility Master'!A:A,0))&gt;B19,INDEX('Facility Master'!Z:Z,MATCH(Bajaj_TL_SNo,'Facility Master'!A:A,0))&lt;=B20),INDEX('Facility Master'!M:M,MATCH(Bajaj_TL_SNo,'Facility Master'!A:A,0)),0),0)</f>
        <v>0</v>
      </c>
      <c r="P20" s="434">
        <f>IFERROR(IF(AND(B20&gt;=INDEX('Facility Master'!AA:AA,MATCH(Bajaj_TL_SNo,'Facility Master'!A:A,0)),B20&lt;=INDEX('Facility Master'!AB:AB,MATCH(Bajaj_TL_SNo,'Facility Master'!A:A,0))),MIN(IFERROR(INDEX('Facility Master'!M:M,MATCH(Bajaj_TL_SNo,'Facility Master'!A:A,0))/INDEX('Facility Master'!Y:Y,MATCH(Bajaj_TL_SNo,'Facility Master'!A:A,0)),0),N20+O20),0),0)</f>
        <v>5.3571428571428568</v>
      </c>
      <c r="Q20" s="434">
        <f>IFERROR((N20+O20-P20/2)*INDEX('Facility Master'!T:T,MATCH(Bajaj_TL_SNo,'Facility Master'!A:A,0))*IF(B20&lt;INDEX('Facility Master'!Z:Z,MATCH(Bajaj_TL_SNo,'Facility Master'!A:A,0)),0,IF(N20=0,MAX(0,B20-INDEX('Facility Master'!Z:Z,MATCH(Bajaj_TL_SNo,'Facility Master'!A:A,0))),B20-B19))/DaysInYear,0)</f>
        <v>2.6128226489236797</v>
      </c>
      <c r="R20" s="444">
        <f t="shared" si="9"/>
        <v>117.8574</v>
      </c>
      <c r="S20" s="426">
        <f t="shared" si="0"/>
        <v>28.847213779128676</v>
      </c>
      <c r="T20" s="426">
        <f t="shared" si="1"/>
        <v>9.1572379572186371</v>
      </c>
      <c r="U20" s="426">
        <f t="shared" si="2"/>
        <v>38.004451736347313</v>
      </c>
      <c r="V20" s="445">
        <f t="shared" si="3"/>
        <v>423.34299999999996</v>
      </c>
    </row>
    <row r="21" spans="1:22" ht="16.95" customHeight="1" x14ac:dyDescent="0.3">
      <c r="A21" s="429">
        <v>17</v>
      </c>
      <c r="B21" s="430">
        <v>46843</v>
      </c>
      <c r="C21" s="431" t="s">
        <v>199</v>
      </c>
      <c r="D21" s="432">
        <f t="shared" si="4"/>
        <v>66.666399999999996</v>
      </c>
      <c r="E21" s="432">
        <f>IFERROR(IF(AND(INDEX('Facility Master'!Z:Z,MATCH(RBL_TL_SNo,'Facility Master'!A:A,0))&gt;B20,INDEX('Facility Master'!Z:Z,MATCH(RBL_TL_SNo,'Facility Master'!A:A,0))&lt;=B21),INDEX('Facility Master'!M:M,MATCH(RBL_TL_SNo,'Facility Master'!A:A,0)),0),0)</f>
        <v>0</v>
      </c>
      <c r="F21" s="432">
        <f>IFERROR(IF(AND(B21&gt;=INDEX('Facility Master'!AA:AA,MATCH(RBL_TL_SNo,'Facility Master'!A:A,0)),B21&lt;=INDEX('Facility Master'!AB:AB,MATCH(RBL_TL_SNo,'Facility Master'!A:A,0))),MIN(IFERROR(INDEX('Facility Master'!M:M,MATCH(RBL_TL_SNo,'Facility Master'!A:A,0))/INDEX('Facility Master'!Y:Y,MATCH(RBL_TL_SNo,'Facility Master'!A:A,0)),0),D21+E21),0),0)</f>
        <v>16.666666666666668</v>
      </c>
      <c r="G21" s="432">
        <f>IFERROR((D21+E21-F21/2)*INDEX('Facility Master'!T:T,MATCH(RBL_TL_SNo,'Facility Master'!A:A,0))*IF(B21&lt;INDEX('Facility Master'!Z:Z,MATCH(RBL_TL_SNo,'Facility Master'!A:A,0)),0,IF(D21=0,MAX(0,B21-INDEX('Facility Master'!Z:Z,MATCH(RBL_TL_SNo,'Facility Master'!A:A,0))),B21-B20))/DaysInYear,0)</f>
        <v>1.4179729698630135</v>
      </c>
      <c r="H21" s="432">
        <f t="shared" si="5"/>
        <v>49.999699999999997</v>
      </c>
      <c r="I21" s="433">
        <f t="shared" si="6"/>
        <v>238.8192</v>
      </c>
      <c r="J21" s="433">
        <f>IFERROR(IF(AND(INDEX('Facility Master'!Z:Z,MATCH(YBL_TL_SNo,'Facility Master'!A:A,0))&gt;B20,INDEX('Facility Master'!Z:Z,MATCH(YBL_TL_SNo,'Facility Master'!A:A,0))&lt;=B21),INDEX('Facility Master'!M:M,MATCH(YBL_TL_SNo,'Facility Master'!A:A,0)),0),0)</f>
        <v>0</v>
      </c>
      <c r="K21" s="433">
        <f>IFERROR(IF(AND(B21&gt;=INDEX('Facility Master'!AA:AA,MATCH(YBL_TL_SNo,'Facility Master'!A:A,0)),B21&lt;=INDEX('Facility Master'!AB:AB,MATCH(YBL_TL_SNo,'Facility Master'!A:A,0))),MIN(IFERROR(INDEX('Facility Master'!M:M,MATCH(YBL_TL_SNo,'Facility Master'!A:A,0))/INDEX('Facility Master'!Y:Y,MATCH(YBL_TL_SNo,'Facility Master'!A:A,0)),0),I21+J21),0),0)</f>
        <v>6.823404255319149</v>
      </c>
      <c r="L21" s="433">
        <f>IFERROR((I21+J21-K21/2)*INDEX('Facility Master'!T:T,MATCH(YBL_TL_SNo,'Facility Master'!A:A,0))*IF(B21&lt;INDEX('Facility Master'!Z:Z,MATCH(YBL_TL_SNo,'Facility Master'!A:A,0)),0,IF(I21=0,MAX(0,B21-INDEX('Facility Master'!Z:Z,MATCH(YBL_TL_SNo,'Facility Master'!A:A,0))),B21-B20))/DaysInYear,0)</f>
        <v>4.5191790070999707</v>
      </c>
      <c r="M21" s="433">
        <f t="shared" si="7"/>
        <v>231.9958</v>
      </c>
      <c r="N21" s="434">
        <f t="shared" si="8"/>
        <v>117.8574</v>
      </c>
      <c r="O21" s="434">
        <f>IFERROR(IF(AND(INDEX('Facility Master'!Z:Z,MATCH(Bajaj_TL_SNo,'Facility Master'!A:A,0))&gt;B20,INDEX('Facility Master'!Z:Z,MATCH(Bajaj_TL_SNo,'Facility Master'!A:A,0))&lt;=B21),INDEX('Facility Master'!M:M,MATCH(Bajaj_TL_SNo,'Facility Master'!A:A,0)),0),0)</f>
        <v>0</v>
      </c>
      <c r="P21" s="434">
        <f>IFERROR(IF(AND(B21&gt;=INDEX('Facility Master'!AA:AA,MATCH(Bajaj_TL_SNo,'Facility Master'!A:A,0)),B21&lt;=INDEX('Facility Master'!AB:AB,MATCH(Bajaj_TL_SNo,'Facility Master'!A:A,0))),MIN(IFERROR(INDEX('Facility Master'!M:M,MATCH(Bajaj_TL_SNo,'Facility Master'!A:A,0))/INDEX('Facility Master'!Y:Y,MATCH(Bajaj_TL_SNo,'Facility Master'!A:A,0)),0),N21+O21),0),0)</f>
        <v>5.3571428571428568</v>
      </c>
      <c r="Q21" s="434">
        <f>IFERROR((N21+O21-P21/2)*INDEX('Facility Master'!T:T,MATCH(Bajaj_TL_SNo,'Facility Master'!A:A,0))*IF(B21&lt;INDEX('Facility Master'!Z:Z,MATCH(Bajaj_TL_SNo,'Facility Master'!A:A,0)),0,IF(N21=0,MAX(0,B21-INDEX('Facility Master'!Z:Z,MATCH(Bajaj_TL_SNo,'Facility Master'!A:A,0))),B21-B20))/DaysInYear,0)</f>
        <v>2.4695603079452058</v>
      </c>
      <c r="R21" s="434">
        <f t="shared" si="9"/>
        <v>112.5003</v>
      </c>
      <c r="S21" s="435">
        <f t="shared" si="0"/>
        <v>28.847213779128676</v>
      </c>
      <c r="T21" s="435">
        <f t="shared" si="1"/>
        <v>8.4067122849081901</v>
      </c>
      <c r="U21" s="435">
        <f t="shared" si="2"/>
        <v>37.253926064036868</v>
      </c>
      <c r="V21" s="436">
        <f t="shared" si="3"/>
        <v>394.49579999999997</v>
      </c>
    </row>
    <row r="22" spans="1:22" ht="15" customHeight="1" x14ac:dyDescent="0.3">
      <c r="A22" s="201">
        <v>18</v>
      </c>
      <c r="B22" s="202">
        <v>46934</v>
      </c>
      <c r="C22" s="203" t="s">
        <v>200</v>
      </c>
      <c r="D22" s="425">
        <f t="shared" si="4"/>
        <v>49.999699999999997</v>
      </c>
      <c r="E22" s="425">
        <f>IFERROR(IF(AND(INDEX('Facility Master'!Z:Z,MATCH(RBL_TL_SNo,'Facility Master'!A:A,0))&gt;B21,INDEX('Facility Master'!Z:Z,MATCH(RBL_TL_SNo,'Facility Master'!A:A,0))&lt;=B22),INDEX('Facility Master'!M:M,MATCH(RBL_TL_SNo,'Facility Master'!A:A,0)),0),0)</f>
        <v>0</v>
      </c>
      <c r="F22" s="425">
        <f>IFERROR(IF(AND(B22&gt;=INDEX('Facility Master'!AA:AA,MATCH(RBL_TL_SNo,'Facility Master'!A:A,0)),B22&lt;=INDEX('Facility Master'!AB:AB,MATCH(RBL_TL_SNo,'Facility Master'!A:A,0))),MIN(IFERROR(INDEX('Facility Master'!M:M,MATCH(RBL_TL_SNo,'Facility Master'!A:A,0))/INDEX('Facility Master'!Y:Y,MATCH(RBL_TL_SNo,'Facility Master'!A:A,0)),0),D22+E22),0),0)</f>
        <v>16.666666666666668</v>
      </c>
      <c r="G22" s="432">
        <f>IFERROR((D22+E22-F22/2)*INDEX('Facility Master'!T:T,MATCH(RBL_TL_SNo,'Facility Master'!A:A,0))*IF(B22&lt;INDEX('Facility Master'!Z:Z,MATCH(RBL_TL_SNo,'Facility Master'!A:A,0)),0,IF(D22=0,MAX(0,B22-INDEX('Facility Master'!Z:Z,MATCH(RBL_TL_SNo,'Facility Master'!A:A,0))),B22-B21))/DaysInYear,0)</f>
        <v>1.012835173287671</v>
      </c>
      <c r="H22" s="432">
        <f t="shared" si="5"/>
        <v>33.332999999999998</v>
      </c>
      <c r="I22" s="433">
        <f t="shared" si="6"/>
        <v>231.9958</v>
      </c>
      <c r="J22" s="433">
        <f>IFERROR(IF(AND(INDEX('Facility Master'!Z:Z,MATCH(YBL_TL_SNo,'Facility Master'!A:A,0))&gt;B21,INDEX('Facility Master'!Z:Z,MATCH(YBL_TL_SNo,'Facility Master'!A:A,0))&lt;=B22),INDEX('Facility Master'!M:M,MATCH(YBL_TL_SNo,'Facility Master'!A:A,0)),0),0)</f>
        <v>0</v>
      </c>
      <c r="K22" s="433">
        <f>IFERROR(IF(AND(B22&gt;=INDEX('Facility Master'!AA:AA,MATCH(YBL_TL_SNo,'Facility Master'!A:A,0)),B22&lt;=INDEX('Facility Master'!AB:AB,MATCH(YBL_TL_SNo,'Facility Master'!A:A,0))),MIN(IFERROR(INDEX('Facility Master'!M:M,MATCH(YBL_TL_SNo,'Facility Master'!A:A,0))/INDEX('Facility Master'!Y:Y,MATCH(YBL_TL_SNo,'Facility Master'!A:A,0)),0),I22+J22),0),0)</f>
        <v>6.823404255319149</v>
      </c>
      <c r="L22" s="433">
        <f>IFERROR((I22+J22-K22/2)*INDEX('Facility Master'!T:T,MATCH(YBL_TL_SNo,'Facility Master'!A:A,0))*IF(B22&lt;INDEX('Facility Master'!Z:Z,MATCH(YBL_TL_SNo,'Facility Master'!A:A,0)),0,IF(I22=0,MAX(0,B22-INDEX('Facility Master'!Z:Z,MATCH(YBL_TL_SNo,'Facility Master'!A:A,0))),B22-B21))/DaysInYear,0)</f>
        <v>4.3881884213465465</v>
      </c>
      <c r="M22" s="433">
        <f t="shared" si="7"/>
        <v>225.17240000000001</v>
      </c>
      <c r="N22" s="434">
        <f t="shared" si="8"/>
        <v>112.5003</v>
      </c>
      <c r="O22" s="434">
        <f>IFERROR(IF(AND(INDEX('Facility Master'!Z:Z,MATCH(Bajaj_TL_SNo,'Facility Master'!A:A,0))&gt;B21,INDEX('Facility Master'!Z:Z,MATCH(Bajaj_TL_SNo,'Facility Master'!A:A,0))&lt;=B22),INDEX('Facility Master'!M:M,MATCH(Bajaj_TL_SNo,'Facility Master'!A:A,0)),0),0)</f>
        <v>0</v>
      </c>
      <c r="P22" s="434">
        <f>IFERROR(IF(AND(B22&gt;=INDEX('Facility Master'!AA:AA,MATCH(Bajaj_TL_SNo,'Facility Master'!A:A,0)),B22&lt;=INDEX('Facility Master'!AB:AB,MATCH(Bajaj_TL_SNo,'Facility Master'!A:A,0))),MIN(IFERROR(INDEX('Facility Master'!M:M,MATCH(Bajaj_TL_SNo,'Facility Master'!A:A,0))/INDEX('Facility Master'!Y:Y,MATCH(Bajaj_TL_SNo,'Facility Master'!A:A,0)),0),N22+O22),0),0)</f>
        <v>5.3571428571428568</v>
      </c>
      <c r="Q22" s="434">
        <f>IFERROR((N22+O22-P22/2)*INDEX('Facility Master'!T:T,MATCH(Bajaj_TL_SNo,'Facility Master'!A:A,0))*IF(B22&lt;INDEX('Facility Master'!Z:Z,MATCH(Bajaj_TL_SNo,'Facility Master'!A:A,0)),0,IF(N22=0,MAX(0,B22-INDEX('Facility Master'!Z:Z,MATCH(Bajaj_TL_SNo,'Facility Master'!A:A,0))),B22-B21))/DaysInYear,0)</f>
        <v>2.3546982131506851</v>
      </c>
      <c r="R22" s="444">
        <f t="shared" si="9"/>
        <v>107.14319999999999</v>
      </c>
      <c r="S22" s="426">
        <f t="shared" si="0"/>
        <v>28.847213779128676</v>
      </c>
      <c r="T22" s="426">
        <f t="shared" si="1"/>
        <v>7.7557218077849033</v>
      </c>
      <c r="U22" s="426">
        <f t="shared" si="2"/>
        <v>36.602935586913581</v>
      </c>
      <c r="V22" s="445">
        <f t="shared" si="3"/>
        <v>365.64859999999999</v>
      </c>
    </row>
    <row r="23" spans="1:22" ht="15" customHeight="1" x14ac:dyDescent="0.3">
      <c r="A23" s="198">
        <v>19</v>
      </c>
      <c r="B23" s="199">
        <v>47026</v>
      </c>
      <c r="C23" s="200" t="s">
        <v>201</v>
      </c>
      <c r="D23" s="427">
        <f t="shared" si="4"/>
        <v>33.332999999999998</v>
      </c>
      <c r="E23" s="427">
        <f>IFERROR(IF(AND(INDEX('Facility Master'!Z:Z,MATCH(RBL_TL_SNo,'Facility Master'!A:A,0))&gt;B22,INDEX('Facility Master'!Z:Z,MATCH(RBL_TL_SNo,'Facility Master'!A:A,0))&lt;=B23),INDEX('Facility Master'!M:M,MATCH(RBL_TL_SNo,'Facility Master'!A:A,0)),0),0)</f>
        <v>0</v>
      </c>
      <c r="F23" s="427">
        <f>IFERROR(IF(AND(B23&gt;=INDEX('Facility Master'!AA:AA,MATCH(RBL_TL_SNo,'Facility Master'!A:A,0)),B23&lt;=INDEX('Facility Master'!AB:AB,MATCH(RBL_TL_SNo,'Facility Master'!A:A,0))),MIN(IFERROR(INDEX('Facility Master'!M:M,MATCH(RBL_TL_SNo,'Facility Master'!A:A,0))/INDEX('Facility Master'!Y:Y,MATCH(RBL_TL_SNo,'Facility Master'!A:A,0)),0),D23+E23),0),0)</f>
        <v>16.666666666666668</v>
      </c>
      <c r="G23" s="432">
        <f>IFERROR((D23+E23-F23/2)*INDEX('Facility Master'!T:T,MATCH(RBL_TL_SNo,'Facility Master'!A:A,0))*IF(B23&lt;INDEX('Facility Master'!Z:Z,MATCH(RBL_TL_SNo,'Facility Master'!A:A,0)),0,IF(D23=0,MAX(0,B23-INDEX('Facility Master'!Z:Z,MATCH(RBL_TL_SNo,'Facility Master'!A:A,0))),B23-B22))/DaysInYear,0)</f>
        <v>0.61437536986301367</v>
      </c>
      <c r="H23" s="432">
        <f t="shared" si="5"/>
        <v>16.6663</v>
      </c>
      <c r="I23" s="433">
        <f t="shared" si="6"/>
        <v>225.17240000000001</v>
      </c>
      <c r="J23" s="433">
        <f>IFERROR(IF(AND(INDEX('Facility Master'!Z:Z,MATCH(YBL_TL_SNo,'Facility Master'!A:A,0))&gt;B22,INDEX('Facility Master'!Z:Z,MATCH(YBL_TL_SNo,'Facility Master'!A:A,0))&lt;=B23),INDEX('Facility Master'!M:M,MATCH(YBL_TL_SNo,'Facility Master'!A:A,0)),0),0)</f>
        <v>0</v>
      </c>
      <c r="K23" s="433">
        <f>IFERROR(IF(AND(B23&gt;=INDEX('Facility Master'!AA:AA,MATCH(YBL_TL_SNo,'Facility Master'!A:A,0)),B23&lt;=INDEX('Facility Master'!AB:AB,MATCH(YBL_TL_SNo,'Facility Master'!A:A,0))),MIN(IFERROR(INDEX('Facility Master'!M:M,MATCH(YBL_TL_SNo,'Facility Master'!A:A,0))/INDEX('Facility Master'!Y:Y,MATCH(YBL_TL_SNo,'Facility Master'!A:A,0)),0),I23+J23),0),0)</f>
        <v>6.823404255319149</v>
      </c>
      <c r="L23" s="433">
        <f>IFERROR((I23+J23-K23/2)*INDEX('Facility Master'!T:T,MATCH(YBL_TL_SNo,'Facility Master'!A:A,0))*IF(B23&lt;INDEX('Facility Master'!Z:Z,MATCH(YBL_TL_SNo,'Facility Master'!A:A,0)),0,IF(I23=0,MAX(0,B23-INDEX('Facility Master'!Z:Z,MATCH(YBL_TL_SNo,'Facility Master'!A:A,0))),B23-B22))/DaysInYear,0)</f>
        <v>4.3039802293908487</v>
      </c>
      <c r="M23" s="433">
        <f t="shared" si="7"/>
        <v>218.34899999999999</v>
      </c>
      <c r="N23" s="434">
        <f t="shared" si="8"/>
        <v>107.14319999999999</v>
      </c>
      <c r="O23" s="434">
        <f>IFERROR(IF(AND(INDEX('Facility Master'!Z:Z,MATCH(Bajaj_TL_SNo,'Facility Master'!A:A,0))&gt;B22,INDEX('Facility Master'!Z:Z,MATCH(Bajaj_TL_SNo,'Facility Master'!A:A,0))&lt;=B23),INDEX('Facility Master'!M:M,MATCH(Bajaj_TL_SNo,'Facility Master'!A:A,0)),0),0)</f>
        <v>0</v>
      </c>
      <c r="P23" s="434">
        <f>IFERROR(IF(AND(B23&gt;=INDEX('Facility Master'!AA:AA,MATCH(Bajaj_TL_SNo,'Facility Master'!A:A,0)),B23&lt;=INDEX('Facility Master'!AB:AB,MATCH(Bajaj_TL_SNo,'Facility Master'!A:A,0))),MIN(IFERROR(INDEX('Facility Master'!M:M,MATCH(Bajaj_TL_SNo,'Facility Master'!A:A,0))/INDEX('Facility Master'!Y:Y,MATCH(Bajaj_TL_SNo,'Facility Master'!A:A,0)),0),N23+O23),0),0)</f>
        <v>5.3571428571428568</v>
      </c>
      <c r="Q23" s="434">
        <f>IFERROR((N23+O23-P23/2)*INDEX('Facility Master'!T:T,MATCH(Bajaj_TL_SNo,'Facility Master'!A:A,0))*IF(B23&lt;INDEX('Facility Master'!Z:Z,MATCH(Bajaj_TL_SNo,'Facility Master'!A:A,0)),0,IF(N23=0,MAX(0,B23-INDEX('Facility Master'!Z:Z,MATCH(Bajaj_TL_SNo,'Facility Master'!A:A,0))),B23-B22))/DaysInYear,0)</f>
        <v>2.2644497020743639</v>
      </c>
      <c r="R23" s="444">
        <f t="shared" si="9"/>
        <v>101.7861</v>
      </c>
      <c r="S23" s="428">
        <f t="shared" si="0"/>
        <v>28.847213779128676</v>
      </c>
      <c r="T23" s="428">
        <f t="shared" si="1"/>
        <v>7.1828053013282265</v>
      </c>
      <c r="U23" s="428">
        <f t="shared" si="2"/>
        <v>36.030019080456903</v>
      </c>
      <c r="V23" s="445">
        <f t="shared" si="3"/>
        <v>336.8014</v>
      </c>
    </row>
    <row r="24" spans="1:22" ht="15" customHeight="1" x14ac:dyDescent="0.3">
      <c r="A24" s="201">
        <v>20</v>
      </c>
      <c r="B24" s="202">
        <v>47118</v>
      </c>
      <c r="C24" s="203" t="s">
        <v>202</v>
      </c>
      <c r="D24" s="425">
        <f t="shared" si="4"/>
        <v>16.6663</v>
      </c>
      <c r="E24" s="425">
        <f>IFERROR(IF(AND(INDEX('Facility Master'!Z:Z,MATCH(RBL_TL_SNo,'Facility Master'!A:A,0))&gt;B23,INDEX('Facility Master'!Z:Z,MATCH(RBL_TL_SNo,'Facility Master'!A:A,0))&lt;=B24),INDEX('Facility Master'!M:M,MATCH(RBL_TL_SNo,'Facility Master'!A:A,0)),0),0)</f>
        <v>0</v>
      </c>
      <c r="F24" s="425">
        <f>IFERROR(IF(AND(B24&gt;=INDEX('Facility Master'!AA:AA,MATCH(RBL_TL_SNo,'Facility Master'!A:A,0)),B24&lt;=INDEX('Facility Master'!AB:AB,MATCH(RBL_TL_SNo,'Facility Master'!A:A,0))),MIN(IFERROR(INDEX('Facility Master'!M:M,MATCH(RBL_TL_SNo,'Facility Master'!A:A,0))/INDEX('Facility Master'!Y:Y,MATCH(RBL_TL_SNo,'Facility Master'!A:A,0)),0),D24+E24),0),0)</f>
        <v>16.6663</v>
      </c>
      <c r="G24" s="432">
        <f>IFERROR((D24+E24-F24/2)*INDEX('Facility Master'!T:T,MATCH(RBL_TL_SNo,'Facility Master'!A:A,0))*IF(B24&lt;INDEX('Facility Master'!Z:Z,MATCH(RBL_TL_SNo,'Facility Master'!A:A,0)),0,IF(D24=0,MAX(0,B24-INDEX('Facility Master'!Z:Z,MATCH(RBL_TL_SNo,'Facility Master'!A:A,0))),B24-B23))/DaysInYear,0)</f>
        <v>0.20479001506849315</v>
      </c>
      <c r="H24" s="432">
        <f t="shared" si="5"/>
        <v>0</v>
      </c>
      <c r="I24" s="433">
        <f t="shared" si="6"/>
        <v>218.34899999999999</v>
      </c>
      <c r="J24" s="433">
        <f>IFERROR(IF(AND(INDEX('Facility Master'!Z:Z,MATCH(YBL_TL_SNo,'Facility Master'!A:A,0))&gt;B23,INDEX('Facility Master'!Z:Z,MATCH(YBL_TL_SNo,'Facility Master'!A:A,0))&lt;=B24),INDEX('Facility Master'!M:M,MATCH(YBL_TL_SNo,'Facility Master'!A:A,0)),0),0)</f>
        <v>0</v>
      </c>
      <c r="K24" s="433">
        <f>IFERROR(IF(AND(B24&gt;=INDEX('Facility Master'!AA:AA,MATCH(YBL_TL_SNo,'Facility Master'!A:A,0)),B24&lt;=INDEX('Facility Master'!AB:AB,MATCH(YBL_TL_SNo,'Facility Master'!A:A,0))),MIN(IFERROR(INDEX('Facility Master'!M:M,MATCH(YBL_TL_SNo,'Facility Master'!A:A,0))/INDEX('Facility Master'!Y:Y,MATCH(YBL_TL_SNo,'Facility Master'!A:A,0)),0),I24+J24),0),0)</f>
        <v>6.823404255319149</v>
      </c>
      <c r="L24" s="433">
        <f>IFERROR((I24+J24-K24/2)*INDEX('Facility Master'!T:T,MATCH(YBL_TL_SNo,'Facility Master'!A:A,0))*IF(B24&lt;INDEX('Facility Master'!Z:Z,MATCH(YBL_TL_SNo,'Facility Master'!A:A,0)),0,IF(I24=0,MAX(0,B24-INDEX('Facility Master'!Z:Z,MATCH(YBL_TL_SNo,'Facility Master'!A:A,0))),B24-B23))/DaysInYear,0)</f>
        <v>4.171550186651122</v>
      </c>
      <c r="M24" s="433">
        <f t="shared" si="7"/>
        <v>211.5256</v>
      </c>
      <c r="N24" s="434">
        <f t="shared" si="8"/>
        <v>101.7861</v>
      </c>
      <c r="O24" s="434">
        <f>IFERROR(IF(AND(INDEX('Facility Master'!Z:Z,MATCH(Bajaj_TL_SNo,'Facility Master'!A:A,0))&gt;B23,INDEX('Facility Master'!Z:Z,MATCH(Bajaj_TL_SNo,'Facility Master'!A:A,0))&lt;=B24),INDEX('Facility Master'!M:M,MATCH(Bajaj_TL_SNo,'Facility Master'!A:A,0)),0),0)</f>
        <v>0</v>
      </c>
      <c r="P24" s="434">
        <f>IFERROR(IF(AND(B24&gt;=INDEX('Facility Master'!AA:AA,MATCH(Bajaj_TL_SNo,'Facility Master'!A:A,0)),B24&lt;=INDEX('Facility Master'!AB:AB,MATCH(Bajaj_TL_SNo,'Facility Master'!A:A,0))),MIN(IFERROR(INDEX('Facility Master'!M:M,MATCH(Bajaj_TL_SNo,'Facility Master'!A:A,0))/INDEX('Facility Master'!Y:Y,MATCH(Bajaj_TL_SNo,'Facility Master'!A:A,0)),0),N24+O24),0),0)</f>
        <v>5.3571428571428568</v>
      </c>
      <c r="Q24" s="434">
        <f>IFERROR((N24+O24-P24/2)*INDEX('Facility Master'!T:T,MATCH(Bajaj_TL_SNo,'Facility Master'!A:A,0))*IF(B24&lt;INDEX('Facility Master'!Z:Z,MATCH(Bajaj_TL_SNo,'Facility Master'!A:A,0)),0,IF(N24=0,MAX(0,B24-INDEX('Facility Master'!Z:Z,MATCH(Bajaj_TL_SNo,'Facility Master'!A:A,0))),B24-B23))/DaysInYear,0)</f>
        <v>2.1483253864579259</v>
      </c>
      <c r="R24" s="444">
        <f t="shared" si="9"/>
        <v>96.429000000000002</v>
      </c>
      <c r="S24" s="426">
        <f t="shared" si="0"/>
        <v>28.846847112462005</v>
      </c>
      <c r="T24" s="426">
        <f t="shared" si="1"/>
        <v>6.5246655881775411</v>
      </c>
      <c r="U24" s="426">
        <f t="shared" si="2"/>
        <v>35.371512700639542</v>
      </c>
      <c r="V24" s="445">
        <f t="shared" si="3"/>
        <v>307.95460000000003</v>
      </c>
    </row>
    <row r="25" spans="1:22" ht="16.95" customHeight="1" x14ac:dyDescent="0.3">
      <c r="A25" s="429">
        <v>21</v>
      </c>
      <c r="B25" s="430">
        <v>47208</v>
      </c>
      <c r="C25" s="431" t="s">
        <v>203</v>
      </c>
      <c r="D25" s="432">
        <f t="shared" si="4"/>
        <v>0</v>
      </c>
      <c r="E25" s="432">
        <f>IFERROR(IF(AND(INDEX('Facility Master'!Z:Z,MATCH(RBL_TL_SNo,'Facility Master'!A:A,0))&gt;B24,INDEX('Facility Master'!Z:Z,MATCH(RBL_TL_SNo,'Facility Master'!A:A,0))&lt;=B25),INDEX('Facility Master'!M:M,MATCH(RBL_TL_SNo,'Facility Master'!A:A,0)),0),0)</f>
        <v>0</v>
      </c>
      <c r="F25" s="432">
        <f>IFERROR(IF(AND(B25&gt;=INDEX('Facility Master'!AA:AA,MATCH(RBL_TL_SNo,'Facility Master'!A:A,0)),B25&lt;=INDEX('Facility Master'!AB:AB,MATCH(RBL_TL_SNo,'Facility Master'!A:A,0))),MIN(IFERROR(INDEX('Facility Master'!M:M,MATCH(RBL_TL_SNo,'Facility Master'!A:A,0))/INDEX('Facility Master'!Y:Y,MATCH(RBL_TL_SNo,'Facility Master'!A:A,0)),0),D25+E25),0),0)</f>
        <v>0</v>
      </c>
      <c r="G25" s="432">
        <f>IFERROR((D25+E25-F25/2)*INDEX('Facility Master'!T:T,MATCH(RBL_TL_SNo,'Facility Master'!A:A,0))*IF(B25&lt;INDEX('Facility Master'!Z:Z,MATCH(RBL_TL_SNo,'Facility Master'!A:A,0)),0,IF(D25=0,MAX(0,B25-INDEX('Facility Master'!Z:Z,MATCH(RBL_TL_SNo,'Facility Master'!A:A,0))),B25-B24))/DaysInYear,0)</f>
        <v>0</v>
      </c>
      <c r="H25" s="432">
        <f t="shared" si="5"/>
        <v>0</v>
      </c>
      <c r="I25" s="433">
        <f t="shared" si="6"/>
        <v>211.5256</v>
      </c>
      <c r="J25" s="433">
        <f>IFERROR(IF(AND(INDEX('Facility Master'!Z:Z,MATCH(YBL_TL_SNo,'Facility Master'!A:A,0))&gt;B24,INDEX('Facility Master'!Z:Z,MATCH(YBL_TL_SNo,'Facility Master'!A:A,0))&lt;=B25),INDEX('Facility Master'!M:M,MATCH(YBL_TL_SNo,'Facility Master'!A:A,0)),0),0)</f>
        <v>0</v>
      </c>
      <c r="K25" s="433">
        <f>IFERROR(IF(AND(B25&gt;=INDEX('Facility Master'!AA:AA,MATCH(YBL_TL_SNo,'Facility Master'!A:A,0)),B25&lt;=INDEX('Facility Master'!AB:AB,MATCH(YBL_TL_SNo,'Facility Master'!A:A,0))),MIN(IFERROR(INDEX('Facility Master'!M:M,MATCH(YBL_TL_SNo,'Facility Master'!A:A,0))/INDEX('Facility Master'!Y:Y,MATCH(YBL_TL_SNo,'Facility Master'!A:A,0)),0),I25+J25),0),0)</f>
        <v>6.823404255319149</v>
      </c>
      <c r="L25" s="433">
        <f>IFERROR((I25+J25-K25/2)*INDEX('Facility Master'!T:T,MATCH(YBL_TL_SNo,'Facility Master'!A:A,0))*IF(B25&lt;INDEX('Facility Master'!Z:Z,MATCH(YBL_TL_SNo,'Facility Master'!A:A,0)),0,IF(I25=0,MAX(0,B25-INDEX('Facility Master'!Z:Z,MATCH(YBL_TL_SNo,'Facility Master'!A:A,0))),B25-B24))/DaysInYear,0)</f>
        <v>3.951313184261148</v>
      </c>
      <c r="M25" s="433">
        <f t="shared" si="7"/>
        <v>204.7022</v>
      </c>
      <c r="N25" s="434">
        <f t="shared" si="8"/>
        <v>96.429000000000002</v>
      </c>
      <c r="O25" s="434">
        <f>IFERROR(IF(AND(INDEX('Facility Master'!Z:Z,MATCH(Bajaj_TL_SNo,'Facility Master'!A:A,0))&gt;B24,INDEX('Facility Master'!Z:Z,MATCH(Bajaj_TL_SNo,'Facility Master'!A:A,0))&lt;=B25),INDEX('Facility Master'!M:M,MATCH(Bajaj_TL_SNo,'Facility Master'!A:A,0)),0),0)</f>
        <v>0</v>
      </c>
      <c r="P25" s="434">
        <f>IFERROR(IF(AND(B25&gt;=INDEX('Facility Master'!AA:AA,MATCH(Bajaj_TL_SNo,'Facility Master'!A:A,0)),B25&lt;=INDEX('Facility Master'!AB:AB,MATCH(Bajaj_TL_SNo,'Facility Master'!A:A,0))),MIN(IFERROR(INDEX('Facility Master'!M:M,MATCH(Bajaj_TL_SNo,'Facility Master'!A:A,0))/INDEX('Facility Master'!Y:Y,MATCH(Bajaj_TL_SNo,'Facility Master'!A:A,0)),0),N25+O25),0),0)</f>
        <v>5.3571428571428568</v>
      </c>
      <c r="Q25" s="434">
        <f>IFERROR((N25+O25-P25/2)*INDEX('Facility Master'!T:T,MATCH(Bajaj_TL_SNo,'Facility Master'!A:A,0))*IF(B25&lt;INDEX('Facility Master'!Z:Z,MATCH(Bajaj_TL_SNo,'Facility Master'!A:A,0)),0,IF(N25=0,MAX(0,B25-INDEX('Facility Master'!Z:Z,MATCH(Bajaj_TL_SNo,'Facility Master'!A:A,0))),B25-B24))/DaysInYear,0)</f>
        <v>1.9880227866927596</v>
      </c>
      <c r="R25" s="434">
        <f t="shared" si="9"/>
        <v>91.071899999999999</v>
      </c>
      <c r="S25" s="435">
        <f t="shared" si="0"/>
        <v>12.180547112462005</v>
      </c>
      <c r="T25" s="435">
        <f t="shared" si="1"/>
        <v>5.9393359709539073</v>
      </c>
      <c r="U25" s="435">
        <f t="shared" si="2"/>
        <v>18.119883083415914</v>
      </c>
      <c r="V25" s="436">
        <f t="shared" si="3"/>
        <v>295.77409999999998</v>
      </c>
    </row>
    <row r="26" spans="1:22" ht="15" customHeight="1" x14ac:dyDescent="0.3">
      <c r="A26" s="201">
        <v>22</v>
      </c>
      <c r="B26" s="202">
        <v>47299</v>
      </c>
      <c r="C26" s="203" t="s">
        <v>204</v>
      </c>
      <c r="D26" s="425">
        <f t="shared" si="4"/>
        <v>0</v>
      </c>
      <c r="E26" s="425">
        <f>IFERROR(IF(AND(INDEX('Facility Master'!Z:Z,MATCH(RBL_TL_SNo,'Facility Master'!A:A,0))&gt;B25,INDEX('Facility Master'!Z:Z,MATCH(RBL_TL_SNo,'Facility Master'!A:A,0))&lt;=B26),INDEX('Facility Master'!M:M,MATCH(RBL_TL_SNo,'Facility Master'!A:A,0)),0),0)</f>
        <v>0</v>
      </c>
      <c r="F26" s="425">
        <f>IFERROR(IF(AND(B26&gt;=INDEX('Facility Master'!AA:AA,MATCH(RBL_TL_SNo,'Facility Master'!A:A,0)),B26&lt;=INDEX('Facility Master'!AB:AB,MATCH(RBL_TL_SNo,'Facility Master'!A:A,0))),MIN(IFERROR(INDEX('Facility Master'!M:M,MATCH(RBL_TL_SNo,'Facility Master'!A:A,0))/INDEX('Facility Master'!Y:Y,MATCH(RBL_TL_SNo,'Facility Master'!A:A,0)),0),D26+E26),0),0)</f>
        <v>0</v>
      </c>
      <c r="G26" s="432">
        <f>IFERROR((D26+E26-F26/2)*INDEX('Facility Master'!T:T,MATCH(RBL_TL_SNo,'Facility Master'!A:A,0))*IF(B26&lt;INDEX('Facility Master'!Z:Z,MATCH(RBL_TL_SNo,'Facility Master'!A:A,0)),0,IF(D26=0,MAX(0,B26-INDEX('Facility Master'!Z:Z,MATCH(RBL_TL_SNo,'Facility Master'!A:A,0))),B26-B25))/DaysInYear,0)</f>
        <v>0</v>
      </c>
      <c r="H26" s="432">
        <f t="shared" si="5"/>
        <v>0</v>
      </c>
      <c r="I26" s="433">
        <f t="shared" si="6"/>
        <v>204.7022</v>
      </c>
      <c r="J26" s="433">
        <f>IFERROR(IF(AND(INDEX('Facility Master'!Z:Z,MATCH(YBL_TL_SNo,'Facility Master'!A:A,0))&gt;B25,INDEX('Facility Master'!Z:Z,MATCH(YBL_TL_SNo,'Facility Master'!A:A,0))&lt;=B26),INDEX('Facility Master'!M:M,MATCH(YBL_TL_SNo,'Facility Master'!A:A,0)),0),0)</f>
        <v>0</v>
      </c>
      <c r="K26" s="433">
        <f>IFERROR(IF(AND(B26&gt;=INDEX('Facility Master'!AA:AA,MATCH(YBL_TL_SNo,'Facility Master'!A:A,0)),B26&lt;=INDEX('Facility Master'!AB:AB,MATCH(YBL_TL_SNo,'Facility Master'!A:A,0))),MIN(IFERROR(INDEX('Facility Master'!M:M,MATCH(YBL_TL_SNo,'Facility Master'!A:A,0))/INDEX('Facility Master'!Y:Y,MATCH(YBL_TL_SNo,'Facility Master'!A:A,0)),0),I26+J26),0),0)</f>
        <v>6.823404255319149</v>
      </c>
      <c r="L26" s="433">
        <f>IFERROR((I26+J26-K26/2)*INDEX('Facility Master'!T:T,MATCH(YBL_TL_SNo,'Facility Master'!A:A,0))*IF(B26&lt;INDEX('Facility Master'!Z:Z,MATCH(YBL_TL_SNo,'Facility Master'!A:A,0)),0,IF(I26=0,MAX(0,B26-INDEX('Facility Master'!Z:Z,MATCH(YBL_TL_SNo,'Facility Master'!A:A,0))),B26-B25))/DaysInYear,0)</f>
        <v>3.8642260783328477</v>
      </c>
      <c r="M26" s="433">
        <f t="shared" si="7"/>
        <v>197.87880000000001</v>
      </c>
      <c r="N26" s="434">
        <f t="shared" si="8"/>
        <v>91.071899999999999</v>
      </c>
      <c r="O26" s="434">
        <f>IFERROR(IF(AND(INDEX('Facility Master'!Z:Z,MATCH(Bajaj_TL_SNo,'Facility Master'!A:A,0))&gt;B25,INDEX('Facility Master'!Z:Z,MATCH(Bajaj_TL_SNo,'Facility Master'!A:A,0))&lt;=B26),INDEX('Facility Master'!M:M,MATCH(Bajaj_TL_SNo,'Facility Master'!A:A,0)),0),0)</f>
        <v>0</v>
      </c>
      <c r="P26" s="434">
        <f>IFERROR(IF(AND(B26&gt;=INDEX('Facility Master'!AA:AA,MATCH(Bajaj_TL_SNo,'Facility Master'!A:A,0)),B26&lt;=INDEX('Facility Master'!AB:AB,MATCH(Bajaj_TL_SNo,'Facility Master'!A:A,0))),MIN(IFERROR(INDEX('Facility Master'!M:M,MATCH(Bajaj_TL_SNo,'Facility Master'!A:A,0))/INDEX('Facility Master'!Y:Y,MATCH(Bajaj_TL_SNo,'Facility Master'!A:A,0)),0),N26+O26),0),0)</f>
        <v>5.3571428571428568</v>
      </c>
      <c r="Q26" s="434">
        <f>IFERROR((N26+O26-P26/2)*INDEX('Facility Master'!T:T,MATCH(Bajaj_TL_SNo,'Facility Master'!A:A,0))*IF(B26&lt;INDEX('Facility Master'!Z:Z,MATCH(Bajaj_TL_SNo,'Facility Master'!A:A,0)),0,IF(N26=0,MAX(0,B26-INDEX('Facility Master'!Z:Z,MATCH(Bajaj_TL_SNo,'Facility Master'!A:A,0))),B26-B25))/DaysInYear,0)</f>
        <v>1.8952498339726027</v>
      </c>
      <c r="R26" s="444">
        <f t="shared" si="9"/>
        <v>85.714799999999997</v>
      </c>
      <c r="S26" s="426">
        <f t="shared" si="0"/>
        <v>12.180547112462005</v>
      </c>
      <c r="T26" s="426">
        <f t="shared" si="1"/>
        <v>5.7594759123054509</v>
      </c>
      <c r="U26" s="426">
        <f t="shared" si="2"/>
        <v>17.940023024767456</v>
      </c>
      <c r="V26" s="445">
        <f t="shared" si="3"/>
        <v>283.59360000000004</v>
      </c>
    </row>
    <row r="27" spans="1:22" ht="15" customHeight="1" x14ac:dyDescent="0.3">
      <c r="A27" s="198">
        <v>23</v>
      </c>
      <c r="B27" s="199">
        <v>47391</v>
      </c>
      <c r="C27" s="200" t="s">
        <v>205</v>
      </c>
      <c r="D27" s="427">
        <f t="shared" si="4"/>
        <v>0</v>
      </c>
      <c r="E27" s="427">
        <f>IFERROR(IF(AND(INDEX('Facility Master'!Z:Z,MATCH(RBL_TL_SNo,'Facility Master'!A:A,0))&gt;B26,INDEX('Facility Master'!Z:Z,MATCH(RBL_TL_SNo,'Facility Master'!A:A,0))&lt;=B27),INDEX('Facility Master'!M:M,MATCH(RBL_TL_SNo,'Facility Master'!A:A,0)),0),0)</f>
        <v>0</v>
      </c>
      <c r="F27" s="427">
        <f>IFERROR(IF(AND(B27&gt;=INDEX('Facility Master'!AA:AA,MATCH(RBL_TL_SNo,'Facility Master'!A:A,0)),B27&lt;=INDEX('Facility Master'!AB:AB,MATCH(RBL_TL_SNo,'Facility Master'!A:A,0))),MIN(IFERROR(INDEX('Facility Master'!M:M,MATCH(RBL_TL_SNo,'Facility Master'!A:A,0))/INDEX('Facility Master'!Y:Y,MATCH(RBL_TL_SNo,'Facility Master'!A:A,0)),0),D27+E27),0),0)</f>
        <v>0</v>
      </c>
      <c r="G27" s="432">
        <f>IFERROR((D27+E27-F27/2)*INDEX('Facility Master'!T:T,MATCH(RBL_TL_SNo,'Facility Master'!A:A,0))*IF(B27&lt;INDEX('Facility Master'!Z:Z,MATCH(RBL_TL_SNo,'Facility Master'!A:A,0)),0,IF(D27=0,MAX(0,B27-INDEX('Facility Master'!Z:Z,MATCH(RBL_TL_SNo,'Facility Master'!A:A,0))),B27-B26))/DaysInYear,0)</f>
        <v>0</v>
      </c>
      <c r="H27" s="432">
        <f t="shared" si="5"/>
        <v>0</v>
      </c>
      <c r="I27" s="433">
        <f t="shared" si="6"/>
        <v>197.87880000000001</v>
      </c>
      <c r="J27" s="433">
        <f>IFERROR(IF(AND(INDEX('Facility Master'!Z:Z,MATCH(YBL_TL_SNo,'Facility Master'!A:A,0))&gt;B26,INDEX('Facility Master'!Z:Z,MATCH(YBL_TL_SNo,'Facility Master'!A:A,0))&lt;=B27),INDEX('Facility Master'!M:M,MATCH(YBL_TL_SNo,'Facility Master'!A:A,0)),0),0)</f>
        <v>0</v>
      </c>
      <c r="K27" s="433">
        <f>IFERROR(IF(AND(B27&gt;=INDEX('Facility Master'!AA:AA,MATCH(YBL_TL_SNo,'Facility Master'!A:A,0)),B27&lt;=INDEX('Facility Master'!AB:AB,MATCH(YBL_TL_SNo,'Facility Master'!A:A,0))),MIN(IFERROR(INDEX('Facility Master'!M:M,MATCH(YBL_TL_SNo,'Facility Master'!A:A,0))/INDEX('Facility Master'!Y:Y,MATCH(YBL_TL_SNo,'Facility Master'!A:A,0)),0),I27+J27),0),0)</f>
        <v>6.823404255319149</v>
      </c>
      <c r="L27" s="433">
        <f>IFERROR((I27+J27-K27/2)*INDEX('Facility Master'!T:T,MATCH(YBL_TL_SNo,'Facility Master'!A:A,0))*IF(B27&lt;INDEX('Facility Master'!Z:Z,MATCH(YBL_TL_SNo,'Facility Master'!A:A,0)),0,IF(I27=0,MAX(0,B27-INDEX('Facility Master'!Z:Z,MATCH(YBL_TL_SNo,'Facility Master'!A:A,0))),B27-B26))/DaysInYear,0)</f>
        <v>3.7742600584319441</v>
      </c>
      <c r="M27" s="433">
        <f t="shared" si="7"/>
        <v>191.05539999999999</v>
      </c>
      <c r="N27" s="434">
        <f t="shared" si="8"/>
        <v>85.714799999999997</v>
      </c>
      <c r="O27" s="434">
        <f>IFERROR(IF(AND(INDEX('Facility Master'!Z:Z,MATCH(Bajaj_TL_SNo,'Facility Master'!A:A,0))&gt;B26,INDEX('Facility Master'!Z:Z,MATCH(Bajaj_TL_SNo,'Facility Master'!A:A,0))&lt;=B27),INDEX('Facility Master'!M:M,MATCH(Bajaj_TL_SNo,'Facility Master'!A:A,0)),0),0)</f>
        <v>0</v>
      </c>
      <c r="P27" s="434">
        <f>IFERROR(IF(AND(B27&gt;=INDEX('Facility Master'!AA:AA,MATCH(Bajaj_TL_SNo,'Facility Master'!A:A,0)),B27&lt;=INDEX('Facility Master'!AB:AB,MATCH(Bajaj_TL_SNo,'Facility Master'!A:A,0))),MIN(IFERROR(INDEX('Facility Master'!M:M,MATCH(Bajaj_TL_SNo,'Facility Master'!A:A,0))/INDEX('Facility Master'!Y:Y,MATCH(Bajaj_TL_SNo,'Facility Master'!A:A,0)),0),N27+O27),0),0)</f>
        <v>5.3571428571428568</v>
      </c>
      <c r="Q27" s="434">
        <f>IFERROR((N27+O27-P27/2)*INDEX('Facility Master'!T:T,MATCH(Bajaj_TL_SNo,'Facility Master'!A:A,0))*IF(B27&lt;INDEX('Facility Master'!Z:Z,MATCH(Bajaj_TL_SNo,'Facility Master'!A:A,0)),0,IF(N27=0,MAX(0,B27-INDEX('Facility Master'!Z:Z,MATCH(Bajaj_TL_SNo,'Facility Master'!A:A,0))),B27-B26))/DaysInYear,0)</f>
        <v>1.7999524396086106</v>
      </c>
      <c r="R27" s="444">
        <f t="shared" si="9"/>
        <v>80.357699999999994</v>
      </c>
      <c r="S27" s="428">
        <f t="shared" si="0"/>
        <v>12.180547112462005</v>
      </c>
      <c r="T27" s="428">
        <f t="shared" si="1"/>
        <v>5.5742124980405547</v>
      </c>
      <c r="U27" s="428">
        <f t="shared" si="2"/>
        <v>17.75475961050256</v>
      </c>
      <c r="V27" s="445">
        <f t="shared" si="3"/>
        <v>271.41309999999999</v>
      </c>
    </row>
    <row r="28" spans="1:22" ht="15" customHeight="1" x14ac:dyDescent="0.3">
      <c r="A28" s="201">
        <v>24</v>
      </c>
      <c r="B28" s="202">
        <v>47483</v>
      </c>
      <c r="C28" s="203" t="s">
        <v>206</v>
      </c>
      <c r="D28" s="425">
        <f t="shared" si="4"/>
        <v>0</v>
      </c>
      <c r="E28" s="425">
        <f>IFERROR(IF(AND(INDEX('Facility Master'!Z:Z,MATCH(RBL_TL_SNo,'Facility Master'!A:A,0))&gt;B27,INDEX('Facility Master'!Z:Z,MATCH(RBL_TL_SNo,'Facility Master'!A:A,0))&lt;=B28),INDEX('Facility Master'!M:M,MATCH(RBL_TL_SNo,'Facility Master'!A:A,0)),0),0)</f>
        <v>0</v>
      </c>
      <c r="F28" s="425">
        <f>IFERROR(IF(AND(B28&gt;=INDEX('Facility Master'!AA:AA,MATCH(RBL_TL_SNo,'Facility Master'!A:A,0)),B28&lt;=INDEX('Facility Master'!AB:AB,MATCH(RBL_TL_SNo,'Facility Master'!A:A,0))),MIN(IFERROR(INDEX('Facility Master'!M:M,MATCH(RBL_TL_SNo,'Facility Master'!A:A,0))/INDEX('Facility Master'!Y:Y,MATCH(RBL_TL_SNo,'Facility Master'!A:A,0)),0),D28+E28),0),0)</f>
        <v>0</v>
      </c>
      <c r="G28" s="432">
        <f>IFERROR((D28+E28-F28/2)*INDEX('Facility Master'!T:T,MATCH(RBL_TL_SNo,'Facility Master'!A:A,0))*IF(B28&lt;INDEX('Facility Master'!Z:Z,MATCH(RBL_TL_SNo,'Facility Master'!A:A,0)),0,IF(D28=0,MAX(0,B28-INDEX('Facility Master'!Z:Z,MATCH(RBL_TL_SNo,'Facility Master'!A:A,0))),B28-B27))/DaysInYear,0)</f>
        <v>0</v>
      </c>
      <c r="H28" s="432">
        <f t="shared" si="5"/>
        <v>0</v>
      </c>
      <c r="I28" s="433">
        <f t="shared" si="6"/>
        <v>191.05539999999999</v>
      </c>
      <c r="J28" s="433">
        <f>IFERROR(IF(AND(INDEX('Facility Master'!Z:Z,MATCH(YBL_TL_SNo,'Facility Master'!A:A,0))&gt;B27,INDEX('Facility Master'!Z:Z,MATCH(YBL_TL_SNo,'Facility Master'!A:A,0))&lt;=B28),INDEX('Facility Master'!M:M,MATCH(YBL_TL_SNo,'Facility Master'!A:A,0)),0),0)</f>
        <v>0</v>
      </c>
      <c r="K28" s="433">
        <f>IFERROR(IF(AND(B28&gt;=INDEX('Facility Master'!AA:AA,MATCH(YBL_TL_SNo,'Facility Master'!A:A,0)),B28&lt;=INDEX('Facility Master'!AB:AB,MATCH(YBL_TL_SNo,'Facility Master'!A:A,0))),MIN(IFERROR(INDEX('Facility Master'!M:M,MATCH(YBL_TL_SNo,'Facility Master'!A:A,0))/INDEX('Facility Master'!Y:Y,MATCH(YBL_TL_SNo,'Facility Master'!A:A,0)),0),I28+J28),0),0)</f>
        <v>6.823404255319149</v>
      </c>
      <c r="L28" s="433">
        <f>IFERROR((I28+J28-K28/2)*INDEX('Facility Master'!T:T,MATCH(YBL_TL_SNo,'Facility Master'!A:A,0))*IF(B28&lt;INDEX('Facility Master'!Z:Z,MATCH(YBL_TL_SNo,'Facility Master'!A:A,0)),0,IF(I28=0,MAX(0,B28-INDEX('Facility Master'!Z:Z,MATCH(YBL_TL_SNo,'Facility Master'!A:A,0))),B28-B27))/DaysInYear,0)</f>
        <v>3.6418300156922179</v>
      </c>
      <c r="M28" s="433">
        <f t="shared" si="7"/>
        <v>184.232</v>
      </c>
      <c r="N28" s="434">
        <f t="shared" si="8"/>
        <v>80.357699999999994</v>
      </c>
      <c r="O28" s="434">
        <f>IFERROR(IF(AND(INDEX('Facility Master'!Z:Z,MATCH(Bajaj_TL_SNo,'Facility Master'!A:A,0))&gt;B27,INDEX('Facility Master'!Z:Z,MATCH(Bajaj_TL_SNo,'Facility Master'!A:A,0))&lt;=B28),INDEX('Facility Master'!M:M,MATCH(Bajaj_TL_SNo,'Facility Master'!A:A,0)),0),0)</f>
        <v>0</v>
      </c>
      <c r="P28" s="434">
        <f>IFERROR(IF(AND(B28&gt;=INDEX('Facility Master'!AA:AA,MATCH(Bajaj_TL_SNo,'Facility Master'!A:A,0)),B28&lt;=INDEX('Facility Master'!AB:AB,MATCH(Bajaj_TL_SNo,'Facility Master'!A:A,0))),MIN(IFERROR(INDEX('Facility Master'!M:M,MATCH(Bajaj_TL_SNo,'Facility Master'!A:A,0))/INDEX('Facility Master'!Y:Y,MATCH(Bajaj_TL_SNo,'Facility Master'!A:A,0)),0),N28+O28),0),0)</f>
        <v>5.3571428571428568</v>
      </c>
      <c r="Q28" s="434">
        <f>IFERROR((N28+O28-P28/2)*INDEX('Facility Master'!T:T,MATCH(Bajaj_TL_SNo,'Facility Master'!A:A,0))*IF(B28&lt;INDEX('Facility Master'!Z:Z,MATCH(Bajaj_TL_SNo,'Facility Master'!A:A,0)),0,IF(N28=0,MAX(0,B28-INDEX('Facility Master'!Z:Z,MATCH(Bajaj_TL_SNo,'Facility Master'!A:A,0))),B28-B27))/DaysInYear,0)</f>
        <v>1.683828123992172</v>
      </c>
      <c r="R28" s="444">
        <f t="shared" si="9"/>
        <v>75.000600000000006</v>
      </c>
      <c r="S28" s="426">
        <f t="shared" si="0"/>
        <v>12.180547112462005</v>
      </c>
      <c r="T28" s="426">
        <f t="shared" si="1"/>
        <v>5.3256581396843901</v>
      </c>
      <c r="U28" s="426">
        <f t="shared" si="2"/>
        <v>17.506205252146394</v>
      </c>
      <c r="V28" s="445">
        <f t="shared" si="3"/>
        <v>259.23259999999999</v>
      </c>
    </row>
    <row r="29" spans="1:22" ht="16.95" customHeight="1" x14ac:dyDescent="0.3">
      <c r="A29" s="429">
        <v>25</v>
      </c>
      <c r="B29" s="430">
        <v>47573</v>
      </c>
      <c r="C29" s="431" t="s">
        <v>207</v>
      </c>
      <c r="D29" s="432">
        <f t="shared" si="4"/>
        <v>0</v>
      </c>
      <c r="E29" s="432">
        <f>IFERROR(IF(AND(INDEX('Facility Master'!Z:Z,MATCH(RBL_TL_SNo,'Facility Master'!A:A,0))&gt;B28,INDEX('Facility Master'!Z:Z,MATCH(RBL_TL_SNo,'Facility Master'!A:A,0))&lt;=B29),INDEX('Facility Master'!M:M,MATCH(RBL_TL_SNo,'Facility Master'!A:A,0)),0),0)</f>
        <v>0</v>
      </c>
      <c r="F29" s="432">
        <f>IFERROR(IF(AND(B29&gt;=INDEX('Facility Master'!AA:AA,MATCH(RBL_TL_SNo,'Facility Master'!A:A,0)),B29&lt;=INDEX('Facility Master'!AB:AB,MATCH(RBL_TL_SNo,'Facility Master'!A:A,0))),MIN(IFERROR(INDEX('Facility Master'!M:M,MATCH(RBL_TL_SNo,'Facility Master'!A:A,0))/INDEX('Facility Master'!Y:Y,MATCH(RBL_TL_SNo,'Facility Master'!A:A,0)),0),D29+E29),0),0)</f>
        <v>0</v>
      </c>
      <c r="G29" s="432">
        <f>IFERROR((D29+E29-F29/2)*INDEX('Facility Master'!T:T,MATCH(RBL_TL_SNo,'Facility Master'!A:A,0))*IF(B29&lt;INDEX('Facility Master'!Z:Z,MATCH(RBL_TL_SNo,'Facility Master'!A:A,0)),0,IF(D29=0,MAX(0,B29-INDEX('Facility Master'!Z:Z,MATCH(RBL_TL_SNo,'Facility Master'!A:A,0))),B29-B28))/DaysInYear,0)</f>
        <v>0</v>
      </c>
      <c r="H29" s="432">
        <f t="shared" si="5"/>
        <v>0</v>
      </c>
      <c r="I29" s="433">
        <f t="shared" si="6"/>
        <v>184.232</v>
      </c>
      <c r="J29" s="433">
        <f>IFERROR(IF(AND(INDEX('Facility Master'!Z:Z,MATCH(YBL_TL_SNo,'Facility Master'!A:A,0))&gt;B28,INDEX('Facility Master'!Z:Z,MATCH(YBL_TL_SNo,'Facility Master'!A:A,0))&lt;=B29),INDEX('Facility Master'!M:M,MATCH(YBL_TL_SNo,'Facility Master'!A:A,0)),0),0)</f>
        <v>0</v>
      </c>
      <c r="K29" s="433">
        <f>IFERROR(IF(AND(B29&gt;=INDEX('Facility Master'!AA:AA,MATCH(YBL_TL_SNo,'Facility Master'!A:A,0)),B29&lt;=INDEX('Facility Master'!AB:AB,MATCH(YBL_TL_SNo,'Facility Master'!A:A,0))),MIN(IFERROR(INDEX('Facility Master'!M:M,MATCH(YBL_TL_SNo,'Facility Master'!A:A,0))/INDEX('Facility Master'!Y:Y,MATCH(YBL_TL_SNo,'Facility Master'!A:A,0)),0),I29+J29),0),0)</f>
        <v>6.823404255319149</v>
      </c>
      <c r="L29" s="433">
        <f>IFERROR((I29+J29-K29/2)*INDEX('Facility Master'!T:T,MATCH(YBL_TL_SNo,'Facility Master'!A:A,0))*IF(B29&lt;INDEX('Facility Master'!Z:Z,MATCH(YBL_TL_SNo,'Facility Master'!A:A,0)),0,IF(I29=0,MAX(0,B29-INDEX('Facility Master'!Z:Z,MATCH(YBL_TL_SNo,'Facility Master'!A:A,0))),B29-B28))/DaysInYear,0)</f>
        <v>3.4331086691926553</v>
      </c>
      <c r="M29" s="433">
        <f t="shared" si="7"/>
        <v>177.40860000000001</v>
      </c>
      <c r="N29" s="434">
        <f t="shared" si="8"/>
        <v>75.000600000000006</v>
      </c>
      <c r="O29" s="434">
        <f>IFERROR(IF(AND(INDEX('Facility Master'!Z:Z,MATCH(Bajaj_TL_SNo,'Facility Master'!A:A,0))&gt;B28,INDEX('Facility Master'!Z:Z,MATCH(Bajaj_TL_SNo,'Facility Master'!A:A,0))&lt;=B29),INDEX('Facility Master'!M:M,MATCH(Bajaj_TL_SNo,'Facility Master'!A:A,0)),0),0)</f>
        <v>0</v>
      </c>
      <c r="P29" s="434">
        <f>IFERROR(IF(AND(B29&gt;=INDEX('Facility Master'!AA:AA,MATCH(Bajaj_TL_SNo,'Facility Master'!A:A,0)),B29&lt;=INDEX('Facility Master'!AB:AB,MATCH(Bajaj_TL_SNo,'Facility Master'!A:A,0))),MIN(IFERROR(INDEX('Facility Master'!M:M,MATCH(Bajaj_TL_SNo,'Facility Master'!A:A,0))/INDEX('Facility Master'!Y:Y,MATCH(Bajaj_TL_SNo,'Facility Master'!A:A,0)),0),N29+O29),0),0)</f>
        <v>5.3571428571428568</v>
      </c>
      <c r="Q29" s="434">
        <f>IFERROR((N29+O29-P29/2)*INDEX('Facility Master'!T:T,MATCH(Bajaj_TL_SNo,'Facility Master'!A:A,0))*IF(B29&lt;INDEX('Facility Master'!Z:Z,MATCH(Bajaj_TL_SNo,'Facility Master'!A:A,0)),0,IF(N29=0,MAX(0,B29-INDEX('Facility Master'!Z:Z,MATCH(Bajaj_TL_SNo,'Facility Master'!A:A,0))),B29-B28))/DaysInYear,0)</f>
        <v>1.5336232908023486</v>
      </c>
      <c r="R29" s="434">
        <f t="shared" si="9"/>
        <v>69.643500000000003</v>
      </c>
      <c r="S29" s="435">
        <f t="shared" si="0"/>
        <v>12.180547112462005</v>
      </c>
      <c r="T29" s="435">
        <f t="shared" si="1"/>
        <v>4.9667319599950037</v>
      </c>
      <c r="U29" s="435">
        <f t="shared" si="2"/>
        <v>17.14727907245701</v>
      </c>
      <c r="V29" s="436">
        <f t="shared" si="3"/>
        <v>247.0521</v>
      </c>
    </row>
    <row r="30" spans="1:22" ht="15" customHeight="1" x14ac:dyDescent="0.3">
      <c r="A30" s="201">
        <v>26</v>
      </c>
      <c r="B30" s="202">
        <v>47664</v>
      </c>
      <c r="C30" s="203" t="s">
        <v>208</v>
      </c>
      <c r="D30" s="425">
        <f t="shared" si="4"/>
        <v>0</v>
      </c>
      <c r="E30" s="425">
        <f>IFERROR(IF(AND(INDEX('Facility Master'!Z:Z,MATCH(RBL_TL_SNo,'Facility Master'!A:A,0))&gt;B29,INDEX('Facility Master'!Z:Z,MATCH(RBL_TL_SNo,'Facility Master'!A:A,0))&lt;=B30),INDEX('Facility Master'!M:M,MATCH(RBL_TL_SNo,'Facility Master'!A:A,0)),0),0)</f>
        <v>0</v>
      </c>
      <c r="F30" s="425">
        <f>IFERROR(IF(AND(B30&gt;=INDEX('Facility Master'!AA:AA,MATCH(RBL_TL_SNo,'Facility Master'!A:A,0)),B30&lt;=INDEX('Facility Master'!AB:AB,MATCH(RBL_TL_SNo,'Facility Master'!A:A,0))),MIN(IFERROR(INDEX('Facility Master'!M:M,MATCH(RBL_TL_SNo,'Facility Master'!A:A,0))/INDEX('Facility Master'!Y:Y,MATCH(RBL_TL_SNo,'Facility Master'!A:A,0)),0),D30+E30),0),0)</f>
        <v>0</v>
      </c>
      <c r="G30" s="432">
        <f>IFERROR((D30+E30-F30/2)*INDEX('Facility Master'!T:T,MATCH(RBL_TL_SNo,'Facility Master'!A:A,0))*IF(B30&lt;INDEX('Facility Master'!Z:Z,MATCH(RBL_TL_SNo,'Facility Master'!A:A,0)),0,IF(D30=0,MAX(0,B30-INDEX('Facility Master'!Z:Z,MATCH(RBL_TL_SNo,'Facility Master'!A:A,0))),B30-B29))/DaysInYear,0)</f>
        <v>0</v>
      </c>
      <c r="H30" s="432">
        <f t="shared" si="5"/>
        <v>0</v>
      </c>
      <c r="I30" s="433">
        <f t="shared" si="6"/>
        <v>177.40860000000001</v>
      </c>
      <c r="J30" s="433">
        <f>IFERROR(IF(AND(INDEX('Facility Master'!Z:Z,MATCH(YBL_TL_SNo,'Facility Master'!A:A,0))&gt;B29,INDEX('Facility Master'!Z:Z,MATCH(YBL_TL_SNo,'Facility Master'!A:A,0))&lt;=B30),INDEX('Facility Master'!M:M,MATCH(YBL_TL_SNo,'Facility Master'!A:A,0)),0),0)</f>
        <v>0</v>
      </c>
      <c r="K30" s="433">
        <f>IFERROR(IF(AND(B30&gt;=INDEX('Facility Master'!AA:AA,MATCH(YBL_TL_SNo,'Facility Master'!A:A,0)),B30&lt;=INDEX('Facility Master'!AB:AB,MATCH(YBL_TL_SNo,'Facility Master'!A:A,0))),MIN(IFERROR(INDEX('Facility Master'!M:M,MATCH(YBL_TL_SNo,'Facility Master'!A:A,0))/INDEX('Facility Master'!Y:Y,MATCH(YBL_TL_SNo,'Facility Master'!A:A,0)),0),I30+J30),0),0)</f>
        <v>6.823404255319149</v>
      </c>
      <c r="L30" s="433">
        <f>IFERROR((I30+J30-K30/2)*INDEX('Facility Master'!T:T,MATCH(YBL_TL_SNo,'Facility Master'!A:A,0))*IF(B30&lt;INDEX('Facility Master'!Z:Z,MATCH(YBL_TL_SNo,'Facility Master'!A:A,0)),0,IF(I30=0,MAX(0,B30-INDEX('Facility Master'!Z:Z,MATCH(YBL_TL_SNo,'Facility Master'!A:A,0))),B30-B29))/DaysInYear,0)</f>
        <v>3.3402637353191493</v>
      </c>
      <c r="M30" s="433">
        <f t="shared" si="7"/>
        <v>170.58519999999999</v>
      </c>
      <c r="N30" s="434">
        <f t="shared" si="8"/>
        <v>69.643500000000003</v>
      </c>
      <c r="O30" s="434">
        <f>IFERROR(IF(AND(INDEX('Facility Master'!Z:Z,MATCH(Bajaj_TL_SNo,'Facility Master'!A:A,0))&gt;B29,INDEX('Facility Master'!Z:Z,MATCH(Bajaj_TL_SNo,'Facility Master'!A:A,0))&lt;=B30),INDEX('Facility Master'!M:M,MATCH(Bajaj_TL_SNo,'Facility Master'!A:A,0)),0),0)</f>
        <v>0</v>
      </c>
      <c r="P30" s="434">
        <f>IFERROR(IF(AND(B30&gt;=INDEX('Facility Master'!AA:AA,MATCH(Bajaj_TL_SNo,'Facility Master'!A:A,0)),B30&lt;=INDEX('Facility Master'!AB:AB,MATCH(Bajaj_TL_SNo,'Facility Master'!A:A,0))),MIN(IFERROR(INDEX('Facility Master'!M:M,MATCH(Bajaj_TL_SNo,'Facility Master'!A:A,0))/INDEX('Facility Master'!Y:Y,MATCH(Bajaj_TL_SNo,'Facility Master'!A:A,0)),0),N30+O30),0),0)</f>
        <v>5.3571428571428568</v>
      </c>
      <c r="Q30" s="434">
        <f>IFERROR((N30+O30-P30/2)*INDEX('Facility Master'!T:T,MATCH(Bajaj_TL_SNo,'Facility Master'!A:A,0))*IF(B30&lt;INDEX('Facility Master'!Z:Z,MATCH(Bajaj_TL_SNo,'Facility Master'!A:A,0)),0,IF(N30=0,MAX(0,B30-INDEX('Facility Master'!Z:Z,MATCH(Bajaj_TL_SNo,'Facility Master'!A:A,0))),B30-B29))/DaysInYear,0)</f>
        <v>1.4358014547945206</v>
      </c>
      <c r="R30" s="444">
        <f t="shared" si="9"/>
        <v>64.2864</v>
      </c>
      <c r="S30" s="426">
        <f t="shared" si="0"/>
        <v>12.180547112462005</v>
      </c>
      <c r="T30" s="426">
        <f t="shared" si="1"/>
        <v>4.7760651901136697</v>
      </c>
      <c r="U30" s="426">
        <f t="shared" si="2"/>
        <v>16.956612302575675</v>
      </c>
      <c r="V30" s="445">
        <f t="shared" si="3"/>
        <v>234.8716</v>
      </c>
    </row>
    <row r="31" spans="1:22" ht="15" customHeight="1" x14ac:dyDescent="0.3">
      <c r="A31" s="198">
        <v>27</v>
      </c>
      <c r="B31" s="199">
        <v>47756</v>
      </c>
      <c r="C31" s="200" t="s">
        <v>209</v>
      </c>
      <c r="D31" s="427">
        <f t="shared" si="4"/>
        <v>0</v>
      </c>
      <c r="E31" s="427">
        <f>IFERROR(IF(AND(INDEX('Facility Master'!Z:Z,MATCH(RBL_TL_SNo,'Facility Master'!A:A,0))&gt;B30,INDEX('Facility Master'!Z:Z,MATCH(RBL_TL_SNo,'Facility Master'!A:A,0))&lt;=B31),INDEX('Facility Master'!M:M,MATCH(RBL_TL_SNo,'Facility Master'!A:A,0)),0),0)</f>
        <v>0</v>
      </c>
      <c r="F31" s="427">
        <f>IFERROR(IF(AND(B31&gt;=INDEX('Facility Master'!AA:AA,MATCH(RBL_TL_SNo,'Facility Master'!A:A,0)),B31&lt;=INDEX('Facility Master'!AB:AB,MATCH(RBL_TL_SNo,'Facility Master'!A:A,0))),MIN(IFERROR(INDEX('Facility Master'!M:M,MATCH(RBL_TL_SNo,'Facility Master'!A:A,0))/INDEX('Facility Master'!Y:Y,MATCH(RBL_TL_SNo,'Facility Master'!A:A,0)),0),D31+E31),0),0)</f>
        <v>0</v>
      </c>
      <c r="G31" s="432">
        <f>IFERROR((D31+E31-F31/2)*INDEX('Facility Master'!T:T,MATCH(RBL_TL_SNo,'Facility Master'!A:A,0))*IF(B31&lt;INDEX('Facility Master'!Z:Z,MATCH(RBL_TL_SNo,'Facility Master'!A:A,0)),0,IF(D31=0,MAX(0,B31-INDEX('Facility Master'!Z:Z,MATCH(RBL_TL_SNo,'Facility Master'!A:A,0))),B31-B30))/DaysInYear,0)</f>
        <v>0</v>
      </c>
      <c r="H31" s="432">
        <f t="shared" si="5"/>
        <v>0</v>
      </c>
      <c r="I31" s="433">
        <f t="shared" si="6"/>
        <v>170.58519999999999</v>
      </c>
      <c r="J31" s="433">
        <f>IFERROR(IF(AND(INDEX('Facility Master'!Z:Z,MATCH(YBL_TL_SNo,'Facility Master'!A:A,0))&gt;B30,INDEX('Facility Master'!Z:Z,MATCH(YBL_TL_SNo,'Facility Master'!A:A,0))&lt;=B31),INDEX('Facility Master'!M:M,MATCH(YBL_TL_SNo,'Facility Master'!A:A,0)),0),0)</f>
        <v>0</v>
      </c>
      <c r="K31" s="433">
        <f>IFERROR(IF(AND(B31&gt;=INDEX('Facility Master'!AA:AA,MATCH(YBL_TL_SNo,'Facility Master'!A:A,0)),B31&lt;=INDEX('Facility Master'!AB:AB,MATCH(YBL_TL_SNo,'Facility Master'!A:A,0))),MIN(IFERROR(INDEX('Facility Master'!M:M,MATCH(YBL_TL_SNo,'Facility Master'!A:A,0))/INDEX('Facility Master'!Y:Y,MATCH(YBL_TL_SNo,'Facility Master'!A:A,0)),0),I31+J31),0),0)</f>
        <v>6.823404255319149</v>
      </c>
      <c r="L31" s="433">
        <f>IFERROR((I31+J31-K31/2)*INDEX('Facility Master'!T:T,MATCH(YBL_TL_SNo,'Facility Master'!A:A,0))*IF(B31&lt;INDEX('Facility Master'!Z:Z,MATCH(YBL_TL_SNo,'Facility Master'!A:A,0)),0,IF(I31=0,MAX(0,B31-INDEX('Facility Master'!Z:Z,MATCH(YBL_TL_SNo,'Facility Master'!A:A,0))),B31-B30))/DaysInYear,0)</f>
        <v>3.2445398874730396</v>
      </c>
      <c r="M31" s="433">
        <f t="shared" si="7"/>
        <v>163.76179999999999</v>
      </c>
      <c r="N31" s="434">
        <f t="shared" si="8"/>
        <v>64.2864</v>
      </c>
      <c r="O31" s="434">
        <f>IFERROR(IF(AND(INDEX('Facility Master'!Z:Z,MATCH(Bajaj_TL_SNo,'Facility Master'!A:A,0))&gt;B30,INDEX('Facility Master'!Z:Z,MATCH(Bajaj_TL_SNo,'Facility Master'!A:A,0))&lt;=B31),INDEX('Facility Master'!M:M,MATCH(Bajaj_TL_SNo,'Facility Master'!A:A,0)),0),0)</f>
        <v>0</v>
      </c>
      <c r="P31" s="434">
        <f>IFERROR(IF(AND(B31&gt;=INDEX('Facility Master'!AA:AA,MATCH(Bajaj_TL_SNo,'Facility Master'!A:A,0)),B31&lt;=INDEX('Facility Master'!AB:AB,MATCH(Bajaj_TL_SNo,'Facility Master'!A:A,0))),MIN(IFERROR(INDEX('Facility Master'!M:M,MATCH(Bajaj_TL_SNo,'Facility Master'!A:A,0))/INDEX('Facility Master'!Y:Y,MATCH(Bajaj_TL_SNo,'Facility Master'!A:A,0)),0),N31+O31),0),0)</f>
        <v>5.3571428571428568</v>
      </c>
      <c r="Q31" s="434">
        <f>IFERROR((N31+O31-P31/2)*INDEX('Facility Master'!T:T,MATCH(Bajaj_TL_SNo,'Facility Master'!A:A,0))*IF(B31&lt;INDEX('Facility Master'!Z:Z,MATCH(Bajaj_TL_SNo,'Facility Master'!A:A,0)),0,IF(N31=0,MAX(0,B31-INDEX('Facility Master'!Z:Z,MATCH(Bajaj_TL_SNo,'Facility Master'!A:A,0))),B31-B30))/DaysInYear,0)</f>
        <v>1.3354551771428571</v>
      </c>
      <c r="R31" s="444">
        <f t="shared" si="9"/>
        <v>58.929299999999998</v>
      </c>
      <c r="S31" s="428">
        <f t="shared" si="0"/>
        <v>12.180547112462005</v>
      </c>
      <c r="T31" s="428">
        <f t="shared" si="1"/>
        <v>4.5799950646158969</v>
      </c>
      <c r="U31" s="428">
        <f t="shared" si="2"/>
        <v>16.760542177077902</v>
      </c>
      <c r="V31" s="445">
        <f t="shared" si="3"/>
        <v>222.69110000000001</v>
      </c>
    </row>
    <row r="32" spans="1:22" ht="15" customHeight="1" x14ac:dyDescent="0.3">
      <c r="A32" s="201">
        <v>28</v>
      </c>
      <c r="B32" s="202">
        <v>47848</v>
      </c>
      <c r="C32" s="203" t="s">
        <v>210</v>
      </c>
      <c r="D32" s="425">
        <f t="shared" si="4"/>
        <v>0</v>
      </c>
      <c r="E32" s="425">
        <f>IFERROR(IF(AND(INDEX('Facility Master'!Z:Z,MATCH(RBL_TL_SNo,'Facility Master'!A:A,0))&gt;B31,INDEX('Facility Master'!Z:Z,MATCH(RBL_TL_SNo,'Facility Master'!A:A,0))&lt;=B32),INDEX('Facility Master'!M:M,MATCH(RBL_TL_SNo,'Facility Master'!A:A,0)),0),0)</f>
        <v>0</v>
      </c>
      <c r="F32" s="425">
        <f>IFERROR(IF(AND(B32&gt;=INDEX('Facility Master'!AA:AA,MATCH(RBL_TL_SNo,'Facility Master'!A:A,0)),B32&lt;=INDEX('Facility Master'!AB:AB,MATCH(RBL_TL_SNo,'Facility Master'!A:A,0))),MIN(IFERROR(INDEX('Facility Master'!M:M,MATCH(RBL_TL_SNo,'Facility Master'!A:A,0))/INDEX('Facility Master'!Y:Y,MATCH(RBL_TL_SNo,'Facility Master'!A:A,0)),0),D32+E32),0),0)</f>
        <v>0</v>
      </c>
      <c r="G32" s="432">
        <f>IFERROR((D32+E32-F32/2)*INDEX('Facility Master'!T:T,MATCH(RBL_TL_SNo,'Facility Master'!A:A,0))*IF(B32&lt;INDEX('Facility Master'!Z:Z,MATCH(RBL_TL_SNo,'Facility Master'!A:A,0)),0,IF(D32=0,MAX(0,B32-INDEX('Facility Master'!Z:Z,MATCH(RBL_TL_SNo,'Facility Master'!A:A,0))),B32-B31))/DaysInYear,0)</f>
        <v>0</v>
      </c>
      <c r="H32" s="432">
        <f t="shared" si="5"/>
        <v>0</v>
      </c>
      <c r="I32" s="433">
        <f t="shared" si="6"/>
        <v>163.76179999999999</v>
      </c>
      <c r="J32" s="433">
        <f>IFERROR(IF(AND(INDEX('Facility Master'!Z:Z,MATCH(YBL_TL_SNo,'Facility Master'!A:A,0))&gt;B31,INDEX('Facility Master'!Z:Z,MATCH(YBL_TL_SNo,'Facility Master'!A:A,0))&lt;=B32),INDEX('Facility Master'!M:M,MATCH(YBL_TL_SNo,'Facility Master'!A:A,0)),0),0)</f>
        <v>0</v>
      </c>
      <c r="K32" s="433">
        <f>IFERROR(IF(AND(B32&gt;=INDEX('Facility Master'!AA:AA,MATCH(YBL_TL_SNo,'Facility Master'!A:A,0)),B32&lt;=INDEX('Facility Master'!AB:AB,MATCH(YBL_TL_SNo,'Facility Master'!A:A,0))),MIN(IFERROR(INDEX('Facility Master'!M:M,MATCH(YBL_TL_SNo,'Facility Master'!A:A,0))/INDEX('Facility Master'!Y:Y,MATCH(YBL_TL_SNo,'Facility Master'!A:A,0)),0),I32+J32),0),0)</f>
        <v>6.823404255319149</v>
      </c>
      <c r="L32" s="433">
        <f>IFERROR((I32+J32-K32/2)*INDEX('Facility Master'!T:T,MATCH(YBL_TL_SNo,'Facility Master'!A:A,0))*IF(B32&lt;INDEX('Facility Master'!Z:Z,MATCH(YBL_TL_SNo,'Facility Master'!A:A,0)),0,IF(I32=0,MAX(0,B32-INDEX('Facility Master'!Z:Z,MATCH(YBL_TL_SNo,'Facility Master'!A:A,0))),B32-B31))/DaysInYear,0)</f>
        <v>3.1121098447333138</v>
      </c>
      <c r="M32" s="433">
        <f t="shared" si="7"/>
        <v>156.9384</v>
      </c>
      <c r="N32" s="434">
        <f t="shared" si="8"/>
        <v>58.929299999999998</v>
      </c>
      <c r="O32" s="434">
        <f>IFERROR(IF(AND(INDEX('Facility Master'!Z:Z,MATCH(Bajaj_TL_SNo,'Facility Master'!A:A,0))&gt;B31,INDEX('Facility Master'!Z:Z,MATCH(Bajaj_TL_SNo,'Facility Master'!A:A,0))&lt;=B32),INDEX('Facility Master'!M:M,MATCH(Bajaj_TL_SNo,'Facility Master'!A:A,0)),0),0)</f>
        <v>0</v>
      </c>
      <c r="P32" s="434">
        <f>IFERROR(IF(AND(B32&gt;=INDEX('Facility Master'!AA:AA,MATCH(Bajaj_TL_SNo,'Facility Master'!A:A,0)),B32&lt;=INDEX('Facility Master'!AB:AB,MATCH(Bajaj_TL_SNo,'Facility Master'!A:A,0))),MIN(IFERROR(INDEX('Facility Master'!M:M,MATCH(Bajaj_TL_SNo,'Facility Master'!A:A,0))/INDEX('Facility Master'!Y:Y,MATCH(Bajaj_TL_SNo,'Facility Master'!A:A,0)),0),N32+O32),0),0)</f>
        <v>5.3571428571428568</v>
      </c>
      <c r="Q32" s="434">
        <f>IFERROR((N32+O32-P32/2)*INDEX('Facility Master'!T:T,MATCH(Bajaj_TL_SNo,'Facility Master'!A:A,0))*IF(B32&lt;INDEX('Facility Master'!Z:Z,MATCH(Bajaj_TL_SNo,'Facility Master'!A:A,0)),0,IF(N32=0,MAX(0,B32-INDEX('Facility Master'!Z:Z,MATCH(Bajaj_TL_SNo,'Facility Master'!A:A,0))),B32-B31))/DaysInYear,0)</f>
        <v>1.2193308615264189</v>
      </c>
      <c r="R32" s="444">
        <f t="shared" si="9"/>
        <v>53.572200000000002</v>
      </c>
      <c r="S32" s="426">
        <f t="shared" si="0"/>
        <v>12.180547112462005</v>
      </c>
      <c r="T32" s="426">
        <f t="shared" si="1"/>
        <v>4.3314407062597322</v>
      </c>
      <c r="U32" s="426">
        <f t="shared" si="2"/>
        <v>16.511987818721735</v>
      </c>
      <c r="V32" s="445">
        <f t="shared" si="3"/>
        <v>210.51060000000001</v>
      </c>
    </row>
    <row r="33" spans="1:22" ht="16.95" customHeight="1" x14ac:dyDescent="0.3">
      <c r="A33" s="429">
        <v>29</v>
      </c>
      <c r="B33" s="430">
        <v>47938</v>
      </c>
      <c r="C33" s="431" t="s">
        <v>211</v>
      </c>
      <c r="D33" s="432">
        <f t="shared" si="4"/>
        <v>0</v>
      </c>
      <c r="E33" s="432">
        <f>IFERROR(IF(AND(INDEX('Facility Master'!Z:Z,MATCH(RBL_TL_SNo,'Facility Master'!A:A,0))&gt;B32,INDEX('Facility Master'!Z:Z,MATCH(RBL_TL_SNo,'Facility Master'!A:A,0))&lt;=B33),INDEX('Facility Master'!M:M,MATCH(RBL_TL_SNo,'Facility Master'!A:A,0)),0),0)</f>
        <v>0</v>
      </c>
      <c r="F33" s="432">
        <f>IFERROR(IF(AND(B33&gt;=INDEX('Facility Master'!AA:AA,MATCH(RBL_TL_SNo,'Facility Master'!A:A,0)),B33&lt;=INDEX('Facility Master'!AB:AB,MATCH(RBL_TL_SNo,'Facility Master'!A:A,0))),MIN(IFERROR(INDEX('Facility Master'!M:M,MATCH(RBL_TL_SNo,'Facility Master'!A:A,0))/INDEX('Facility Master'!Y:Y,MATCH(RBL_TL_SNo,'Facility Master'!A:A,0)),0),D33+E33),0),0)</f>
        <v>0</v>
      </c>
      <c r="G33" s="432">
        <f>IFERROR((D33+E33-F33/2)*INDEX('Facility Master'!T:T,MATCH(RBL_TL_SNo,'Facility Master'!A:A,0))*IF(B33&lt;INDEX('Facility Master'!Z:Z,MATCH(RBL_TL_SNo,'Facility Master'!A:A,0)),0,IF(D33=0,MAX(0,B33-INDEX('Facility Master'!Z:Z,MATCH(RBL_TL_SNo,'Facility Master'!A:A,0))),B33-B32))/DaysInYear,0)</f>
        <v>0</v>
      </c>
      <c r="H33" s="432">
        <f t="shared" si="5"/>
        <v>0</v>
      </c>
      <c r="I33" s="433">
        <f t="shared" si="6"/>
        <v>156.9384</v>
      </c>
      <c r="J33" s="433">
        <f>IFERROR(IF(AND(INDEX('Facility Master'!Z:Z,MATCH(YBL_TL_SNo,'Facility Master'!A:A,0))&gt;B32,INDEX('Facility Master'!Z:Z,MATCH(YBL_TL_SNo,'Facility Master'!A:A,0))&lt;=B33),INDEX('Facility Master'!M:M,MATCH(YBL_TL_SNo,'Facility Master'!A:A,0)),0),0)</f>
        <v>0</v>
      </c>
      <c r="K33" s="433">
        <f>IFERROR(IF(AND(B33&gt;=INDEX('Facility Master'!AA:AA,MATCH(YBL_TL_SNo,'Facility Master'!A:A,0)),B33&lt;=INDEX('Facility Master'!AB:AB,MATCH(YBL_TL_SNo,'Facility Master'!A:A,0))),MIN(IFERROR(INDEX('Facility Master'!M:M,MATCH(YBL_TL_SNo,'Facility Master'!A:A,0))/INDEX('Facility Master'!Y:Y,MATCH(YBL_TL_SNo,'Facility Master'!A:A,0)),0),I33+J33),0),0)</f>
        <v>6.823404255319149</v>
      </c>
      <c r="L33" s="433">
        <f>IFERROR((I33+J33-K33/2)*INDEX('Facility Master'!T:T,MATCH(YBL_TL_SNo,'Facility Master'!A:A,0))*IF(B33&lt;INDEX('Facility Master'!Z:Z,MATCH(YBL_TL_SNo,'Facility Master'!A:A,0)),0,IF(I33=0,MAX(0,B33-INDEX('Facility Master'!Z:Z,MATCH(YBL_TL_SNo,'Facility Master'!A:A,0))),B33-B32))/DaysInYear,0)</f>
        <v>2.9149041541241618</v>
      </c>
      <c r="M33" s="433">
        <f t="shared" si="7"/>
        <v>150.11500000000001</v>
      </c>
      <c r="N33" s="434">
        <f t="shared" si="8"/>
        <v>53.572200000000002</v>
      </c>
      <c r="O33" s="434">
        <f>IFERROR(IF(AND(INDEX('Facility Master'!Z:Z,MATCH(Bajaj_TL_SNo,'Facility Master'!A:A,0))&gt;B32,INDEX('Facility Master'!Z:Z,MATCH(Bajaj_TL_SNo,'Facility Master'!A:A,0))&lt;=B33),INDEX('Facility Master'!M:M,MATCH(Bajaj_TL_SNo,'Facility Master'!A:A,0)),0),0)</f>
        <v>0</v>
      </c>
      <c r="P33" s="434">
        <f>IFERROR(IF(AND(B33&gt;=INDEX('Facility Master'!AA:AA,MATCH(Bajaj_TL_SNo,'Facility Master'!A:A,0)),B33&lt;=INDEX('Facility Master'!AB:AB,MATCH(Bajaj_TL_SNo,'Facility Master'!A:A,0))),MIN(IFERROR(INDEX('Facility Master'!M:M,MATCH(Bajaj_TL_SNo,'Facility Master'!A:A,0))/INDEX('Facility Master'!Y:Y,MATCH(Bajaj_TL_SNo,'Facility Master'!A:A,0)),0),N33+O33),0),0)</f>
        <v>5.3571428571428568</v>
      </c>
      <c r="Q33" s="434">
        <f>IFERROR((N33+O33-P33/2)*INDEX('Facility Master'!T:T,MATCH(Bajaj_TL_SNo,'Facility Master'!A:A,0))*IF(B33&lt;INDEX('Facility Master'!Z:Z,MATCH(Bajaj_TL_SNo,'Facility Master'!A:A,0)),0,IF(N33=0,MAX(0,B33-INDEX('Facility Master'!Z:Z,MATCH(Bajaj_TL_SNo,'Facility Master'!A:A,0))),B33-B32))/DaysInYear,0)</f>
        <v>1.0792237949119374</v>
      </c>
      <c r="R33" s="434">
        <f t="shared" si="9"/>
        <v>48.2151</v>
      </c>
      <c r="S33" s="435">
        <f t="shared" si="0"/>
        <v>12.180547112462005</v>
      </c>
      <c r="T33" s="435">
        <f t="shared" si="1"/>
        <v>3.9941279490360992</v>
      </c>
      <c r="U33" s="435">
        <f t="shared" si="2"/>
        <v>16.174675061498103</v>
      </c>
      <c r="V33" s="436">
        <f t="shared" si="3"/>
        <v>198.33010000000002</v>
      </c>
    </row>
    <row r="34" spans="1:22" ht="15" customHeight="1" x14ac:dyDescent="0.3">
      <c r="A34" s="201">
        <v>30</v>
      </c>
      <c r="B34" s="202">
        <v>48029</v>
      </c>
      <c r="C34" s="203" t="s">
        <v>212</v>
      </c>
      <c r="D34" s="425">
        <f t="shared" si="4"/>
        <v>0</v>
      </c>
      <c r="E34" s="425">
        <f>IFERROR(IF(AND(INDEX('Facility Master'!Z:Z,MATCH(RBL_TL_SNo,'Facility Master'!A:A,0))&gt;B33,INDEX('Facility Master'!Z:Z,MATCH(RBL_TL_SNo,'Facility Master'!A:A,0))&lt;=B34),INDEX('Facility Master'!M:M,MATCH(RBL_TL_SNo,'Facility Master'!A:A,0)),0),0)</f>
        <v>0</v>
      </c>
      <c r="F34" s="425">
        <f>IFERROR(IF(AND(B34&gt;=INDEX('Facility Master'!AA:AA,MATCH(RBL_TL_SNo,'Facility Master'!A:A,0)),B34&lt;=INDEX('Facility Master'!AB:AB,MATCH(RBL_TL_SNo,'Facility Master'!A:A,0))),MIN(IFERROR(INDEX('Facility Master'!M:M,MATCH(RBL_TL_SNo,'Facility Master'!A:A,0))/INDEX('Facility Master'!Y:Y,MATCH(RBL_TL_SNo,'Facility Master'!A:A,0)),0),D34+E34),0),0)</f>
        <v>0</v>
      </c>
      <c r="G34" s="432">
        <f>IFERROR((D34+E34-F34/2)*INDEX('Facility Master'!T:T,MATCH(RBL_TL_SNo,'Facility Master'!A:A,0))*IF(B34&lt;INDEX('Facility Master'!Z:Z,MATCH(RBL_TL_SNo,'Facility Master'!A:A,0)),0,IF(D34=0,MAX(0,B34-INDEX('Facility Master'!Z:Z,MATCH(RBL_TL_SNo,'Facility Master'!A:A,0))),B34-B33))/DaysInYear,0)</f>
        <v>0</v>
      </c>
      <c r="H34" s="432">
        <f t="shared" si="5"/>
        <v>0</v>
      </c>
      <c r="I34" s="433">
        <f t="shared" si="6"/>
        <v>150.11500000000001</v>
      </c>
      <c r="J34" s="433">
        <f>IFERROR(IF(AND(INDEX('Facility Master'!Z:Z,MATCH(YBL_TL_SNo,'Facility Master'!A:A,0))&gt;B33,INDEX('Facility Master'!Z:Z,MATCH(YBL_TL_SNo,'Facility Master'!A:A,0))&lt;=B34),INDEX('Facility Master'!M:M,MATCH(YBL_TL_SNo,'Facility Master'!A:A,0)),0),0)</f>
        <v>0</v>
      </c>
      <c r="K34" s="433">
        <f>IFERROR(IF(AND(B34&gt;=INDEX('Facility Master'!AA:AA,MATCH(YBL_TL_SNo,'Facility Master'!A:A,0)),B34&lt;=INDEX('Facility Master'!AB:AB,MATCH(YBL_TL_SNo,'Facility Master'!A:A,0))),MIN(IFERROR(INDEX('Facility Master'!M:M,MATCH(YBL_TL_SNo,'Facility Master'!A:A,0))/INDEX('Facility Master'!Y:Y,MATCH(YBL_TL_SNo,'Facility Master'!A:A,0)),0),I34+J34),0),0)</f>
        <v>6.823404255319149</v>
      </c>
      <c r="L34" s="433">
        <f>IFERROR((I34+J34-K34/2)*INDEX('Facility Master'!T:T,MATCH(YBL_TL_SNo,'Facility Master'!A:A,0))*IF(B34&lt;INDEX('Facility Master'!Z:Z,MATCH(YBL_TL_SNo,'Facility Master'!A:A,0)),0,IF(I34=0,MAX(0,B34-INDEX('Facility Master'!Z:Z,MATCH(YBL_TL_SNo,'Facility Master'!A:A,0))),B34-B33))/DaysInYear,0)</f>
        <v>2.8163013923054505</v>
      </c>
      <c r="M34" s="433">
        <f t="shared" si="7"/>
        <v>143.29159999999999</v>
      </c>
      <c r="N34" s="434">
        <f t="shared" si="8"/>
        <v>48.2151</v>
      </c>
      <c r="O34" s="434">
        <f>IFERROR(IF(AND(INDEX('Facility Master'!Z:Z,MATCH(Bajaj_TL_SNo,'Facility Master'!A:A,0))&gt;B33,INDEX('Facility Master'!Z:Z,MATCH(Bajaj_TL_SNo,'Facility Master'!A:A,0))&lt;=B34),INDEX('Facility Master'!M:M,MATCH(Bajaj_TL_SNo,'Facility Master'!A:A,0)),0),0)</f>
        <v>0</v>
      </c>
      <c r="P34" s="434">
        <f>IFERROR(IF(AND(B34&gt;=INDEX('Facility Master'!AA:AA,MATCH(Bajaj_TL_SNo,'Facility Master'!A:A,0)),B34&lt;=INDEX('Facility Master'!AB:AB,MATCH(Bajaj_TL_SNo,'Facility Master'!A:A,0))),MIN(IFERROR(INDEX('Facility Master'!M:M,MATCH(Bajaj_TL_SNo,'Facility Master'!A:A,0))/INDEX('Facility Master'!Y:Y,MATCH(Bajaj_TL_SNo,'Facility Master'!A:A,0)),0),N34+O34),0),0)</f>
        <v>5.3571428571428568</v>
      </c>
      <c r="Q34" s="434">
        <f>IFERROR((N34+O34-P34/2)*INDEX('Facility Master'!T:T,MATCH(Bajaj_TL_SNo,'Facility Master'!A:A,0))*IF(B34&lt;INDEX('Facility Master'!Z:Z,MATCH(Bajaj_TL_SNo,'Facility Master'!A:A,0)),0,IF(N34=0,MAX(0,B34-INDEX('Facility Master'!Z:Z,MATCH(Bajaj_TL_SNo,'Facility Master'!A:A,0))),B34-B33))/DaysInYear,0)</f>
        <v>0.97635307561643847</v>
      </c>
      <c r="R34" s="444">
        <f t="shared" si="9"/>
        <v>42.857999999999997</v>
      </c>
      <c r="S34" s="426">
        <f t="shared" si="0"/>
        <v>12.180547112462005</v>
      </c>
      <c r="T34" s="426">
        <f t="shared" si="1"/>
        <v>3.792654467921889</v>
      </c>
      <c r="U34" s="426">
        <f t="shared" si="2"/>
        <v>15.973201580383893</v>
      </c>
      <c r="V34" s="445">
        <f t="shared" si="3"/>
        <v>186.14959999999999</v>
      </c>
    </row>
    <row r="35" spans="1:22" ht="15" customHeight="1" x14ac:dyDescent="0.3">
      <c r="A35" s="198">
        <v>31</v>
      </c>
      <c r="B35" s="199">
        <v>48121</v>
      </c>
      <c r="C35" s="200" t="s">
        <v>213</v>
      </c>
      <c r="D35" s="427">
        <f t="shared" si="4"/>
        <v>0</v>
      </c>
      <c r="E35" s="427">
        <f>IFERROR(IF(AND(INDEX('Facility Master'!Z:Z,MATCH(RBL_TL_SNo,'Facility Master'!A:A,0))&gt;B34,INDEX('Facility Master'!Z:Z,MATCH(RBL_TL_SNo,'Facility Master'!A:A,0))&lt;=B35),INDEX('Facility Master'!M:M,MATCH(RBL_TL_SNo,'Facility Master'!A:A,0)),0),0)</f>
        <v>0</v>
      </c>
      <c r="F35" s="427">
        <f>IFERROR(IF(AND(B35&gt;=INDEX('Facility Master'!AA:AA,MATCH(RBL_TL_SNo,'Facility Master'!A:A,0)),B35&lt;=INDEX('Facility Master'!AB:AB,MATCH(RBL_TL_SNo,'Facility Master'!A:A,0))),MIN(IFERROR(INDEX('Facility Master'!M:M,MATCH(RBL_TL_SNo,'Facility Master'!A:A,0))/INDEX('Facility Master'!Y:Y,MATCH(RBL_TL_SNo,'Facility Master'!A:A,0)),0),D35+E35),0),0)</f>
        <v>0</v>
      </c>
      <c r="G35" s="432">
        <f>IFERROR((D35+E35-F35/2)*INDEX('Facility Master'!T:T,MATCH(RBL_TL_SNo,'Facility Master'!A:A,0))*IF(B35&lt;INDEX('Facility Master'!Z:Z,MATCH(RBL_TL_SNo,'Facility Master'!A:A,0)),0,IF(D35=0,MAX(0,B35-INDEX('Facility Master'!Z:Z,MATCH(RBL_TL_SNo,'Facility Master'!A:A,0))),B35-B34))/DaysInYear,0)</f>
        <v>0</v>
      </c>
      <c r="H35" s="432">
        <f t="shared" si="5"/>
        <v>0</v>
      </c>
      <c r="I35" s="433">
        <f t="shared" si="6"/>
        <v>143.29159999999999</v>
      </c>
      <c r="J35" s="433">
        <f>IFERROR(IF(AND(INDEX('Facility Master'!Z:Z,MATCH(YBL_TL_SNo,'Facility Master'!A:A,0))&gt;B34,INDEX('Facility Master'!Z:Z,MATCH(YBL_TL_SNo,'Facility Master'!A:A,0))&lt;=B35),INDEX('Facility Master'!M:M,MATCH(YBL_TL_SNo,'Facility Master'!A:A,0)),0),0)</f>
        <v>0</v>
      </c>
      <c r="K35" s="433">
        <f>IFERROR(IF(AND(B35&gt;=INDEX('Facility Master'!AA:AA,MATCH(YBL_TL_SNo,'Facility Master'!A:A,0)),B35&lt;=INDEX('Facility Master'!AB:AB,MATCH(YBL_TL_SNo,'Facility Master'!A:A,0))),MIN(IFERROR(INDEX('Facility Master'!M:M,MATCH(YBL_TL_SNo,'Facility Master'!A:A,0))/INDEX('Facility Master'!Y:Y,MATCH(YBL_TL_SNo,'Facility Master'!A:A,0)),0),I35+J35),0),0)</f>
        <v>6.823404255319149</v>
      </c>
      <c r="L35" s="433">
        <f>IFERROR((I35+J35-K35/2)*INDEX('Facility Master'!T:T,MATCH(YBL_TL_SNo,'Facility Master'!A:A,0))*IF(B35&lt;INDEX('Facility Master'!Z:Z,MATCH(YBL_TL_SNo,'Facility Master'!A:A,0)),0,IF(I35=0,MAX(0,B35-INDEX('Facility Master'!Z:Z,MATCH(YBL_TL_SNo,'Facility Master'!A:A,0))),B35-B34))/DaysInYear,0)</f>
        <v>2.7148197165141359</v>
      </c>
      <c r="M35" s="433">
        <f t="shared" si="7"/>
        <v>136.4682</v>
      </c>
      <c r="N35" s="434">
        <f t="shared" si="8"/>
        <v>42.857999999999997</v>
      </c>
      <c r="O35" s="434">
        <f>IFERROR(IF(AND(INDEX('Facility Master'!Z:Z,MATCH(Bajaj_TL_SNo,'Facility Master'!A:A,0))&gt;B34,INDEX('Facility Master'!Z:Z,MATCH(Bajaj_TL_SNo,'Facility Master'!A:A,0))&lt;=B35),INDEX('Facility Master'!M:M,MATCH(Bajaj_TL_SNo,'Facility Master'!A:A,0)),0),0)</f>
        <v>0</v>
      </c>
      <c r="P35" s="434">
        <f>IFERROR(IF(AND(B35&gt;=INDEX('Facility Master'!AA:AA,MATCH(Bajaj_TL_SNo,'Facility Master'!A:A,0)),B35&lt;=INDEX('Facility Master'!AB:AB,MATCH(Bajaj_TL_SNo,'Facility Master'!A:A,0))),MIN(IFERROR(INDEX('Facility Master'!M:M,MATCH(Bajaj_TL_SNo,'Facility Master'!A:A,0))/INDEX('Facility Master'!Y:Y,MATCH(Bajaj_TL_SNo,'Facility Master'!A:A,0)),0),N35+O35),0),0)</f>
        <v>5.3571428571428568</v>
      </c>
      <c r="Q35" s="434">
        <f>IFERROR((N35+O35-P35/2)*INDEX('Facility Master'!T:T,MATCH(Bajaj_TL_SNo,'Facility Master'!A:A,0))*IF(B35&lt;INDEX('Facility Master'!Z:Z,MATCH(Bajaj_TL_SNo,'Facility Master'!A:A,0)),0,IF(N35=0,MAX(0,B35-INDEX('Facility Master'!Z:Z,MATCH(Bajaj_TL_SNo,'Facility Master'!A:A,0))),B35-B34))/DaysInYear,0)</f>
        <v>0.87095791467710371</v>
      </c>
      <c r="R35" s="444">
        <f t="shared" si="9"/>
        <v>37.500900000000001</v>
      </c>
      <c r="S35" s="428">
        <f t="shared" si="0"/>
        <v>12.180547112462005</v>
      </c>
      <c r="T35" s="428">
        <f t="shared" si="1"/>
        <v>3.5857776311912395</v>
      </c>
      <c r="U35" s="428">
        <f t="shared" si="2"/>
        <v>15.766324743653245</v>
      </c>
      <c r="V35" s="445">
        <f t="shared" si="3"/>
        <v>173.9691</v>
      </c>
    </row>
    <row r="36" spans="1:22" ht="15" customHeight="1" x14ac:dyDescent="0.3">
      <c r="A36" s="201">
        <v>32</v>
      </c>
      <c r="B36" s="202">
        <v>48213</v>
      </c>
      <c r="C36" s="203" t="s">
        <v>214</v>
      </c>
      <c r="D36" s="425">
        <f t="shared" si="4"/>
        <v>0</v>
      </c>
      <c r="E36" s="425">
        <f>IFERROR(IF(AND(INDEX('Facility Master'!Z:Z,MATCH(RBL_TL_SNo,'Facility Master'!A:A,0))&gt;B35,INDEX('Facility Master'!Z:Z,MATCH(RBL_TL_SNo,'Facility Master'!A:A,0))&lt;=B36),INDEX('Facility Master'!M:M,MATCH(RBL_TL_SNo,'Facility Master'!A:A,0)),0),0)</f>
        <v>0</v>
      </c>
      <c r="F36" s="425">
        <f>IFERROR(IF(AND(B36&gt;=INDEX('Facility Master'!AA:AA,MATCH(RBL_TL_SNo,'Facility Master'!A:A,0)),B36&lt;=INDEX('Facility Master'!AB:AB,MATCH(RBL_TL_SNo,'Facility Master'!A:A,0))),MIN(IFERROR(INDEX('Facility Master'!M:M,MATCH(RBL_TL_SNo,'Facility Master'!A:A,0))/INDEX('Facility Master'!Y:Y,MATCH(RBL_TL_SNo,'Facility Master'!A:A,0)),0),D36+E36),0),0)</f>
        <v>0</v>
      </c>
      <c r="G36" s="432">
        <f>IFERROR((D36+E36-F36/2)*INDEX('Facility Master'!T:T,MATCH(RBL_TL_SNo,'Facility Master'!A:A,0))*IF(B36&lt;INDEX('Facility Master'!Z:Z,MATCH(RBL_TL_SNo,'Facility Master'!A:A,0)),0,IF(D36=0,MAX(0,B36-INDEX('Facility Master'!Z:Z,MATCH(RBL_TL_SNo,'Facility Master'!A:A,0))),B36-B35))/DaysInYear,0)</f>
        <v>0</v>
      </c>
      <c r="H36" s="432">
        <f t="shared" si="5"/>
        <v>0</v>
      </c>
      <c r="I36" s="433">
        <f t="shared" si="6"/>
        <v>136.4682</v>
      </c>
      <c r="J36" s="433">
        <f>IFERROR(IF(AND(INDEX('Facility Master'!Z:Z,MATCH(YBL_TL_SNo,'Facility Master'!A:A,0))&gt;B35,INDEX('Facility Master'!Z:Z,MATCH(YBL_TL_SNo,'Facility Master'!A:A,0))&lt;=B36),INDEX('Facility Master'!M:M,MATCH(YBL_TL_SNo,'Facility Master'!A:A,0)),0),0)</f>
        <v>0</v>
      </c>
      <c r="K36" s="433">
        <f>IFERROR(IF(AND(B36&gt;=INDEX('Facility Master'!AA:AA,MATCH(YBL_TL_SNo,'Facility Master'!A:A,0)),B36&lt;=INDEX('Facility Master'!AB:AB,MATCH(YBL_TL_SNo,'Facility Master'!A:A,0))),MIN(IFERROR(INDEX('Facility Master'!M:M,MATCH(YBL_TL_SNo,'Facility Master'!A:A,0))/INDEX('Facility Master'!Y:Y,MATCH(YBL_TL_SNo,'Facility Master'!A:A,0)),0),I36+J36),0),0)</f>
        <v>6.823404255319149</v>
      </c>
      <c r="L36" s="433">
        <f>IFERROR((I36+J36-K36/2)*INDEX('Facility Master'!T:T,MATCH(YBL_TL_SNo,'Facility Master'!A:A,0))*IF(B36&lt;INDEX('Facility Master'!Z:Z,MATCH(YBL_TL_SNo,'Facility Master'!A:A,0)),0,IF(I36=0,MAX(0,B36-INDEX('Facility Master'!Z:Z,MATCH(YBL_TL_SNo,'Facility Master'!A:A,0))),B36-B35))/DaysInYear,0)</f>
        <v>2.5823896737744101</v>
      </c>
      <c r="M36" s="433">
        <f t="shared" si="7"/>
        <v>129.6448</v>
      </c>
      <c r="N36" s="434">
        <f t="shared" si="8"/>
        <v>37.500900000000001</v>
      </c>
      <c r="O36" s="434">
        <f>IFERROR(IF(AND(INDEX('Facility Master'!Z:Z,MATCH(Bajaj_TL_SNo,'Facility Master'!A:A,0))&gt;B35,INDEX('Facility Master'!Z:Z,MATCH(Bajaj_TL_SNo,'Facility Master'!A:A,0))&lt;=B36),INDEX('Facility Master'!M:M,MATCH(Bajaj_TL_SNo,'Facility Master'!A:A,0)),0),0)</f>
        <v>0</v>
      </c>
      <c r="P36" s="434">
        <f>IFERROR(IF(AND(B36&gt;=INDEX('Facility Master'!AA:AA,MATCH(Bajaj_TL_SNo,'Facility Master'!A:A,0)),B36&lt;=INDEX('Facility Master'!AB:AB,MATCH(Bajaj_TL_SNo,'Facility Master'!A:A,0))),MIN(IFERROR(INDEX('Facility Master'!M:M,MATCH(Bajaj_TL_SNo,'Facility Master'!A:A,0))/INDEX('Facility Master'!Y:Y,MATCH(Bajaj_TL_SNo,'Facility Master'!A:A,0)),0),N36+O36),0),0)</f>
        <v>5.3571428571428568</v>
      </c>
      <c r="Q36" s="434">
        <f>IFERROR((N36+O36-P36/2)*INDEX('Facility Master'!T:T,MATCH(Bajaj_TL_SNo,'Facility Master'!A:A,0))*IF(B36&lt;INDEX('Facility Master'!Z:Z,MATCH(Bajaj_TL_SNo,'Facility Master'!A:A,0)),0,IF(N36=0,MAX(0,B36-INDEX('Facility Master'!Z:Z,MATCH(Bajaj_TL_SNo,'Facility Master'!A:A,0))),B36-B35))/DaysInYear,0)</f>
        <v>0.75483359906066538</v>
      </c>
      <c r="R36" s="444">
        <f t="shared" si="9"/>
        <v>32.143799999999999</v>
      </c>
      <c r="S36" s="426">
        <f t="shared" si="0"/>
        <v>12.180547112462005</v>
      </c>
      <c r="T36" s="426">
        <f t="shared" si="1"/>
        <v>3.3372232728350752</v>
      </c>
      <c r="U36" s="426">
        <f t="shared" si="2"/>
        <v>15.51777038529708</v>
      </c>
      <c r="V36" s="445">
        <f t="shared" si="3"/>
        <v>161.7886</v>
      </c>
    </row>
    <row r="37" spans="1:22" ht="16.95" customHeight="1" x14ac:dyDescent="0.3">
      <c r="A37" s="429">
        <v>33</v>
      </c>
      <c r="B37" s="430">
        <v>48304</v>
      </c>
      <c r="C37" s="431" t="s">
        <v>215</v>
      </c>
      <c r="D37" s="432">
        <f t="shared" si="4"/>
        <v>0</v>
      </c>
      <c r="E37" s="432">
        <f>IFERROR(IF(AND(INDEX('Facility Master'!Z:Z,MATCH(RBL_TL_SNo,'Facility Master'!A:A,0))&gt;B36,INDEX('Facility Master'!Z:Z,MATCH(RBL_TL_SNo,'Facility Master'!A:A,0))&lt;=B37),INDEX('Facility Master'!M:M,MATCH(RBL_TL_SNo,'Facility Master'!A:A,0)),0),0)</f>
        <v>0</v>
      </c>
      <c r="F37" s="432">
        <f>IFERROR(IF(AND(B37&gt;=INDEX('Facility Master'!AA:AA,MATCH(RBL_TL_SNo,'Facility Master'!A:A,0)),B37&lt;=INDEX('Facility Master'!AB:AB,MATCH(RBL_TL_SNo,'Facility Master'!A:A,0))),MIN(IFERROR(INDEX('Facility Master'!M:M,MATCH(RBL_TL_SNo,'Facility Master'!A:A,0))/INDEX('Facility Master'!Y:Y,MATCH(RBL_TL_SNo,'Facility Master'!A:A,0)),0),D37+E37),0),0)</f>
        <v>0</v>
      </c>
      <c r="G37" s="432">
        <f>IFERROR((D37+E37-F37/2)*INDEX('Facility Master'!T:T,MATCH(RBL_TL_SNo,'Facility Master'!A:A,0))*IF(B37&lt;INDEX('Facility Master'!Z:Z,MATCH(RBL_TL_SNo,'Facility Master'!A:A,0)),0,IF(D37=0,MAX(0,B37-INDEX('Facility Master'!Z:Z,MATCH(RBL_TL_SNo,'Facility Master'!A:A,0))),B37-B36))/DaysInYear,0)</f>
        <v>0</v>
      </c>
      <c r="H37" s="432">
        <f t="shared" si="5"/>
        <v>0</v>
      </c>
      <c r="I37" s="433">
        <f t="shared" si="6"/>
        <v>129.6448</v>
      </c>
      <c r="J37" s="433">
        <f>IFERROR(IF(AND(INDEX('Facility Master'!Z:Z,MATCH(YBL_TL_SNo,'Facility Master'!A:A,0))&gt;B36,INDEX('Facility Master'!Z:Z,MATCH(YBL_TL_SNo,'Facility Master'!A:A,0))&lt;=B37),INDEX('Facility Master'!M:M,MATCH(YBL_TL_SNo,'Facility Master'!A:A,0)),0),0)</f>
        <v>0</v>
      </c>
      <c r="K37" s="433">
        <f>IFERROR(IF(AND(B37&gt;=INDEX('Facility Master'!AA:AA,MATCH(YBL_TL_SNo,'Facility Master'!A:A,0)),B37&lt;=INDEX('Facility Master'!AB:AB,MATCH(YBL_TL_SNo,'Facility Master'!A:A,0))),MIN(IFERROR(INDEX('Facility Master'!M:M,MATCH(YBL_TL_SNo,'Facility Master'!A:A,0))/INDEX('Facility Master'!Y:Y,MATCH(YBL_TL_SNo,'Facility Master'!A:A,0)),0),I37+J37),0),0)</f>
        <v>6.823404255319149</v>
      </c>
      <c r="L37" s="433">
        <f>IFERROR((I37+J37-K37/2)*INDEX('Facility Master'!T:T,MATCH(YBL_TL_SNo,'Facility Master'!A:A,0))*IF(B37&lt;INDEX('Facility Master'!Z:Z,MATCH(YBL_TL_SNo,'Facility Master'!A:A,0)),0,IF(I37=0,MAX(0,B37-INDEX('Facility Master'!Z:Z,MATCH(YBL_TL_SNo,'Facility Master'!A:A,0))),B37-B36))/DaysInYear,0)</f>
        <v>2.4233296350451763</v>
      </c>
      <c r="M37" s="433">
        <f t="shared" si="7"/>
        <v>122.8214</v>
      </c>
      <c r="N37" s="434">
        <f t="shared" si="8"/>
        <v>32.143799999999999</v>
      </c>
      <c r="O37" s="434">
        <f>IFERROR(IF(AND(INDEX('Facility Master'!Z:Z,MATCH(Bajaj_TL_SNo,'Facility Master'!A:A,0))&gt;B36,INDEX('Facility Master'!Z:Z,MATCH(Bajaj_TL_SNo,'Facility Master'!A:A,0))&lt;=B37),INDEX('Facility Master'!M:M,MATCH(Bajaj_TL_SNo,'Facility Master'!A:A,0)),0),0)</f>
        <v>0</v>
      </c>
      <c r="P37" s="434">
        <f>IFERROR(IF(AND(B37&gt;=INDEX('Facility Master'!AA:AA,MATCH(Bajaj_TL_SNo,'Facility Master'!A:A,0)),B37&lt;=INDEX('Facility Master'!AB:AB,MATCH(Bajaj_TL_SNo,'Facility Master'!A:A,0))),MIN(IFERROR(INDEX('Facility Master'!M:M,MATCH(Bajaj_TL_SNo,'Facility Master'!A:A,0))/INDEX('Facility Master'!Y:Y,MATCH(Bajaj_TL_SNo,'Facility Master'!A:A,0)),0),N37+O37),0),0)</f>
        <v>5.3571428571428568</v>
      </c>
      <c r="Q37" s="434">
        <f>IFERROR((N37+O37-P37/2)*INDEX('Facility Master'!T:T,MATCH(Bajaj_TL_SNo,'Facility Master'!A:A,0))*IF(B37&lt;INDEX('Facility Master'!Z:Z,MATCH(Bajaj_TL_SNo,'Facility Master'!A:A,0)),0,IF(N37=0,MAX(0,B37-INDEX('Facility Master'!Z:Z,MATCH(Bajaj_TL_SNo,'Facility Master'!A:A,0))),B37-B36))/DaysInYear,0)</f>
        <v>0.63176679123287671</v>
      </c>
      <c r="R37" s="434">
        <f t="shared" si="9"/>
        <v>26.7867</v>
      </c>
      <c r="S37" s="435">
        <f t="shared" ref="S37:S57" si="10">F37+K37+P37</f>
        <v>12.180547112462005</v>
      </c>
      <c r="T37" s="435">
        <f t="shared" ref="T37:T57" si="11">G37+L37+Q37</f>
        <v>3.0550964262780531</v>
      </c>
      <c r="U37" s="435">
        <f t="shared" ref="U37:U57" si="12">S37+T37</f>
        <v>15.235643538740058</v>
      </c>
      <c r="V37" s="436">
        <f t="shared" ref="V37:V57" si="13">H37+M37+R37</f>
        <v>149.60810000000001</v>
      </c>
    </row>
    <row r="38" spans="1:22" ht="15" customHeight="1" x14ac:dyDescent="0.3">
      <c r="A38" s="201">
        <v>34</v>
      </c>
      <c r="B38" s="202">
        <v>48395</v>
      </c>
      <c r="C38" s="203" t="s">
        <v>216</v>
      </c>
      <c r="D38" s="425">
        <f t="shared" ref="D38:D57" si="14">IFERROR(MAX(H37,0),0)</f>
        <v>0</v>
      </c>
      <c r="E38" s="425">
        <f>IFERROR(IF(AND(INDEX('Facility Master'!Z:Z,MATCH(RBL_TL_SNo,'Facility Master'!A:A,0))&gt;B37,INDEX('Facility Master'!Z:Z,MATCH(RBL_TL_SNo,'Facility Master'!A:A,0))&lt;=B38),INDEX('Facility Master'!M:M,MATCH(RBL_TL_SNo,'Facility Master'!A:A,0)),0),0)</f>
        <v>0</v>
      </c>
      <c r="F38" s="425">
        <f>IFERROR(IF(AND(B38&gt;=INDEX('Facility Master'!AA:AA,MATCH(RBL_TL_SNo,'Facility Master'!A:A,0)),B38&lt;=INDEX('Facility Master'!AB:AB,MATCH(RBL_TL_SNo,'Facility Master'!A:A,0))),MIN(IFERROR(INDEX('Facility Master'!M:M,MATCH(RBL_TL_SNo,'Facility Master'!A:A,0))/INDEX('Facility Master'!Y:Y,MATCH(RBL_TL_SNo,'Facility Master'!A:A,0)),0),D38+E38),0),0)</f>
        <v>0</v>
      </c>
      <c r="G38" s="432">
        <f>IFERROR((D38+E38-F38/2)*INDEX('Facility Master'!T:T,MATCH(RBL_TL_SNo,'Facility Master'!A:A,0))*IF(B38&lt;INDEX('Facility Master'!Z:Z,MATCH(RBL_TL_SNo,'Facility Master'!A:A,0)),0,IF(D38=0,MAX(0,B38-INDEX('Facility Master'!Z:Z,MATCH(RBL_TL_SNo,'Facility Master'!A:A,0))),B38-B37))/DaysInYear,0)</f>
        <v>0</v>
      </c>
      <c r="H38" s="432">
        <f t="shared" si="5"/>
        <v>0</v>
      </c>
      <c r="I38" s="433">
        <f t="shared" ref="I38:I57" si="15">IFERROR(MAX(M37,0),0)</f>
        <v>122.8214</v>
      </c>
      <c r="J38" s="433">
        <f>IFERROR(IF(AND(INDEX('Facility Master'!Z:Z,MATCH(YBL_TL_SNo,'Facility Master'!A:A,0))&gt;B37,INDEX('Facility Master'!Z:Z,MATCH(YBL_TL_SNo,'Facility Master'!A:A,0))&lt;=B38),INDEX('Facility Master'!M:M,MATCH(YBL_TL_SNo,'Facility Master'!A:A,0)),0),0)</f>
        <v>0</v>
      </c>
      <c r="K38" s="433">
        <f>IFERROR(IF(AND(B38&gt;=INDEX('Facility Master'!AA:AA,MATCH(YBL_TL_SNo,'Facility Master'!A:A,0)),B38&lt;=INDEX('Facility Master'!AB:AB,MATCH(YBL_TL_SNo,'Facility Master'!A:A,0))),MIN(IFERROR(INDEX('Facility Master'!M:M,MATCH(YBL_TL_SNo,'Facility Master'!A:A,0))/INDEX('Facility Master'!Y:Y,MATCH(YBL_TL_SNo,'Facility Master'!A:A,0)),0),I38+J38),0),0)</f>
        <v>6.823404255319149</v>
      </c>
      <c r="L38" s="433">
        <f>IFERROR((I38+J38-K38/2)*INDEX('Facility Master'!T:T,MATCH(YBL_TL_SNo,'Facility Master'!A:A,0))*IF(B38&lt;INDEX('Facility Master'!Z:Z,MATCH(YBL_TL_SNo,'Facility Master'!A:A,0)),0,IF(I38=0,MAX(0,B38-INDEX('Facility Master'!Z:Z,MATCH(YBL_TL_SNo,'Facility Master'!A:A,0))),B38-B37))/DaysInYear,0)</f>
        <v>2.2923390492917517</v>
      </c>
      <c r="M38" s="433">
        <f t="shared" si="7"/>
        <v>115.998</v>
      </c>
      <c r="N38" s="434">
        <f t="shared" ref="N38:N57" si="16">IFERROR(MAX(R37,0),0)</f>
        <v>26.7867</v>
      </c>
      <c r="O38" s="434">
        <f>IFERROR(IF(AND(INDEX('Facility Master'!Z:Z,MATCH(Bajaj_TL_SNo,'Facility Master'!A:A,0))&gt;B37,INDEX('Facility Master'!Z:Z,MATCH(Bajaj_TL_SNo,'Facility Master'!A:A,0))&lt;=B38),INDEX('Facility Master'!M:M,MATCH(Bajaj_TL_SNo,'Facility Master'!A:A,0)),0),0)</f>
        <v>0</v>
      </c>
      <c r="P38" s="434">
        <f>IFERROR(IF(AND(B38&gt;=INDEX('Facility Master'!AA:AA,MATCH(Bajaj_TL_SNo,'Facility Master'!A:A,0)),B38&lt;=INDEX('Facility Master'!AB:AB,MATCH(Bajaj_TL_SNo,'Facility Master'!A:A,0))),MIN(IFERROR(INDEX('Facility Master'!M:M,MATCH(Bajaj_TL_SNo,'Facility Master'!A:A,0))/INDEX('Facility Master'!Y:Y,MATCH(Bajaj_TL_SNo,'Facility Master'!A:A,0)),0),N38+O38),0),0)</f>
        <v>5.3571428571428568</v>
      </c>
      <c r="Q38" s="434">
        <f>IFERROR((N38+O38-P38/2)*INDEX('Facility Master'!T:T,MATCH(Bajaj_TL_SNo,'Facility Master'!A:A,0))*IF(B38&lt;INDEX('Facility Master'!Z:Z,MATCH(Bajaj_TL_SNo,'Facility Master'!A:A,0)),0,IF(N38=0,MAX(0,B38-INDEX('Facility Master'!Z:Z,MATCH(Bajaj_TL_SNo,'Facility Master'!A:A,0))),B38-B37))/DaysInYear,0)</f>
        <v>0.51690469643835624</v>
      </c>
      <c r="R38" s="444">
        <f t="shared" si="9"/>
        <v>21.429600000000001</v>
      </c>
      <c r="S38" s="426">
        <f t="shared" si="10"/>
        <v>12.180547112462005</v>
      </c>
      <c r="T38" s="426">
        <f t="shared" si="11"/>
        <v>2.8092437457301078</v>
      </c>
      <c r="U38" s="426">
        <f t="shared" si="12"/>
        <v>14.989790858192112</v>
      </c>
      <c r="V38" s="445">
        <f t="shared" si="13"/>
        <v>137.42760000000001</v>
      </c>
    </row>
    <row r="39" spans="1:22" ht="15" customHeight="1" x14ac:dyDescent="0.3">
      <c r="A39" s="198">
        <v>35</v>
      </c>
      <c r="B39" s="199">
        <v>48487</v>
      </c>
      <c r="C39" s="200" t="s">
        <v>217</v>
      </c>
      <c r="D39" s="427">
        <f t="shared" si="14"/>
        <v>0</v>
      </c>
      <c r="E39" s="427">
        <f>IFERROR(IF(AND(INDEX('Facility Master'!Z:Z,MATCH(RBL_TL_SNo,'Facility Master'!A:A,0))&gt;B38,INDEX('Facility Master'!Z:Z,MATCH(RBL_TL_SNo,'Facility Master'!A:A,0))&lt;=B39),INDEX('Facility Master'!M:M,MATCH(RBL_TL_SNo,'Facility Master'!A:A,0)),0),0)</f>
        <v>0</v>
      </c>
      <c r="F39" s="427">
        <f>IFERROR(IF(AND(B39&gt;=INDEX('Facility Master'!AA:AA,MATCH(RBL_TL_SNo,'Facility Master'!A:A,0)),B39&lt;=INDEX('Facility Master'!AB:AB,MATCH(RBL_TL_SNo,'Facility Master'!A:A,0))),MIN(IFERROR(INDEX('Facility Master'!M:M,MATCH(RBL_TL_SNo,'Facility Master'!A:A,0))/INDEX('Facility Master'!Y:Y,MATCH(RBL_TL_SNo,'Facility Master'!A:A,0)),0),D39+E39),0),0)</f>
        <v>0</v>
      </c>
      <c r="G39" s="432">
        <f>IFERROR((D39+E39-F39/2)*INDEX('Facility Master'!T:T,MATCH(RBL_TL_SNo,'Facility Master'!A:A,0))*IF(B39&lt;INDEX('Facility Master'!Z:Z,MATCH(RBL_TL_SNo,'Facility Master'!A:A,0)),0,IF(D39=0,MAX(0,B39-INDEX('Facility Master'!Z:Z,MATCH(RBL_TL_SNo,'Facility Master'!A:A,0))),B39-B38))/DaysInYear,0)</f>
        <v>0</v>
      </c>
      <c r="H39" s="432">
        <f t="shared" si="5"/>
        <v>0</v>
      </c>
      <c r="I39" s="433">
        <f t="shared" si="15"/>
        <v>115.998</v>
      </c>
      <c r="J39" s="433">
        <f>IFERROR(IF(AND(INDEX('Facility Master'!Z:Z,MATCH(YBL_TL_SNo,'Facility Master'!A:A,0))&gt;B38,INDEX('Facility Master'!Z:Z,MATCH(YBL_TL_SNo,'Facility Master'!A:A,0))&lt;=B39),INDEX('Facility Master'!M:M,MATCH(YBL_TL_SNo,'Facility Master'!A:A,0)),0),0)</f>
        <v>0</v>
      </c>
      <c r="K39" s="433">
        <f>IFERROR(IF(AND(B39&gt;=INDEX('Facility Master'!AA:AA,MATCH(YBL_TL_SNo,'Facility Master'!A:A,0)),B39&lt;=INDEX('Facility Master'!AB:AB,MATCH(YBL_TL_SNo,'Facility Master'!A:A,0))),MIN(IFERROR(INDEX('Facility Master'!M:M,MATCH(YBL_TL_SNo,'Facility Master'!A:A,0))/INDEX('Facility Master'!Y:Y,MATCH(YBL_TL_SNo,'Facility Master'!A:A,0)),0),I39+J39),0),0)</f>
        <v>6.823404255319149</v>
      </c>
      <c r="L39" s="433">
        <f>IFERROR((I39+J39-K39/2)*INDEX('Facility Master'!T:T,MATCH(YBL_TL_SNo,'Facility Master'!A:A,0))*IF(B39&lt;INDEX('Facility Master'!Z:Z,MATCH(YBL_TL_SNo,'Facility Master'!A:A,0)),0,IF(I39=0,MAX(0,B39-INDEX('Facility Master'!Z:Z,MATCH(YBL_TL_SNo,'Facility Master'!A:A,0))),B39-B38))/DaysInYear,0)</f>
        <v>2.1850995455552318</v>
      </c>
      <c r="M39" s="433">
        <f t="shared" si="7"/>
        <v>109.1746</v>
      </c>
      <c r="N39" s="434">
        <f t="shared" si="16"/>
        <v>21.429600000000001</v>
      </c>
      <c r="O39" s="434">
        <f>IFERROR(IF(AND(INDEX('Facility Master'!Z:Z,MATCH(Bajaj_TL_SNo,'Facility Master'!A:A,0))&gt;B38,INDEX('Facility Master'!Z:Z,MATCH(Bajaj_TL_SNo,'Facility Master'!A:A,0))&lt;=B39),INDEX('Facility Master'!M:M,MATCH(Bajaj_TL_SNo,'Facility Master'!A:A,0)),0),0)</f>
        <v>0</v>
      </c>
      <c r="P39" s="434">
        <f>IFERROR(IF(AND(B39&gt;=INDEX('Facility Master'!AA:AA,MATCH(Bajaj_TL_SNo,'Facility Master'!A:A,0)),B39&lt;=INDEX('Facility Master'!AB:AB,MATCH(Bajaj_TL_SNo,'Facility Master'!A:A,0))),MIN(IFERROR(INDEX('Facility Master'!M:M,MATCH(Bajaj_TL_SNo,'Facility Master'!A:A,0))/INDEX('Facility Master'!Y:Y,MATCH(Bajaj_TL_SNo,'Facility Master'!A:A,0)),0),N39+O39),0),0)</f>
        <v>5.3571428571428568</v>
      </c>
      <c r="Q39" s="434">
        <f>IFERROR((N39+O39-P39/2)*INDEX('Facility Master'!T:T,MATCH(Bajaj_TL_SNo,'Facility Master'!A:A,0))*IF(B39&lt;INDEX('Facility Master'!Z:Z,MATCH(Bajaj_TL_SNo,'Facility Master'!A:A,0)),0,IF(N39=0,MAX(0,B39-INDEX('Facility Master'!Z:Z,MATCH(Bajaj_TL_SNo,'Facility Master'!A:A,0))),B39-B38))/DaysInYear,0)</f>
        <v>0.40646065221135042</v>
      </c>
      <c r="R39" s="444">
        <f t="shared" si="9"/>
        <v>16.072500000000002</v>
      </c>
      <c r="S39" s="428">
        <f t="shared" si="10"/>
        <v>12.180547112462005</v>
      </c>
      <c r="T39" s="428">
        <f t="shared" si="11"/>
        <v>2.5915601977665821</v>
      </c>
      <c r="U39" s="428">
        <f t="shared" si="12"/>
        <v>14.772107310228588</v>
      </c>
      <c r="V39" s="445">
        <f t="shared" si="13"/>
        <v>125.2471</v>
      </c>
    </row>
    <row r="40" spans="1:22" ht="15" customHeight="1" x14ac:dyDescent="0.3">
      <c r="A40" s="201">
        <v>36</v>
      </c>
      <c r="B40" s="202">
        <v>48579</v>
      </c>
      <c r="C40" s="203" t="s">
        <v>218</v>
      </c>
      <c r="D40" s="425">
        <f t="shared" si="14"/>
        <v>0</v>
      </c>
      <c r="E40" s="425">
        <f>IFERROR(IF(AND(INDEX('Facility Master'!Z:Z,MATCH(RBL_TL_SNo,'Facility Master'!A:A,0))&gt;B39,INDEX('Facility Master'!Z:Z,MATCH(RBL_TL_SNo,'Facility Master'!A:A,0))&lt;=B40),INDEX('Facility Master'!M:M,MATCH(RBL_TL_SNo,'Facility Master'!A:A,0)),0),0)</f>
        <v>0</v>
      </c>
      <c r="F40" s="425">
        <f>IFERROR(IF(AND(B40&gt;=INDEX('Facility Master'!AA:AA,MATCH(RBL_TL_SNo,'Facility Master'!A:A,0)),B40&lt;=INDEX('Facility Master'!AB:AB,MATCH(RBL_TL_SNo,'Facility Master'!A:A,0))),MIN(IFERROR(INDEX('Facility Master'!M:M,MATCH(RBL_TL_SNo,'Facility Master'!A:A,0))/INDEX('Facility Master'!Y:Y,MATCH(RBL_TL_SNo,'Facility Master'!A:A,0)),0),D40+E40),0),0)</f>
        <v>0</v>
      </c>
      <c r="G40" s="432">
        <f>IFERROR((D40+E40-F40/2)*INDEX('Facility Master'!T:T,MATCH(RBL_TL_SNo,'Facility Master'!A:A,0))*IF(B40&lt;INDEX('Facility Master'!Z:Z,MATCH(RBL_TL_SNo,'Facility Master'!A:A,0)),0,IF(D40=0,MAX(0,B40-INDEX('Facility Master'!Z:Z,MATCH(RBL_TL_SNo,'Facility Master'!A:A,0))),B40-B39))/DaysInYear,0)</f>
        <v>0</v>
      </c>
      <c r="H40" s="432">
        <f t="shared" si="5"/>
        <v>0</v>
      </c>
      <c r="I40" s="433">
        <f t="shared" si="15"/>
        <v>109.1746</v>
      </c>
      <c r="J40" s="433">
        <f>IFERROR(IF(AND(INDEX('Facility Master'!Z:Z,MATCH(YBL_TL_SNo,'Facility Master'!A:A,0))&gt;B39,INDEX('Facility Master'!Z:Z,MATCH(YBL_TL_SNo,'Facility Master'!A:A,0))&lt;=B40),INDEX('Facility Master'!M:M,MATCH(YBL_TL_SNo,'Facility Master'!A:A,0)),0),0)</f>
        <v>0</v>
      </c>
      <c r="K40" s="433">
        <f>IFERROR(IF(AND(B40&gt;=INDEX('Facility Master'!AA:AA,MATCH(YBL_TL_SNo,'Facility Master'!A:A,0)),B40&lt;=INDEX('Facility Master'!AB:AB,MATCH(YBL_TL_SNo,'Facility Master'!A:A,0))),MIN(IFERROR(INDEX('Facility Master'!M:M,MATCH(YBL_TL_SNo,'Facility Master'!A:A,0))/INDEX('Facility Master'!Y:Y,MATCH(YBL_TL_SNo,'Facility Master'!A:A,0)),0),I40+J40),0),0)</f>
        <v>6.823404255319149</v>
      </c>
      <c r="L40" s="433">
        <f>IFERROR((I40+J40-K40/2)*INDEX('Facility Master'!T:T,MATCH(YBL_TL_SNo,'Facility Master'!A:A,0))*IF(B40&lt;INDEX('Facility Master'!Z:Z,MATCH(YBL_TL_SNo,'Facility Master'!A:A,0)),0,IF(I40=0,MAX(0,B40-INDEX('Facility Master'!Z:Z,MATCH(YBL_TL_SNo,'Facility Master'!A:A,0))),B40-B39))/DaysInYear,0)</f>
        <v>2.0526695028155055</v>
      </c>
      <c r="M40" s="433">
        <f t="shared" si="7"/>
        <v>102.35120000000001</v>
      </c>
      <c r="N40" s="434">
        <f t="shared" si="16"/>
        <v>16.072500000000002</v>
      </c>
      <c r="O40" s="434">
        <f>IFERROR(IF(AND(INDEX('Facility Master'!Z:Z,MATCH(Bajaj_TL_SNo,'Facility Master'!A:A,0))&gt;B39,INDEX('Facility Master'!Z:Z,MATCH(Bajaj_TL_SNo,'Facility Master'!A:A,0))&lt;=B40),INDEX('Facility Master'!M:M,MATCH(Bajaj_TL_SNo,'Facility Master'!A:A,0)),0),0)</f>
        <v>0</v>
      </c>
      <c r="P40" s="434">
        <f>IFERROR(IF(AND(B40&gt;=INDEX('Facility Master'!AA:AA,MATCH(Bajaj_TL_SNo,'Facility Master'!A:A,0)),B40&lt;=INDEX('Facility Master'!AB:AB,MATCH(Bajaj_TL_SNo,'Facility Master'!A:A,0))),MIN(IFERROR(INDEX('Facility Master'!M:M,MATCH(Bajaj_TL_SNo,'Facility Master'!A:A,0))/INDEX('Facility Master'!Y:Y,MATCH(Bajaj_TL_SNo,'Facility Master'!A:A,0)),0),N40+O40),0),0)</f>
        <v>5.3571428571428568</v>
      </c>
      <c r="Q40" s="434">
        <f>IFERROR((N40+O40-P40/2)*INDEX('Facility Master'!T:T,MATCH(Bajaj_TL_SNo,'Facility Master'!A:A,0))*IF(B40&lt;INDEX('Facility Master'!Z:Z,MATCH(Bajaj_TL_SNo,'Facility Master'!A:A,0)),0,IF(N40=0,MAX(0,B40-INDEX('Facility Master'!Z:Z,MATCH(Bajaj_TL_SNo,'Facility Master'!A:A,0))),B40-B39))/DaysInYear,0)</f>
        <v>0.29033633659491198</v>
      </c>
      <c r="R40" s="444">
        <f t="shared" si="9"/>
        <v>10.715400000000001</v>
      </c>
      <c r="S40" s="426">
        <f t="shared" si="10"/>
        <v>12.180547112462005</v>
      </c>
      <c r="T40" s="426">
        <f t="shared" si="11"/>
        <v>2.3430058394104174</v>
      </c>
      <c r="U40" s="426">
        <f t="shared" si="12"/>
        <v>14.523552951872421</v>
      </c>
      <c r="V40" s="445">
        <f t="shared" si="13"/>
        <v>113.06660000000001</v>
      </c>
    </row>
    <row r="41" spans="1:22" ht="16.95" customHeight="1" x14ac:dyDescent="0.3">
      <c r="A41" s="429">
        <v>37</v>
      </c>
      <c r="B41" s="430">
        <v>48669</v>
      </c>
      <c r="C41" s="431" t="s">
        <v>219</v>
      </c>
      <c r="D41" s="432">
        <f t="shared" si="14"/>
        <v>0</v>
      </c>
      <c r="E41" s="432">
        <f>IFERROR(IF(AND(INDEX('Facility Master'!Z:Z,MATCH(RBL_TL_SNo,'Facility Master'!A:A,0))&gt;B40,INDEX('Facility Master'!Z:Z,MATCH(RBL_TL_SNo,'Facility Master'!A:A,0))&lt;=B41),INDEX('Facility Master'!M:M,MATCH(RBL_TL_SNo,'Facility Master'!A:A,0)),0),0)</f>
        <v>0</v>
      </c>
      <c r="F41" s="432">
        <f>IFERROR(IF(AND(B41&gt;=INDEX('Facility Master'!AA:AA,MATCH(RBL_TL_SNo,'Facility Master'!A:A,0)),B41&lt;=INDEX('Facility Master'!AB:AB,MATCH(RBL_TL_SNo,'Facility Master'!A:A,0))),MIN(IFERROR(INDEX('Facility Master'!M:M,MATCH(RBL_TL_SNo,'Facility Master'!A:A,0))/INDEX('Facility Master'!Y:Y,MATCH(RBL_TL_SNo,'Facility Master'!A:A,0)),0),D41+E41),0),0)</f>
        <v>0</v>
      </c>
      <c r="G41" s="432">
        <f>IFERROR((D41+E41-F41/2)*INDEX('Facility Master'!T:T,MATCH(RBL_TL_SNo,'Facility Master'!A:A,0))*IF(B41&lt;INDEX('Facility Master'!Z:Z,MATCH(RBL_TL_SNo,'Facility Master'!A:A,0)),0,IF(D41=0,MAX(0,B41-INDEX('Facility Master'!Z:Z,MATCH(RBL_TL_SNo,'Facility Master'!A:A,0))),B41-B40))/DaysInYear,0)</f>
        <v>0</v>
      </c>
      <c r="H41" s="432">
        <f t="shared" si="5"/>
        <v>0</v>
      </c>
      <c r="I41" s="433">
        <f t="shared" si="15"/>
        <v>102.35120000000001</v>
      </c>
      <c r="J41" s="433">
        <f>IFERROR(IF(AND(INDEX('Facility Master'!Z:Z,MATCH(YBL_TL_SNo,'Facility Master'!A:A,0))&gt;B40,INDEX('Facility Master'!Z:Z,MATCH(YBL_TL_SNo,'Facility Master'!A:A,0))&lt;=B41),INDEX('Facility Master'!M:M,MATCH(YBL_TL_SNo,'Facility Master'!A:A,0)),0),0)</f>
        <v>0</v>
      </c>
      <c r="K41" s="433">
        <f>IFERROR(IF(AND(B41&gt;=INDEX('Facility Master'!AA:AA,MATCH(YBL_TL_SNo,'Facility Master'!A:A,0)),B41&lt;=INDEX('Facility Master'!AB:AB,MATCH(YBL_TL_SNo,'Facility Master'!A:A,0))),MIN(IFERROR(INDEX('Facility Master'!M:M,MATCH(YBL_TL_SNo,'Facility Master'!A:A,0))/INDEX('Facility Master'!Y:Y,MATCH(YBL_TL_SNo,'Facility Master'!A:A,0)),0),I41+J41),0),0)</f>
        <v>6.823404255319149</v>
      </c>
      <c r="L41" s="433">
        <f>IFERROR((I41+J41-K41/2)*INDEX('Facility Master'!T:T,MATCH(YBL_TL_SNo,'Facility Master'!A:A,0))*IF(B41&lt;INDEX('Facility Master'!Z:Z,MATCH(YBL_TL_SNo,'Facility Master'!A:A,0)),0,IF(I41=0,MAX(0,B41-INDEX('Facility Master'!Z:Z,MATCH(YBL_TL_SNo,'Facility Master'!A:A,0))),B41-B40))/DaysInYear,0)</f>
        <v>1.8784951239871757</v>
      </c>
      <c r="M41" s="433">
        <f t="shared" si="7"/>
        <v>95.527799999999999</v>
      </c>
      <c r="N41" s="434">
        <f t="shared" si="16"/>
        <v>10.715400000000001</v>
      </c>
      <c r="O41" s="434">
        <f>IFERROR(IF(AND(INDEX('Facility Master'!Z:Z,MATCH(Bajaj_TL_SNo,'Facility Master'!A:A,0))&gt;B40,INDEX('Facility Master'!Z:Z,MATCH(Bajaj_TL_SNo,'Facility Master'!A:A,0))&lt;=B41),INDEX('Facility Master'!M:M,MATCH(Bajaj_TL_SNo,'Facility Master'!A:A,0)),0),0)</f>
        <v>0</v>
      </c>
      <c r="P41" s="434">
        <f>IFERROR(IF(AND(B41&gt;=INDEX('Facility Master'!AA:AA,MATCH(Bajaj_TL_SNo,'Facility Master'!A:A,0)),B41&lt;=INDEX('Facility Master'!AB:AB,MATCH(Bajaj_TL_SNo,'Facility Master'!A:A,0))),MIN(IFERROR(INDEX('Facility Master'!M:M,MATCH(Bajaj_TL_SNo,'Facility Master'!A:A,0))/INDEX('Facility Master'!Y:Y,MATCH(Bajaj_TL_SNo,'Facility Master'!A:A,0)),0),N41+O41),0),0)</f>
        <v>5.3571428571428568</v>
      </c>
      <c r="Q41" s="434">
        <f>IFERROR((N41+O41-P41/2)*INDEX('Facility Master'!T:T,MATCH(Bajaj_TL_SNo,'Facility Master'!A:A,0))*IF(B41&lt;INDEX('Facility Master'!Z:Z,MATCH(Bajaj_TL_SNo,'Facility Master'!A:A,0)),0,IF(N41=0,MAX(0,B41-INDEX('Facility Master'!Z:Z,MATCH(Bajaj_TL_SNo,'Facility Master'!A:A,0))),B41-B40))/DaysInYear,0)</f>
        <v>0.17042480313111547</v>
      </c>
      <c r="R41" s="434">
        <f t="shared" si="9"/>
        <v>5.3582999999999998</v>
      </c>
      <c r="S41" s="435">
        <f t="shared" si="10"/>
        <v>12.180547112462005</v>
      </c>
      <c r="T41" s="435">
        <f t="shared" si="11"/>
        <v>2.0489199271182912</v>
      </c>
      <c r="U41" s="435">
        <f t="shared" si="12"/>
        <v>14.229467039580296</v>
      </c>
      <c r="V41" s="436">
        <f t="shared" si="13"/>
        <v>100.8861</v>
      </c>
    </row>
    <row r="42" spans="1:22" ht="15" customHeight="1" x14ac:dyDescent="0.3">
      <c r="A42" s="201">
        <v>38</v>
      </c>
      <c r="B42" s="202">
        <v>48760</v>
      </c>
      <c r="C42" s="203" t="s">
        <v>220</v>
      </c>
      <c r="D42" s="425">
        <f t="shared" si="14"/>
        <v>0</v>
      </c>
      <c r="E42" s="425">
        <f>IFERROR(IF(AND(INDEX('Facility Master'!Z:Z,MATCH(RBL_TL_SNo,'Facility Master'!A:A,0))&gt;B41,INDEX('Facility Master'!Z:Z,MATCH(RBL_TL_SNo,'Facility Master'!A:A,0))&lt;=B42),INDEX('Facility Master'!M:M,MATCH(RBL_TL_SNo,'Facility Master'!A:A,0)),0),0)</f>
        <v>0</v>
      </c>
      <c r="F42" s="425">
        <f>IFERROR(IF(AND(B42&gt;=INDEX('Facility Master'!AA:AA,MATCH(RBL_TL_SNo,'Facility Master'!A:A,0)),B42&lt;=INDEX('Facility Master'!AB:AB,MATCH(RBL_TL_SNo,'Facility Master'!A:A,0))),MIN(IFERROR(INDEX('Facility Master'!M:M,MATCH(RBL_TL_SNo,'Facility Master'!A:A,0))/INDEX('Facility Master'!Y:Y,MATCH(RBL_TL_SNo,'Facility Master'!A:A,0)),0),D42+E42),0),0)</f>
        <v>0</v>
      </c>
      <c r="G42" s="432">
        <f>IFERROR((D42+E42-F42/2)*INDEX('Facility Master'!T:T,MATCH(RBL_TL_SNo,'Facility Master'!A:A,0))*IF(B42&lt;INDEX('Facility Master'!Z:Z,MATCH(RBL_TL_SNo,'Facility Master'!A:A,0)),0,IF(D42=0,MAX(0,B42-INDEX('Facility Master'!Z:Z,MATCH(RBL_TL_SNo,'Facility Master'!A:A,0))),B42-B41))/DaysInYear,0)</f>
        <v>0</v>
      </c>
      <c r="H42" s="432">
        <f t="shared" si="5"/>
        <v>0</v>
      </c>
      <c r="I42" s="433">
        <f t="shared" si="15"/>
        <v>95.527799999999999</v>
      </c>
      <c r="J42" s="433">
        <f>IFERROR(IF(AND(INDEX('Facility Master'!Z:Z,MATCH(YBL_TL_SNo,'Facility Master'!A:A,0))&gt;B41,INDEX('Facility Master'!Z:Z,MATCH(YBL_TL_SNo,'Facility Master'!A:A,0))&lt;=B42),INDEX('Facility Master'!M:M,MATCH(YBL_TL_SNo,'Facility Master'!A:A,0)),0),0)</f>
        <v>0</v>
      </c>
      <c r="K42" s="433">
        <f>IFERROR(IF(AND(B42&gt;=INDEX('Facility Master'!AA:AA,MATCH(YBL_TL_SNo,'Facility Master'!A:A,0)),B42&lt;=INDEX('Facility Master'!AB:AB,MATCH(YBL_TL_SNo,'Facility Master'!A:A,0))),MIN(IFERROR(INDEX('Facility Master'!M:M,MATCH(YBL_TL_SNo,'Facility Master'!A:A,0))/INDEX('Facility Master'!Y:Y,MATCH(YBL_TL_SNo,'Facility Master'!A:A,0)),0),I42+J42),0),0)</f>
        <v>6.823404255319149</v>
      </c>
      <c r="L42" s="433">
        <f>IFERROR((I42+J42-K42/2)*INDEX('Facility Master'!T:T,MATCH(YBL_TL_SNo,'Facility Master'!A:A,0))*IF(B42&lt;INDEX('Facility Master'!Z:Z,MATCH(YBL_TL_SNo,'Facility Master'!A:A,0)),0,IF(I42=0,MAX(0,B42-INDEX('Facility Master'!Z:Z,MATCH(YBL_TL_SNo,'Facility Master'!A:A,0))),B42-B41))/DaysInYear,0)</f>
        <v>1.7683767062780531</v>
      </c>
      <c r="M42" s="433">
        <f t="shared" si="7"/>
        <v>88.704400000000007</v>
      </c>
      <c r="N42" s="434">
        <f t="shared" si="16"/>
        <v>5.3582999999999998</v>
      </c>
      <c r="O42" s="434">
        <f>IFERROR(IF(AND(INDEX('Facility Master'!Z:Z,MATCH(Bajaj_TL_SNo,'Facility Master'!A:A,0))&gt;B41,INDEX('Facility Master'!Z:Z,MATCH(Bajaj_TL_SNo,'Facility Master'!A:A,0))&lt;=B42),INDEX('Facility Master'!M:M,MATCH(Bajaj_TL_SNo,'Facility Master'!A:A,0)),0),0)</f>
        <v>0</v>
      </c>
      <c r="P42" s="434">
        <f>IFERROR(IF(AND(B42&gt;=INDEX('Facility Master'!AA:AA,MATCH(Bajaj_TL_SNo,'Facility Master'!A:A,0)),B42&lt;=INDEX('Facility Master'!AB:AB,MATCH(Bajaj_TL_SNo,'Facility Master'!A:A,0))),MIN(IFERROR(INDEX('Facility Master'!M:M,MATCH(Bajaj_TL_SNo,'Facility Master'!A:A,0))/INDEX('Facility Master'!Y:Y,MATCH(Bajaj_TL_SNo,'Facility Master'!A:A,0)),0),N42+O42),0),0)</f>
        <v>5.3571428571428568</v>
      </c>
      <c r="Q42" s="434">
        <f>IFERROR((N42+O42-P42/2)*INDEX('Facility Master'!T:T,MATCH(Bajaj_TL_SNo,'Facility Master'!A:A,0))*IF(B42&lt;INDEX('Facility Master'!Z:Z,MATCH(Bajaj_TL_SNo,'Facility Master'!A:A,0)),0,IF(N42=0,MAX(0,B42-INDEX('Facility Master'!Z:Z,MATCH(Bajaj_TL_SNo,'Facility Master'!A:A,0))),B42-B41))/DaysInYear,0)</f>
        <v>5.7456317260273976E-2</v>
      </c>
      <c r="R42" s="444">
        <f t="shared" si="9"/>
        <v>1.1999999999999999E-3</v>
      </c>
      <c r="S42" s="426">
        <f t="shared" si="10"/>
        <v>12.180547112462005</v>
      </c>
      <c r="T42" s="426">
        <f t="shared" si="11"/>
        <v>1.8258330235383271</v>
      </c>
      <c r="U42" s="426">
        <f t="shared" si="12"/>
        <v>14.006380136000331</v>
      </c>
      <c r="V42" s="445">
        <f t="shared" si="13"/>
        <v>88.705600000000004</v>
      </c>
    </row>
    <row r="43" spans="1:22" ht="15" customHeight="1" x14ac:dyDescent="0.3">
      <c r="A43" s="198">
        <v>39</v>
      </c>
      <c r="B43" s="199">
        <v>48852</v>
      </c>
      <c r="C43" s="200" t="s">
        <v>221</v>
      </c>
      <c r="D43" s="427">
        <f t="shared" si="14"/>
        <v>0</v>
      </c>
      <c r="E43" s="427">
        <f>IFERROR(IF(AND(INDEX('Facility Master'!Z:Z,MATCH(RBL_TL_SNo,'Facility Master'!A:A,0))&gt;B42,INDEX('Facility Master'!Z:Z,MATCH(RBL_TL_SNo,'Facility Master'!A:A,0))&lt;=B43),INDEX('Facility Master'!M:M,MATCH(RBL_TL_SNo,'Facility Master'!A:A,0)),0),0)</f>
        <v>0</v>
      </c>
      <c r="F43" s="427">
        <f>IFERROR(IF(AND(B43&gt;=INDEX('Facility Master'!AA:AA,MATCH(RBL_TL_SNo,'Facility Master'!A:A,0)),B43&lt;=INDEX('Facility Master'!AB:AB,MATCH(RBL_TL_SNo,'Facility Master'!A:A,0))),MIN(IFERROR(INDEX('Facility Master'!M:M,MATCH(RBL_TL_SNo,'Facility Master'!A:A,0))/INDEX('Facility Master'!Y:Y,MATCH(RBL_TL_SNo,'Facility Master'!A:A,0)),0),D43+E43),0),0)</f>
        <v>0</v>
      </c>
      <c r="G43" s="432">
        <f>IFERROR((D43+E43-F43/2)*INDEX('Facility Master'!T:T,MATCH(RBL_TL_SNo,'Facility Master'!A:A,0))*IF(B43&lt;INDEX('Facility Master'!Z:Z,MATCH(RBL_TL_SNo,'Facility Master'!A:A,0)),0,IF(D43=0,MAX(0,B43-INDEX('Facility Master'!Z:Z,MATCH(RBL_TL_SNo,'Facility Master'!A:A,0))),B43-B42))/DaysInYear,0)</f>
        <v>0</v>
      </c>
      <c r="H43" s="432">
        <f t="shared" si="5"/>
        <v>0</v>
      </c>
      <c r="I43" s="433">
        <f t="shared" si="15"/>
        <v>88.704400000000007</v>
      </c>
      <c r="J43" s="433">
        <f>IFERROR(IF(AND(INDEX('Facility Master'!Z:Z,MATCH(YBL_TL_SNo,'Facility Master'!A:A,0))&gt;B42,INDEX('Facility Master'!Z:Z,MATCH(YBL_TL_SNo,'Facility Master'!A:A,0))&lt;=B43),INDEX('Facility Master'!M:M,MATCH(YBL_TL_SNo,'Facility Master'!A:A,0)),0),0)</f>
        <v>0</v>
      </c>
      <c r="K43" s="433">
        <f>IFERROR(IF(AND(B43&gt;=INDEX('Facility Master'!AA:AA,MATCH(YBL_TL_SNo,'Facility Master'!A:A,0)),B43&lt;=INDEX('Facility Master'!AB:AB,MATCH(YBL_TL_SNo,'Facility Master'!A:A,0))),MIN(IFERROR(INDEX('Facility Master'!M:M,MATCH(YBL_TL_SNo,'Facility Master'!A:A,0))/INDEX('Facility Master'!Y:Y,MATCH(YBL_TL_SNo,'Facility Master'!A:A,0)),0),I43+J43),0),0)</f>
        <v>6.823404255319149</v>
      </c>
      <c r="L43" s="433">
        <f>IFERROR((I43+J43-K43/2)*INDEX('Facility Master'!T:T,MATCH(YBL_TL_SNo,'Facility Master'!A:A,0))*IF(B43&lt;INDEX('Facility Master'!Z:Z,MATCH(YBL_TL_SNo,'Facility Master'!A:A,0)),0,IF(I43=0,MAX(0,B43-INDEX('Facility Master'!Z:Z,MATCH(YBL_TL_SNo,'Facility Master'!A:A,0))),B43-B42))/DaysInYear,0)</f>
        <v>1.6553793745963277</v>
      </c>
      <c r="M43" s="433">
        <f t="shared" si="7"/>
        <v>81.881</v>
      </c>
      <c r="N43" s="434">
        <f t="shared" si="16"/>
        <v>1.1999999999999999E-3</v>
      </c>
      <c r="O43" s="434">
        <f>IFERROR(IF(AND(INDEX('Facility Master'!Z:Z,MATCH(Bajaj_TL_SNo,'Facility Master'!A:A,0))&gt;B42,INDEX('Facility Master'!Z:Z,MATCH(Bajaj_TL_SNo,'Facility Master'!A:A,0))&lt;=B43),INDEX('Facility Master'!M:M,MATCH(Bajaj_TL_SNo,'Facility Master'!A:A,0)),0),0)</f>
        <v>0</v>
      </c>
      <c r="P43" s="434">
        <f>IFERROR(IF(AND(B43&gt;=INDEX('Facility Master'!AA:AA,MATCH(Bajaj_TL_SNo,'Facility Master'!A:A,0)),B43&lt;=INDEX('Facility Master'!AB:AB,MATCH(Bajaj_TL_SNo,'Facility Master'!A:A,0))),MIN(IFERROR(INDEX('Facility Master'!M:M,MATCH(Bajaj_TL_SNo,'Facility Master'!A:A,0))/INDEX('Facility Master'!Y:Y,MATCH(Bajaj_TL_SNo,'Facility Master'!A:A,0)),0),N43+O43),0),0)</f>
        <v>0</v>
      </c>
      <c r="Q43" s="434">
        <f>IFERROR((N43+O43-P43/2)*INDEX('Facility Master'!T:T,MATCH(Bajaj_TL_SNo,'Facility Master'!A:A,0))*IF(B43&lt;INDEX('Facility Master'!Z:Z,MATCH(Bajaj_TL_SNo,'Facility Master'!A:A,0)),0,IF(N43=0,MAX(0,B43-INDEX('Facility Master'!Z:Z,MATCH(Bajaj_TL_SNo,'Facility Master'!A:A,0))),B43-B42))/DaysInYear,0)</f>
        <v>2.6012054794520549E-5</v>
      </c>
      <c r="R43" s="444">
        <f t="shared" si="9"/>
        <v>1.1999999999999999E-3</v>
      </c>
      <c r="S43" s="428">
        <f t="shared" si="10"/>
        <v>6.823404255319149</v>
      </c>
      <c r="T43" s="428">
        <f t="shared" si="11"/>
        <v>1.6554053866511222</v>
      </c>
      <c r="U43" s="428">
        <f t="shared" si="12"/>
        <v>8.4788096419702708</v>
      </c>
      <c r="V43" s="445">
        <f t="shared" si="13"/>
        <v>81.882199999999997</v>
      </c>
    </row>
    <row r="44" spans="1:22" ht="15" customHeight="1" x14ac:dyDescent="0.3">
      <c r="A44" s="201">
        <v>40</v>
      </c>
      <c r="B44" s="202">
        <v>48944</v>
      </c>
      <c r="C44" s="203" t="s">
        <v>222</v>
      </c>
      <c r="D44" s="425">
        <f t="shared" si="14"/>
        <v>0</v>
      </c>
      <c r="E44" s="425">
        <f>IFERROR(IF(AND(INDEX('Facility Master'!Z:Z,MATCH(RBL_TL_SNo,'Facility Master'!A:A,0))&gt;B43,INDEX('Facility Master'!Z:Z,MATCH(RBL_TL_SNo,'Facility Master'!A:A,0))&lt;=B44),INDEX('Facility Master'!M:M,MATCH(RBL_TL_SNo,'Facility Master'!A:A,0)),0),0)</f>
        <v>0</v>
      </c>
      <c r="F44" s="425">
        <f>IFERROR(IF(AND(B44&gt;=INDEX('Facility Master'!AA:AA,MATCH(RBL_TL_SNo,'Facility Master'!A:A,0)),B44&lt;=INDEX('Facility Master'!AB:AB,MATCH(RBL_TL_SNo,'Facility Master'!A:A,0))),MIN(IFERROR(INDEX('Facility Master'!M:M,MATCH(RBL_TL_SNo,'Facility Master'!A:A,0))/INDEX('Facility Master'!Y:Y,MATCH(RBL_TL_SNo,'Facility Master'!A:A,0)),0),D44+E44),0),0)</f>
        <v>0</v>
      </c>
      <c r="G44" s="432">
        <f>IFERROR((D44+E44-F44/2)*INDEX('Facility Master'!T:T,MATCH(RBL_TL_SNo,'Facility Master'!A:A,0))*IF(B44&lt;INDEX('Facility Master'!Z:Z,MATCH(RBL_TL_SNo,'Facility Master'!A:A,0)),0,IF(D44=0,MAX(0,B44-INDEX('Facility Master'!Z:Z,MATCH(RBL_TL_SNo,'Facility Master'!A:A,0))),B44-B43))/DaysInYear,0)</f>
        <v>0</v>
      </c>
      <c r="H44" s="432">
        <f t="shared" si="5"/>
        <v>0</v>
      </c>
      <c r="I44" s="433">
        <f t="shared" si="15"/>
        <v>81.881</v>
      </c>
      <c r="J44" s="433">
        <f>IFERROR(IF(AND(INDEX('Facility Master'!Z:Z,MATCH(YBL_TL_SNo,'Facility Master'!A:A,0))&gt;B43,INDEX('Facility Master'!Z:Z,MATCH(YBL_TL_SNo,'Facility Master'!A:A,0))&lt;=B44),INDEX('Facility Master'!M:M,MATCH(YBL_TL_SNo,'Facility Master'!A:A,0)),0),0)</f>
        <v>0</v>
      </c>
      <c r="K44" s="433">
        <f>IFERROR(IF(AND(B44&gt;=INDEX('Facility Master'!AA:AA,MATCH(YBL_TL_SNo,'Facility Master'!A:A,0)),B44&lt;=INDEX('Facility Master'!AB:AB,MATCH(YBL_TL_SNo,'Facility Master'!A:A,0))),MIN(IFERROR(INDEX('Facility Master'!M:M,MATCH(YBL_TL_SNo,'Facility Master'!A:A,0))/INDEX('Facility Master'!Y:Y,MATCH(YBL_TL_SNo,'Facility Master'!A:A,0)),0),I44+J44),0),0)</f>
        <v>6.823404255319149</v>
      </c>
      <c r="L44" s="433">
        <f>IFERROR((I44+J44-K44/2)*INDEX('Facility Master'!T:T,MATCH(YBL_TL_SNo,'Facility Master'!A:A,0))*IF(B44&lt;INDEX('Facility Master'!Z:Z,MATCH(YBL_TL_SNo,'Facility Master'!A:A,0)),0,IF(I44=0,MAX(0,B44-INDEX('Facility Master'!Z:Z,MATCH(YBL_TL_SNo,'Facility Master'!A:A,0))),B44-B43))/DaysInYear,0)</f>
        <v>1.5229493318566016</v>
      </c>
      <c r="M44" s="433">
        <f t="shared" si="7"/>
        <v>75.057599999999994</v>
      </c>
      <c r="N44" s="434">
        <f t="shared" si="16"/>
        <v>1.1999999999999999E-3</v>
      </c>
      <c r="O44" s="434">
        <f>IFERROR(IF(AND(INDEX('Facility Master'!Z:Z,MATCH(Bajaj_TL_SNo,'Facility Master'!A:A,0))&gt;B43,INDEX('Facility Master'!Z:Z,MATCH(Bajaj_TL_SNo,'Facility Master'!A:A,0))&lt;=B44),INDEX('Facility Master'!M:M,MATCH(Bajaj_TL_SNo,'Facility Master'!A:A,0)),0),0)</f>
        <v>0</v>
      </c>
      <c r="P44" s="434">
        <f>IFERROR(IF(AND(B44&gt;=INDEX('Facility Master'!AA:AA,MATCH(Bajaj_TL_SNo,'Facility Master'!A:A,0)),B44&lt;=INDEX('Facility Master'!AB:AB,MATCH(Bajaj_TL_SNo,'Facility Master'!A:A,0))),MIN(IFERROR(INDEX('Facility Master'!M:M,MATCH(Bajaj_TL_SNo,'Facility Master'!A:A,0))/INDEX('Facility Master'!Y:Y,MATCH(Bajaj_TL_SNo,'Facility Master'!A:A,0)),0),N44+O44),0),0)</f>
        <v>0</v>
      </c>
      <c r="Q44" s="434">
        <f>IFERROR((N44+O44-P44/2)*INDEX('Facility Master'!T:T,MATCH(Bajaj_TL_SNo,'Facility Master'!A:A,0))*IF(B44&lt;INDEX('Facility Master'!Z:Z,MATCH(Bajaj_TL_SNo,'Facility Master'!A:A,0)),0,IF(N44=0,MAX(0,B44-INDEX('Facility Master'!Z:Z,MATCH(Bajaj_TL_SNo,'Facility Master'!A:A,0))),B44-B43))/DaysInYear,0)</f>
        <v>2.6012054794520549E-5</v>
      </c>
      <c r="R44" s="444">
        <f t="shared" si="9"/>
        <v>1.1999999999999999E-3</v>
      </c>
      <c r="S44" s="426">
        <f t="shared" si="10"/>
        <v>6.823404255319149</v>
      </c>
      <c r="T44" s="426">
        <f t="shared" si="11"/>
        <v>1.5229753439113962</v>
      </c>
      <c r="U44" s="426">
        <f t="shared" si="12"/>
        <v>8.346379599230545</v>
      </c>
      <c r="V44" s="445">
        <f t="shared" si="13"/>
        <v>75.058799999999991</v>
      </c>
    </row>
    <row r="45" spans="1:22" ht="16.95" customHeight="1" x14ac:dyDescent="0.3">
      <c r="A45" s="429">
        <v>41</v>
      </c>
      <c r="B45" s="430">
        <v>49034</v>
      </c>
      <c r="C45" s="431" t="s">
        <v>223</v>
      </c>
      <c r="D45" s="432">
        <f t="shared" si="14"/>
        <v>0</v>
      </c>
      <c r="E45" s="432">
        <f>IFERROR(IF(AND(INDEX('Facility Master'!Z:Z,MATCH(RBL_TL_SNo,'Facility Master'!A:A,0))&gt;B44,INDEX('Facility Master'!Z:Z,MATCH(RBL_TL_SNo,'Facility Master'!A:A,0))&lt;=B45),INDEX('Facility Master'!M:M,MATCH(RBL_TL_SNo,'Facility Master'!A:A,0)),0),0)</f>
        <v>0</v>
      </c>
      <c r="F45" s="432">
        <f>IFERROR(IF(AND(B45&gt;=INDEX('Facility Master'!AA:AA,MATCH(RBL_TL_SNo,'Facility Master'!A:A,0)),B45&lt;=INDEX('Facility Master'!AB:AB,MATCH(RBL_TL_SNo,'Facility Master'!A:A,0))),MIN(IFERROR(INDEX('Facility Master'!M:M,MATCH(RBL_TL_SNo,'Facility Master'!A:A,0))/INDEX('Facility Master'!Y:Y,MATCH(RBL_TL_SNo,'Facility Master'!A:A,0)),0),D45+E45),0),0)</f>
        <v>0</v>
      </c>
      <c r="G45" s="432">
        <f>IFERROR((D45+E45-F45/2)*INDEX('Facility Master'!T:T,MATCH(RBL_TL_SNo,'Facility Master'!A:A,0))*IF(B45&lt;INDEX('Facility Master'!Z:Z,MATCH(RBL_TL_SNo,'Facility Master'!A:A,0)),0,IF(D45=0,MAX(0,B45-INDEX('Facility Master'!Z:Z,MATCH(RBL_TL_SNo,'Facility Master'!A:A,0))),B45-B44))/DaysInYear,0)</f>
        <v>0</v>
      </c>
      <c r="H45" s="432">
        <f t="shared" si="5"/>
        <v>0</v>
      </c>
      <c r="I45" s="433">
        <f t="shared" si="15"/>
        <v>75.057599999999994</v>
      </c>
      <c r="J45" s="433">
        <f>IFERROR(IF(AND(INDEX('Facility Master'!Z:Z,MATCH(YBL_TL_SNo,'Facility Master'!A:A,0))&gt;B44,INDEX('Facility Master'!Z:Z,MATCH(YBL_TL_SNo,'Facility Master'!A:A,0))&lt;=B45),INDEX('Facility Master'!M:M,MATCH(YBL_TL_SNo,'Facility Master'!A:A,0)),0),0)</f>
        <v>0</v>
      </c>
      <c r="K45" s="433">
        <f>IFERROR(IF(AND(B45&gt;=INDEX('Facility Master'!AA:AA,MATCH(YBL_TL_SNo,'Facility Master'!A:A,0)),B45&lt;=INDEX('Facility Master'!AB:AB,MATCH(YBL_TL_SNo,'Facility Master'!A:A,0))),MIN(IFERROR(INDEX('Facility Master'!M:M,MATCH(YBL_TL_SNo,'Facility Master'!A:A,0))/INDEX('Facility Master'!Y:Y,MATCH(YBL_TL_SNo,'Facility Master'!A:A,0)),0),I45+J45),0),0)</f>
        <v>6.823404255319149</v>
      </c>
      <c r="L45" s="433">
        <f>IFERROR((I45+J45-K45/2)*INDEX('Facility Master'!T:T,MATCH(YBL_TL_SNo,'Facility Master'!A:A,0))*IF(B45&lt;INDEX('Facility Master'!Z:Z,MATCH(YBL_TL_SNo,'Facility Master'!A:A,0)),0,IF(I45=0,MAX(0,B45-INDEX('Facility Master'!Z:Z,MATCH(YBL_TL_SNo,'Facility Master'!A:A,0))),B45-B44))/DaysInYear,0)</f>
        <v>1.3602906089186824</v>
      </c>
      <c r="M45" s="433">
        <f t="shared" si="7"/>
        <v>68.234200000000001</v>
      </c>
      <c r="N45" s="434">
        <f t="shared" si="16"/>
        <v>1.1999999999999999E-3</v>
      </c>
      <c r="O45" s="434">
        <f>IFERROR(IF(AND(INDEX('Facility Master'!Z:Z,MATCH(Bajaj_TL_SNo,'Facility Master'!A:A,0))&gt;B44,INDEX('Facility Master'!Z:Z,MATCH(Bajaj_TL_SNo,'Facility Master'!A:A,0))&lt;=B45),INDEX('Facility Master'!M:M,MATCH(Bajaj_TL_SNo,'Facility Master'!A:A,0)),0),0)</f>
        <v>0</v>
      </c>
      <c r="P45" s="434">
        <f>IFERROR(IF(AND(B45&gt;=INDEX('Facility Master'!AA:AA,MATCH(Bajaj_TL_SNo,'Facility Master'!A:A,0)),B45&lt;=INDEX('Facility Master'!AB:AB,MATCH(Bajaj_TL_SNo,'Facility Master'!A:A,0))),MIN(IFERROR(INDEX('Facility Master'!M:M,MATCH(Bajaj_TL_SNo,'Facility Master'!A:A,0))/INDEX('Facility Master'!Y:Y,MATCH(Bajaj_TL_SNo,'Facility Master'!A:A,0)),0),N45+O45),0),0)</f>
        <v>0</v>
      </c>
      <c r="Q45" s="434">
        <f>IFERROR((N45+O45-P45/2)*INDEX('Facility Master'!T:T,MATCH(Bajaj_TL_SNo,'Facility Master'!A:A,0))*IF(B45&lt;INDEX('Facility Master'!Z:Z,MATCH(Bajaj_TL_SNo,'Facility Master'!A:A,0)),0,IF(N45=0,MAX(0,B45-INDEX('Facility Master'!Z:Z,MATCH(Bajaj_TL_SNo,'Facility Master'!A:A,0))),B45-B44))/DaysInYear,0)</f>
        <v>2.5446575342465751E-5</v>
      </c>
      <c r="R45" s="434">
        <f t="shared" si="9"/>
        <v>1.1999999999999999E-3</v>
      </c>
      <c r="S45" s="435">
        <f t="shared" si="10"/>
        <v>6.823404255319149</v>
      </c>
      <c r="T45" s="435">
        <f t="shared" si="11"/>
        <v>1.3603160554940248</v>
      </c>
      <c r="U45" s="435">
        <f t="shared" si="12"/>
        <v>8.1837203108131735</v>
      </c>
      <c r="V45" s="436">
        <f t="shared" si="13"/>
        <v>68.235399999999998</v>
      </c>
    </row>
    <row r="46" spans="1:22" ht="15" customHeight="1" x14ac:dyDescent="0.3">
      <c r="A46" s="201">
        <v>42</v>
      </c>
      <c r="B46" s="202">
        <v>49125</v>
      </c>
      <c r="C46" s="203" t="s">
        <v>224</v>
      </c>
      <c r="D46" s="425">
        <f t="shared" si="14"/>
        <v>0</v>
      </c>
      <c r="E46" s="425">
        <f>IFERROR(IF(AND(INDEX('Facility Master'!Z:Z,MATCH(RBL_TL_SNo,'Facility Master'!A:A,0))&gt;B45,INDEX('Facility Master'!Z:Z,MATCH(RBL_TL_SNo,'Facility Master'!A:A,0))&lt;=B46),INDEX('Facility Master'!M:M,MATCH(RBL_TL_SNo,'Facility Master'!A:A,0)),0),0)</f>
        <v>0</v>
      </c>
      <c r="F46" s="425">
        <f>IFERROR(IF(AND(B46&gt;=INDEX('Facility Master'!AA:AA,MATCH(RBL_TL_SNo,'Facility Master'!A:A,0)),B46&lt;=INDEX('Facility Master'!AB:AB,MATCH(RBL_TL_SNo,'Facility Master'!A:A,0))),MIN(IFERROR(INDEX('Facility Master'!M:M,MATCH(RBL_TL_SNo,'Facility Master'!A:A,0))/INDEX('Facility Master'!Y:Y,MATCH(RBL_TL_SNo,'Facility Master'!A:A,0)),0),D46+E46),0),0)</f>
        <v>0</v>
      </c>
      <c r="G46" s="432">
        <f>IFERROR((D46+E46-F46/2)*INDEX('Facility Master'!T:T,MATCH(RBL_TL_SNo,'Facility Master'!A:A,0))*IF(B46&lt;INDEX('Facility Master'!Z:Z,MATCH(RBL_TL_SNo,'Facility Master'!A:A,0)),0,IF(D46=0,MAX(0,B46-INDEX('Facility Master'!Z:Z,MATCH(RBL_TL_SNo,'Facility Master'!A:A,0))),B46-B45))/DaysInYear,0)</f>
        <v>0</v>
      </c>
      <c r="H46" s="432">
        <f t="shared" si="5"/>
        <v>0</v>
      </c>
      <c r="I46" s="433">
        <f t="shared" si="15"/>
        <v>68.234200000000001</v>
      </c>
      <c r="J46" s="433">
        <f>IFERROR(IF(AND(INDEX('Facility Master'!Z:Z,MATCH(YBL_TL_SNo,'Facility Master'!A:A,0))&gt;B45,INDEX('Facility Master'!Z:Z,MATCH(YBL_TL_SNo,'Facility Master'!A:A,0))&lt;=B46),INDEX('Facility Master'!M:M,MATCH(YBL_TL_SNo,'Facility Master'!A:A,0)),0),0)</f>
        <v>0</v>
      </c>
      <c r="K46" s="433">
        <f>IFERROR(IF(AND(B46&gt;=INDEX('Facility Master'!AA:AA,MATCH(YBL_TL_SNo,'Facility Master'!A:A,0)),B46&lt;=INDEX('Facility Master'!AB:AB,MATCH(YBL_TL_SNo,'Facility Master'!A:A,0))),MIN(IFERROR(INDEX('Facility Master'!M:M,MATCH(YBL_TL_SNo,'Facility Master'!A:A,0))/INDEX('Facility Master'!Y:Y,MATCH(YBL_TL_SNo,'Facility Master'!A:A,0)),0),I46+J46),0),0)</f>
        <v>6.823404255319149</v>
      </c>
      <c r="L46" s="433">
        <f>IFERROR((I46+J46-K46/2)*INDEX('Facility Master'!T:T,MATCH(YBL_TL_SNo,'Facility Master'!A:A,0))*IF(B46&lt;INDEX('Facility Master'!Z:Z,MATCH(YBL_TL_SNo,'Facility Master'!A:A,0)),0,IF(I46=0,MAX(0,B46-INDEX('Facility Master'!Z:Z,MATCH(YBL_TL_SNo,'Facility Master'!A:A,0))),B46-B45))/DaysInYear,0)</f>
        <v>1.2444143632643543</v>
      </c>
      <c r="M46" s="433">
        <f t="shared" si="7"/>
        <v>61.410800000000002</v>
      </c>
      <c r="N46" s="434">
        <f t="shared" si="16"/>
        <v>1.1999999999999999E-3</v>
      </c>
      <c r="O46" s="434">
        <f>IFERROR(IF(AND(INDEX('Facility Master'!Z:Z,MATCH(Bajaj_TL_SNo,'Facility Master'!A:A,0))&gt;B45,INDEX('Facility Master'!Z:Z,MATCH(Bajaj_TL_SNo,'Facility Master'!A:A,0))&lt;=B46),INDEX('Facility Master'!M:M,MATCH(Bajaj_TL_SNo,'Facility Master'!A:A,0)),0),0)</f>
        <v>0</v>
      </c>
      <c r="P46" s="434">
        <f>IFERROR(IF(AND(B46&gt;=INDEX('Facility Master'!AA:AA,MATCH(Bajaj_TL_SNo,'Facility Master'!A:A,0)),B46&lt;=INDEX('Facility Master'!AB:AB,MATCH(Bajaj_TL_SNo,'Facility Master'!A:A,0))),MIN(IFERROR(INDEX('Facility Master'!M:M,MATCH(Bajaj_TL_SNo,'Facility Master'!A:A,0))/INDEX('Facility Master'!Y:Y,MATCH(Bajaj_TL_SNo,'Facility Master'!A:A,0)),0),N46+O46),0),0)</f>
        <v>0</v>
      </c>
      <c r="Q46" s="434">
        <f>IFERROR((N46+O46-P46/2)*INDEX('Facility Master'!T:T,MATCH(Bajaj_TL_SNo,'Facility Master'!A:A,0))*IF(B46&lt;INDEX('Facility Master'!Z:Z,MATCH(Bajaj_TL_SNo,'Facility Master'!A:A,0)),0,IF(N46=0,MAX(0,B46-INDEX('Facility Master'!Z:Z,MATCH(Bajaj_TL_SNo,'Facility Master'!A:A,0))),B46-B45))/DaysInYear,0)</f>
        <v>2.5729315068493153E-5</v>
      </c>
      <c r="R46" s="444">
        <f t="shared" si="9"/>
        <v>1.1999999999999999E-3</v>
      </c>
      <c r="S46" s="426">
        <f t="shared" si="10"/>
        <v>6.823404255319149</v>
      </c>
      <c r="T46" s="426">
        <f t="shared" si="11"/>
        <v>1.2444400925794228</v>
      </c>
      <c r="U46" s="426">
        <f t="shared" si="12"/>
        <v>8.0678443478985713</v>
      </c>
      <c r="V46" s="445">
        <f t="shared" si="13"/>
        <v>61.411999999999999</v>
      </c>
    </row>
    <row r="47" spans="1:22" ht="15" customHeight="1" x14ac:dyDescent="0.3">
      <c r="A47" s="198">
        <v>43</v>
      </c>
      <c r="B47" s="199">
        <v>49217</v>
      </c>
      <c r="C47" s="200" t="s">
        <v>225</v>
      </c>
      <c r="D47" s="427">
        <f t="shared" si="14"/>
        <v>0</v>
      </c>
      <c r="E47" s="427">
        <f>IFERROR(IF(AND(INDEX('Facility Master'!Z:Z,MATCH(RBL_TL_SNo,'Facility Master'!A:A,0))&gt;B46,INDEX('Facility Master'!Z:Z,MATCH(RBL_TL_SNo,'Facility Master'!A:A,0))&lt;=B47),INDEX('Facility Master'!M:M,MATCH(RBL_TL_SNo,'Facility Master'!A:A,0)),0),0)</f>
        <v>0</v>
      </c>
      <c r="F47" s="427">
        <f>IFERROR(IF(AND(B47&gt;=INDEX('Facility Master'!AA:AA,MATCH(RBL_TL_SNo,'Facility Master'!A:A,0)),B47&lt;=INDEX('Facility Master'!AB:AB,MATCH(RBL_TL_SNo,'Facility Master'!A:A,0))),MIN(IFERROR(INDEX('Facility Master'!M:M,MATCH(RBL_TL_SNo,'Facility Master'!A:A,0))/INDEX('Facility Master'!Y:Y,MATCH(RBL_TL_SNo,'Facility Master'!A:A,0)),0),D47+E47),0),0)</f>
        <v>0</v>
      </c>
      <c r="G47" s="432">
        <f>IFERROR((D47+E47-F47/2)*INDEX('Facility Master'!T:T,MATCH(RBL_TL_SNo,'Facility Master'!A:A,0))*IF(B47&lt;INDEX('Facility Master'!Z:Z,MATCH(RBL_TL_SNo,'Facility Master'!A:A,0)),0,IF(D47=0,MAX(0,B47-INDEX('Facility Master'!Z:Z,MATCH(RBL_TL_SNo,'Facility Master'!A:A,0))),B47-B46))/DaysInYear,0)</f>
        <v>0</v>
      </c>
      <c r="H47" s="432">
        <f t="shared" si="5"/>
        <v>0</v>
      </c>
      <c r="I47" s="433">
        <f t="shared" si="15"/>
        <v>61.410800000000002</v>
      </c>
      <c r="J47" s="433">
        <f>IFERROR(IF(AND(INDEX('Facility Master'!Z:Z,MATCH(YBL_TL_SNo,'Facility Master'!A:A,0))&gt;B46,INDEX('Facility Master'!Z:Z,MATCH(YBL_TL_SNo,'Facility Master'!A:A,0))&lt;=B47),INDEX('Facility Master'!M:M,MATCH(YBL_TL_SNo,'Facility Master'!A:A,0)),0),0)</f>
        <v>0</v>
      </c>
      <c r="K47" s="433">
        <f>IFERROR(IF(AND(B47&gt;=INDEX('Facility Master'!AA:AA,MATCH(YBL_TL_SNo,'Facility Master'!A:A,0)),B47&lt;=INDEX('Facility Master'!AB:AB,MATCH(YBL_TL_SNo,'Facility Master'!A:A,0))),MIN(IFERROR(INDEX('Facility Master'!M:M,MATCH(YBL_TL_SNo,'Facility Master'!A:A,0))/INDEX('Facility Master'!Y:Y,MATCH(YBL_TL_SNo,'Facility Master'!A:A,0)),0),I47+J47),0),0)</f>
        <v>6.823404255319149</v>
      </c>
      <c r="L47" s="433">
        <f>IFERROR((I47+J47-K47/2)*INDEX('Facility Master'!T:T,MATCH(YBL_TL_SNo,'Facility Master'!A:A,0))*IF(B47&lt;INDEX('Facility Master'!Z:Z,MATCH(YBL_TL_SNo,'Facility Master'!A:A,0)),0,IF(I47=0,MAX(0,B47-INDEX('Facility Master'!Z:Z,MATCH(YBL_TL_SNo,'Facility Master'!A:A,0))),B47-B46))/DaysInYear,0)</f>
        <v>1.1256592036374236</v>
      </c>
      <c r="M47" s="433">
        <f t="shared" si="7"/>
        <v>54.587400000000002</v>
      </c>
      <c r="N47" s="434">
        <f t="shared" si="16"/>
        <v>1.1999999999999999E-3</v>
      </c>
      <c r="O47" s="434">
        <f>IFERROR(IF(AND(INDEX('Facility Master'!Z:Z,MATCH(Bajaj_TL_SNo,'Facility Master'!A:A,0))&gt;B46,INDEX('Facility Master'!Z:Z,MATCH(Bajaj_TL_SNo,'Facility Master'!A:A,0))&lt;=B47),INDEX('Facility Master'!M:M,MATCH(Bajaj_TL_SNo,'Facility Master'!A:A,0)),0),0)</f>
        <v>0</v>
      </c>
      <c r="P47" s="434">
        <f>IFERROR(IF(AND(B47&gt;=INDEX('Facility Master'!AA:AA,MATCH(Bajaj_TL_SNo,'Facility Master'!A:A,0)),B47&lt;=INDEX('Facility Master'!AB:AB,MATCH(Bajaj_TL_SNo,'Facility Master'!A:A,0))),MIN(IFERROR(INDEX('Facility Master'!M:M,MATCH(Bajaj_TL_SNo,'Facility Master'!A:A,0))/INDEX('Facility Master'!Y:Y,MATCH(Bajaj_TL_SNo,'Facility Master'!A:A,0)),0),N47+O47),0),0)</f>
        <v>0</v>
      </c>
      <c r="Q47" s="434">
        <f>IFERROR((N47+O47-P47/2)*INDEX('Facility Master'!T:T,MATCH(Bajaj_TL_SNo,'Facility Master'!A:A,0))*IF(B47&lt;INDEX('Facility Master'!Z:Z,MATCH(Bajaj_TL_SNo,'Facility Master'!A:A,0)),0,IF(N47=0,MAX(0,B47-INDEX('Facility Master'!Z:Z,MATCH(Bajaj_TL_SNo,'Facility Master'!A:A,0))),B47-B46))/DaysInYear,0)</f>
        <v>2.6012054794520549E-5</v>
      </c>
      <c r="R47" s="444">
        <f t="shared" si="9"/>
        <v>1.1999999999999999E-3</v>
      </c>
      <c r="S47" s="428">
        <f t="shared" si="10"/>
        <v>6.823404255319149</v>
      </c>
      <c r="T47" s="428">
        <f t="shared" si="11"/>
        <v>1.1256852156922181</v>
      </c>
      <c r="U47" s="428">
        <f t="shared" si="12"/>
        <v>7.9490894710113675</v>
      </c>
      <c r="V47" s="445">
        <f t="shared" si="13"/>
        <v>54.5886</v>
      </c>
    </row>
    <row r="48" spans="1:22" ht="15" customHeight="1" x14ac:dyDescent="0.3">
      <c r="A48" s="201">
        <v>44</v>
      </c>
      <c r="B48" s="202">
        <v>49309</v>
      </c>
      <c r="C48" s="203" t="s">
        <v>226</v>
      </c>
      <c r="D48" s="425">
        <f t="shared" si="14"/>
        <v>0</v>
      </c>
      <c r="E48" s="425">
        <f>IFERROR(IF(AND(INDEX('Facility Master'!Z:Z,MATCH(RBL_TL_SNo,'Facility Master'!A:A,0))&gt;B47,INDEX('Facility Master'!Z:Z,MATCH(RBL_TL_SNo,'Facility Master'!A:A,0))&lt;=B48),INDEX('Facility Master'!M:M,MATCH(RBL_TL_SNo,'Facility Master'!A:A,0)),0),0)</f>
        <v>0</v>
      </c>
      <c r="F48" s="425">
        <f>IFERROR(IF(AND(B48&gt;=INDEX('Facility Master'!AA:AA,MATCH(RBL_TL_SNo,'Facility Master'!A:A,0)),B48&lt;=INDEX('Facility Master'!AB:AB,MATCH(RBL_TL_SNo,'Facility Master'!A:A,0))),MIN(IFERROR(INDEX('Facility Master'!M:M,MATCH(RBL_TL_SNo,'Facility Master'!A:A,0))/INDEX('Facility Master'!Y:Y,MATCH(RBL_TL_SNo,'Facility Master'!A:A,0)),0),D48+E48),0),0)</f>
        <v>0</v>
      </c>
      <c r="G48" s="432">
        <f>IFERROR((D48+E48-F48/2)*INDEX('Facility Master'!T:T,MATCH(RBL_TL_SNo,'Facility Master'!A:A,0))*IF(B48&lt;INDEX('Facility Master'!Z:Z,MATCH(RBL_TL_SNo,'Facility Master'!A:A,0)),0,IF(D48=0,MAX(0,B48-INDEX('Facility Master'!Z:Z,MATCH(RBL_TL_SNo,'Facility Master'!A:A,0))),B48-B47))/DaysInYear,0)</f>
        <v>0</v>
      </c>
      <c r="H48" s="432">
        <f t="shared" si="5"/>
        <v>0</v>
      </c>
      <c r="I48" s="433">
        <f t="shared" si="15"/>
        <v>54.587400000000002</v>
      </c>
      <c r="J48" s="433">
        <f>IFERROR(IF(AND(INDEX('Facility Master'!Z:Z,MATCH(YBL_TL_SNo,'Facility Master'!A:A,0))&gt;B47,INDEX('Facility Master'!Z:Z,MATCH(YBL_TL_SNo,'Facility Master'!A:A,0))&lt;=B48),INDEX('Facility Master'!M:M,MATCH(YBL_TL_SNo,'Facility Master'!A:A,0)),0),0)</f>
        <v>0</v>
      </c>
      <c r="K48" s="433">
        <f>IFERROR(IF(AND(B48&gt;=INDEX('Facility Master'!AA:AA,MATCH(YBL_TL_SNo,'Facility Master'!A:A,0)),B48&lt;=INDEX('Facility Master'!AB:AB,MATCH(YBL_TL_SNo,'Facility Master'!A:A,0))),MIN(IFERROR(INDEX('Facility Master'!M:M,MATCH(YBL_TL_SNo,'Facility Master'!A:A,0))/INDEX('Facility Master'!Y:Y,MATCH(YBL_TL_SNo,'Facility Master'!A:A,0)),0),I48+J48),0),0)</f>
        <v>6.823404255319149</v>
      </c>
      <c r="L48" s="433">
        <f>IFERROR((I48+J48-K48/2)*INDEX('Facility Master'!T:T,MATCH(YBL_TL_SNo,'Facility Master'!A:A,0))*IF(B48&lt;INDEX('Facility Master'!Z:Z,MATCH(YBL_TL_SNo,'Facility Master'!A:A,0)),0,IF(I48=0,MAX(0,B48-INDEX('Facility Master'!Z:Z,MATCH(YBL_TL_SNo,'Facility Master'!A:A,0))),B48-B47))/DaysInYear,0)</f>
        <v>0.99322916089769753</v>
      </c>
      <c r="M48" s="433">
        <f t="shared" si="7"/>
        <v>47.764000000000003</v>
      </c>
      <c r="N48" s="434">
        <f t="shared" si="16"/>
        <v>1.1999999999999999E-3</v>
      </c>
      <c r="O48" s="434">
        <f>IFERROR(IF(AND(INDEX('Facility Master'!Z:Z,MATCH(Bajaj_TL_SNo,'Facility Master'!A:A,0))&gt;B47,INDEX('Facility Master'!Z:Z,MATCH(Bajaj_TL_SNo,'Facility Master'!A:A,0))&lt;=B48),INDEX('Facility Master'!M:M,MATCH(Bajaj_TL_SNo,'Facility Master'!A:A,0)),0),0)</f>
        <v>0</v>
      </c>
      <c r="P48" s="434">
        <f>IFERROR(IF(AND(B48&gt;=INDEX('Facility Master'!AA:AA,MATCH(Bajaj_TL_SNo,'Facility Master'!A:A,0)),B48&lt;=INDEX('Facility Master'!AB:AB,MATCH(Bajaj_TL_SNo,'Facility Master'!A:A,0))),MIN(IFERROR(INDEX('Facility Master'!M:M,MATCH(Bajaj_TL_SNo,'Facility Master'!A:A,0))/INDEX('Facility Master'!Y:Y,MATCH(Bajaj_TL_SNo,'Facility Master'!A:A,0)),0),N48+O48),0),0)</f>
        <v>0</v>
      </c>
      <c r="Q48" s="434">
        <f>IFERROR((N48+O48-P48/2)*INDEX('Facility Master'!T:T,MATCH(Bajaj_TL_SNo,'Facility Master'!A:A,0))*IF(B48&lt;INDEX('Facility Master'!Z:Z,MATCH(Bajaj_TL_SNo,'Facility Master'!A:A,0)),0,IF(N48=0,MAX(0,B48-INDEX('Facility Master'!Z:Z,MATCH(Bajaj_TL_SNo,'Facility Master'!A:A,0))),B48-B47))/DaysInYear,0)</f>
        <v>2.6012054794520549E-5</v>
      </c>
      <c r="R48" s="444">
        <f t="shared" si="9"/>
        <v>1.1999999999999999E-3</v>
      </c>
      <c r="S48" s="426">
        <f t="shared" si="10"/>
        <v>6.823404255319149</v>
      </c>
      <c r="T48" s="426">
        <f t="shared" si="11"/>
        <v>0.99325517295249199</v>
      </c>
      <c r="U48" s="426">
        <f t="shared" si="12"/>
        <v>7.8166594282716408</v>
      </c>
      <c r="V48" s="445">
        <f t="shared" si="13"/>
        <v>47.7652</v>
      </c>
    </row>
    <row r="49" spans="1:22" ht="16.95" customHeight="1" x14ac:dyDescent="0.3">
      <c r="A49" s="429">
        <v>45</v>
      </c>
      <c r="B49" s="430">
        <v>49399</v>
      </c>
      <c r="C49" s="431" t="s">
        <v>227</v>
      </c>
      <c r="D49" s="432">
        <f t="shared" si="14"/>
        <v>0</v>
      </c>
      <c r="E49" s="432">
        <f>IFERROR(IF(AND(INDEX('Facility Master'!Z:Z,MATCH(RBL_TL_SNo,'Facility Master'!A:A,0))&gt;B48,INDEX('Facility Master'!Z:Z,MATCH(RBL_TL_SNo,'Facility Master'!A:A,0))&lt;=B49),INDEX('Facility Master'!M:M,MATCH(RBL_TL_SNo,'Facility Master'!A:A,0)),0),0)</f>
        <v>0</v>
      </c>
      <c r="F49" s="432">
        <f>IFERROR(IF(AND(B49&gt;=INDEX('Facility Master'!AA:AA,MATCH(RBL_TL_SNo,'Facility Master'!A:A,0)),B49&lt;=INDEX('Facility Master'!AB:AB,MATCH(RBL_TL_SNo,'Facility Master'!A:A,0))),MIN(IFERROR(INDEX('Facility Master'!M:M,MATCH(RBL_TL_SNo,'Facility Master'!A:A,0))/INDEX('Facility Master'!Y:Y,MATCH(RBL_TL_SNo,'Facility Master'!A:A,0)),0),D49+E49),0),0)</f>
        <v>0</v>
      </c>
      <c r="G49" s="432">
        <f>IFERROR((D49+E49-F49/2)*INDEX('Facility Master'!T:T,MATCH(RBL_TL_SNo,'Facility Master'!A:A,0))*IF(B49&lt;INDEX('Facility Master'!Z:Z,MATCH(RBL_TL_SNo,'Facility Master'!A:A,0)),0,IF(D49=0,MAX(0,B49-INDEX('Facility Master'!Z:Z,MATCH(RBL_TL_SNo,'Facility Master'!A:A,0))),B49-B48))/DaysInYear,0)</f>
        <v>0</v>
      </c>
      <c r="H49" s="432">
        <f t="shared" si="5"/>
        <v>0</v>
      </c>
      <c r="I49" s="433">
        <f t="shared" si="15"/>
        <v>47.764000000000003</v>
      </c>
      <c r="J49" s="433">
        <f>IFERROR(IF(AND(INDEX('Facility Master'!Z:Z,MATCH(YBL_TL_SNo,'Facility Master'!A:A,0))&gt;B48,INDEX('Facility Master'!Z:Z,MATCH(YBL_TL_SNo,'Facility Master'!A:A,0))&lt;=B49),INDEX('Facility Master'!M:M,MATCH(YBL_TL_SNo,'Facility Master'!A:A,0)),0),0)</f>
        <v>0</v>
      </c>
      <c r="K49" s="433">
        <f>IFERROR(IF(AND(B49&gt;=INDEX('Facility Master'!AA:AA,MATCH(YBL_TL_SNo,'Facility Master'!A:A,0)),B49&lt;=INDEX('Facility Master'!AB:AB,MATCH(YBL_TL_SNo,'Facility Master'!A:A,0))),MIN(IFERROR(INDEX('Facility Master'!M:M,MATCH(YBL_TL_SNo,'Facility Master'!A:A,0))/INDEX('Facility Master'!Y:Y,MATCH(YBL_TL_SNo,'Facility Master'!A:A,0)),0),I49+J49),0),0)</f>
        <v>6.823404255319149</v>
      </c>
      <c r="L49" s="433">
        <f>IFERROR((I49+J49-K49/2)*INDEX('Facility Master'!T:T,MATCH(YBL_TL_SNo,'Facility Master'!A:A,0))*IF(B49&lt;INDEX('Facility Master'!Z:Z,MATCH(YBL_TL_SNo,'Facility Master'!A:A,0)),0,IF(I49=0,MAX(0,B49-INDEX('Facility Master'!Z:Z,MATCH(YBL_TL_SNo,'Facility Master'!A:A,0))),B49-B48))/DaysInYear,0)</f>
        <v>0.84208609385018962</v>
      </c>
      <c r="M49" s="433">
        <f t="shared" si="7"/>
        <v>40.940600000000003</v>
      </c>
      <c r="N49" s="434">
        <f t="shared" si="16"/>
        <v>1.1999999999999999E-3</v>
      </c>
      <c r="O49" s="434">
        <f>IFERROR(IF(AND(INDEX('Facility Master'!Z:Z,MATCH(Bajaj_TL_SNo,'Facility Master'!A:A,0))&gt;B48,INDEX('Facility Master'!Z:Z,MATCH(Bajaj_TL_SNo,'Facility Master'!A:A,0))&lt;=B49),INDEX('Facility Master'!M:M,MATCH(Bajaj_TL_SNo,'Facility Master'!A:A,0)),0),0)</f>
        <v>0</v>
      </c>
      <c r="P49" s="434">
        <f>IFERROR(IF(AND(B49&gt;=INDEX('Facility Master'!AA:AA,MATCH(Bajaj_TL_SNo,'Facility Master'!A:A,0)),B49&lt;=INDEX('Facility Master'!AB:AB,MATCH(Bajaj_TL_SNo,'Facility Master'!A:A,0))),MIN(IFERROR(INDEX('Facility Master'!M:M,MATCH(Bajaj_TL_SNo,'Facility Master'!A:A,0))/INDEX('Facility Master'!Y:Y,MATCH(Bajaj_TL_SNo,'Facility Master'!A:A,0)),0),N49+O49),0),0)</f>
        <v>0</v>
      </c>
      <c r="Q49" s="434">
        <f>IFERROR((N49+O49-P49/2)*INDEX('Facility Master'!T:T,MATCH(Bajaj_TL_SNo,'Facility Master'!A:A,0))*IF(B49&lt;INDEX('Facility Master'!Z:Z,MATCH(Bajaj_TL_SNo,'Facility Master'!A:A,0)),0,IF(N49=0,MAX(0,B49-INDEX('Facility Master'!Z:Z,MATCH(Bajaj_TL_SNo,'Facility Master'!A:A,0))),B49-B48))/DaysInYear,0)</f>
        <v>2.5446575342465751E-5</v>
      </c>
      <c r="R49" s="434">
        <f t="shared" si="9"/>
        <v>1.1999999999999999E-3</v>
      </c>
      <c r="S49" s="435">
        <f t="shared" si="10"/>
        <v>6.823404255319149</v>
      </c>
      <c r="T49" s="435">
        <f t="shared" si="11"/>
        <v>0.84211154042553205</v>
      </c>
      <c r="U49" s="435">
        <f t="shared" si="12"/>
        <v>7.6655157957446809</v>
      </c>
      <c r="V49" s="436">
        <f t="shared" si="13"/>
        <v>40.941800000000001</v>
      </c>
    </row>
    <row r="50" spans="1:22" ht="15" customHeight="1" x14ac:dyDescent="0.3">
      <c r="A50" s="201">
        <v>46</v>
      </c>
      <c r="B50" s="202">
        <v>49490</v>
      </c>
      <c r="C50" s="203" t="s">
        <v>228</v>
      </c>
      <c r="D50" s="425">
        <f t="shared" si="14"/>
        <v>0</v>
      </c>
      <c r="E50" s="425">
        <f>IFERROR(IF(AND(INDEX('Facility Master'!Z:Z,MATCH(RBL_TL_SNo,'Facility Master'!A:A,0))&gt;B49,INDEX('Facility Master'!Z:Z,MATCH(RBL_TL_SNo,'Facility Master'!A:A,0))&lt;=B50),INDEX('Facility Master'!M:M,MATCH(RBL_TL_SNo,'Facility Master'!A:A,0)),0),0)</f>
        <v>0</v>
      </c>
      <c r="F50" s="425">
        <f>IFERROR(IF(AND(B50&gt;=INDEX('Facility Master'!AA:AA,MATCH(RBL_TL_SNo,'Facility Master'!A:A,0)),B50&lt;=INDEX('Facility Master'!AB:AB,MATCH(RBL_TL_SNo,'Facility Master'!A:A,0))),MIN(IFERROR(INDEX('Facility Master'!M:M,MATCH(RBL_TL_SNo,'Facility Master'!A:A,0))/INDEX('Facility Master'!Y:Y,MATCH(RBL_TL_SNo,'Facility Master'!A:A,0)),0),D50+E50),0),0)</f>
        <v>0</v>
      </c>
      <c r="G50" s="432">
        <f>IFERROR((D50+E50-F50/2)*INDEX('Facility Master'!T:T,MATCH(RBL_TL_SNo,'Facility Master'!A:A,0))*IF(B50&lt;INDEX('Facility Master'!Z:Z,MATCH(RBL_TL_SNo,'Facility Master'!A:A,0)),0,IF(D50=0,MAX(0,B50-INDEX('Facility Master'!Z:Z,MATCH(RBL_TL_SNo,'Facility Master'!A:A,0))),B50-B49))/DaysInYear,0)</f>
        <v>0</v>
      </c>
      <c r="H50" s="432">
        <f t="shared" si="5"/>
        <v>0</v>
      </c>
      <c r="I50" s="433">
        <f t="shared" si="15"/>
        <v>40.940600000000003</v>
      </c>
      <c r="J50" s="433">
        <f>IFERROR(IF(AND(INDEX('Facility Master'!Z:Z,MATCH(YBL_TL_SNo,'Facility Master'!A:A,0))&gt;B49,INDEX('Facility Master'!Z:Z,MATCH(YBL_TL_SNo,'Facility Master'!A:A,0))&lt;=B50),INDEX('Facility Master'!M:M,MATCH(YBL_TL_SNo,'Facility Master'!A:A,0)),0),0)</f>
        <v>0</v>
      </c>
      <c r="K50" s="433">
        <f>IFERROR(IF(AND(B50&gt;=INDEX('Facility Master'!AA:AA,MATCH(YBL_TL_SNo,'Facility Master'!A:A,0)),B50&lt;=INDEX('Facility Master'!AB:AB,MATCH(YBL_TL_SNo,'Facility Master'!A:A,0))),MIN(IFERROR(INDEX('Facility Master'!M:M,MATCH(YBL_TL_SNo,'Facility Master'!A:A,0))/INDEX('Facility Master'!Y:Y,MATCH(YBL_TL_SNo,'Facility Master'!A:A,0)),0),I50+J50),0),0)</f>
        <v>6.823404255319149</v>
      </c>
      <c r="L50" s="433">
        <f>IFERROR((I50+J50-K50/2)*INDEX('Facility Master'!T:T,MATCH(YBL_TL_SNo,'Facility Master'!A:A,0))*IF(B50&lt;INDEX('Facility Master'!Z:Z,MATCH(YBL_TL_SNo,'Facility Master'!A:A,0)),0,IF(I50=0,MAX(0,B50-INDEX('Facility Master'!Z:Z,MATCH(YBL_TL_SNo,'Facility Master'!A:A,0))),B50-B49))/DaysInYear,0)</f>
        <v>0.72045202025065591</v>
      </c>
      <c r="M50" s="433">
        <f t="shared" si="7"/>
        <v>34.117199999999997</v>
      </c>
      <c r="N50" s="434">
        <f t="shared" si="16"/>
        <v>1.1999999999999999E-3</v>
      </c>
      <c r="O50" s="434">
        <f>IFERROR(IF(AND(INDEX('Facility Master'!Z:Z,MATCH(Bajaj_TL_SNo,'Facility Master'!A:A,0))&gt;B49,INDEX('Facility Master'!Z:Z,MATCH(Bajaj_TL_SNo,'Facility Master'!A:A,0))&lt;=B50),INDEX('Facility Master'!M:M,MATCH(Bajaj_TL_SNo,'Facility Master'!A:A,0)),0),0)</f>
        <v>0</v>
      </c>
      <c r="P50" s="434">
        <f>IFERROR(IF(AND(B50&gt;=INDEX('Facility Master'!AA:AA,MATCH(Bajaj_TL_SNo,'Facility Master'!A:A,0)),B50&lt;=INDEX('Facility Master'!AB:AB,MATCH(Bajaj_TL_SNo,'Facility Master'!A:A,0))),MIN(IFERROR(INDEX('Facility Master'!M:M,MATCH(Bajaj_TL_SNo,'Facility Master'!A:A,0))/INDEX('Facility Master'!Y:Y,MATCH(Bajaj_TL_SNo,'Facility Master'!A:A,0)),0),N50+O50),0),0)</f>
        <v>0</v>
      </c>
      <c r="Q50" s="434">
        <f>IFERROR((N50+O50-P50/2)*INDEX('Facility Master'!T:T,MATCH(Bajaj_TL_SNo,'Facility Master'!A:A,0))*IF(B50&lt;INDEX('Facility Master'!Z:Z,MATCH(Bajaj_TL_SNo,'Facility Master'!A:A,0)),0,IF(N50=0,MAX(0,B50-INDEX('Facility Master'!Z:Z,MATCH(Bajaj_TL_SNo,'Facility Master'!A:A,0))),B50-B49))/DaysInYear,0)</f>
        <v>2.5729315068493153E-5</v>
      </c>
      <c r="R50" s="444">
        <f t="shared" si="9"/>
        <v>1.1999999999999999E-3</v>
      </c>
      <c r="S50" s="426">
        <f t="shared" si="10"/>
        <v>6.823404255319149</v>
      </c>
      <c r="T50" s="426">
        <f t="shared" si="11"/>
        <v>0.72047774956572441</v>
      </c>
      <c r="U50" s="426">
        <f t="shared" si="12"/>
        <v>7.5438820048848729</v>
      </c>
      <c r="V50" s="445">
        <f t="shared" si="13"/>
        <v>34.118399999999994</v>
      </c>
    </row>
    <row r="51" spans="1:22" ht="15" customHeight="1" x14ac:dyDescent="0.3">
      <c r="A51" s="198">
        <v>47</v>
      </c>
      <c r="B51" s="199">
        <v>49582</v>
      </c>
      <c r="C51" s="200" t="s">
        <v>229</v>
      </c>
      <c r="D51" s="427">
        <f t="shared" si="14"/>
        <v>0</v>
      </c>
      <c r="E51" s="427">
        <f>IFERROR(IF(AND(INDEX('Facility Master'!Z:Z,MATCH(RBL_TL_SNo,'Facility Master'!A:A,0))&gt;B50,INDEX('Facility Master'!Z:Z,MATCH(RBL_TL_SNo,'Facility Master'!A:A,0))&lt;=B51),INDEX('Facility Master'!M:M,MATCH(RBL_TL_SNo,'Facility Master'!A:A,0)),0),0)</f>
        <v>0</v>
      </c>
      <c r="F51" s="427">
        <f>IFERROR(IF(AND(B51&gt;=INDEX('Facility Master'!AA:AA,MATCH(RBL_TL_SNo,'Facility Master'!A:A,0)),B51&lt;=INDEX('Facility Master'!AB:AB,MATCH(RBL_TL_SNo,'Facility Master'!A:A,0))),MIN(IFERROR(INDEX('Facility Master'!M:M,MATCH(RBL_TL_SNo,'Facility Master'!A:A,0))/INDEX('Facility Master'!Y:Y,MATCH(RBL_TL_SNo,'Facility Master'!A:A,0)),0),D51+E51),0),0)</f>
        <v>0</v>
      </c>
      <c r="G51" s="432">
        <f>IFERROR((D51+E51-F51/2)*INDEX('Facility Master'!T:T,MATCH(RBL_TL_SNo,'Facility Master'!A:A,0))*IF(B51&lt;INDEX('Facility Master'!Z:Z,MATCH(RBL_TL_SNo,'Facility Master'!A:A,0)),0,IF(D51=0,MAX(0,B51-INDEX('Facility Master'!Z:Z,MATCH(RBL_TL_SNo,'Facility Master'!A:A,0))),B51-B50))/DaysInYear,0)</f>
        <v>0</v>
      </c>
      <c r="H51" s="432">
        <f t="shared" si="5"/>
        <v>0</v>
      </c>
      <c r="I51" s="433">
        <f t="shared" si="15"/>
        <v>34.117199999999997</v>
      </c>
      <c r="J51" s="433">
        <f>IFERROR(IF(AND(INDEX('Facility Master'!Z:Z,MATCH(YBL_TL_SNo,'Facility Master'!A:A,0))&gt;B50,INDEX('Facility Master'!Z:Z,MATCH(YBL_TL_SNo,'Facility Master'!A:A,0))&lt;=B51),INDEX('Facility Master'!M:M,MATCH(YBL_TL_SNo,'Facility Master'!A:A,0)),0),0)</f>
        <v>0</v>
      </c>
      <c r="K51" s="433">
        <f>IFERROR(IF(AND(B51&gt;=INDEX('Facility Master'!AA:AA,MATCH(YBL_TL_SNo,'Facility Master'!A:A,0)),B51&lt;=INDEX('Facility Master'!AB:AB,MATCH(YBL_TL_SNo,'Facility Master'!A:A,0))),MIN(IFERROR(INDEX('Facility Master'!M:M,MATCH(YBL_TL_SNo,'Facility Master'!A:A,0))/INDEX('Facility Master'!Y:Y,MATCH(YBL_TL_SNo,'Facility Master'!A:A,0)),0),I51+J51),0),0)</f>
        <v>6.823404255319149</v>
      </c>
      <c r="L51" s="433">
        <f>IFERROR((I51+J51-K51/2)*INDEX('Facility Master'!T:T,MATCH(YBL_TL_SNo,'Facility Master'!A:A,0))*IF(B51&lt;INDEX('Facility Master'!Z:Z,MATCH(YBL_TL_SNo,'Facility Master'!A:A,0)),0,IF(I51=0,MAX(0,B51-INDEX('Facility Master'!Z:Z,MATCH(YBL_TL_SNo,'Facility Master'!A:A,0))),B51-B50))/DaysInYear,0)</f>
        <v>0.59593903267851933</v>
      </c>
      <c r="M51" s="433">
        <f t="shared" si="7"/>
        <v>27.293800000000001</v>
      </c>
      <c r="N51" s="434">
        <f t="shared" si="16"/>
        <v>1.1999999999999999E-3</v>
      </c>
      <c r="O51" s="434">
        <f>IFERROR(IF(AND(INDEX('Facility Master'!Z:Z,MATCH(Bajaj_TL_SNo,'Facility Master'!A:A,0))&gt;B50,INDEX('Facility Master'!Z:Z,MATCH(Bajaj_TL_SNo,'Facility Master'!A:A,0))&lt;=B51),INDEX('Facility Master'!M:M,MATCH(Bajaj_TL_SNo,'Facility Master'!A:A,0)),0),0)</f>
        <v>0</v>
      </c>
      <c r="P51" s="434">
        <f>IFERROR(IF(AND(B51&gt;=INDEX('Facility Master'!AA:AA,MATCH(Bajaj_TL_SNo,'Facility Master'!A:A,0)),B51&lt;=INDEX('Facility Master'!AB:AB,MATCH(Bajaj_TL_SNo,'Facility Master'!A:A,0))),MIN(IFERROR(INDEX('Facility Master'!M:M,MATCH(Bajaj_TL_SNo,'Facility Master'!A:A,0))/INDEX('Facility Master'!Y:Y,MATCH(Bajaj_TL_SNo,'Facility Master'!A:A,0)),0),N51+O51),0),0)</f>
        <v>0</v>
      </c>
      <c r="Q51" s="434">
        <f>IFERROR((N51+O51-P51/2)*INDEX('Facility Master'!T:T,MATCH(Bajaj_TL_SNo,'Facility Master'!A:A,0))*IF(B51&lt;INDEX('Facility Master'!Z:Z,MATCH(Bajaj_TL_SNo,'Facility Master'!A:A,0)),0,IF(N51=0,MAX(0,B51-INDEX('Facility Master'!Z:Z,MATCH(Bajaj_TL_SNo,'Facility Master'!A:A,0))),B51-B50))/DaysInYear,0)</f>
        <v>2.6012054794520549E-5</v>
      </c>
      <c r="R51" s="444">
        <f t="shared" si="9"/>
        <v>1.1999999999999999E-3</v>
      </c>
      <c r="S51" s="428">
        <f t="shared" si="10"/>
        <v>6.823404255319149</v>
      </c>
      <c r="T51" s="428">
        <f t="shared" si="11"/>
        <v>0.5959650447333138</v>
      </c>
      <c r="U51" s="428">
        <f t="shared" si="12"/>
        <v>7.4193693000524625</v>
      </c>
      <c r="V51" s="445">
        <f t="shared" si="13"/>
        <v>27.295000000000002</v>
      </c>
    </row>
    <row r="52" spans="1:22" ht="15" customHeight="1" x14ac:dyDescent="0.3">
      <c r="A52" s="201">
        <v>48</v>
      </c>
      <c r="B52" s="202">
        <v>49674</v>
      </c>
      <c r="C52" s="203" t="s">
        <v>230</v>
      </c>
      <c r="D52" s="425">
        <f t="shared" si="14"/>
        <v>0</v>
      </c>
      <c r="E52" s="425">
        <f>IFERROR(IF(AND(INDEX('Facility Master'!Z:Z,MATCH(RBL_TL_SNo,'Facility Master'!A:A,0))&gt;B51,INDEX('Facility Master'!Z:Z,MATCH(RBL_TL_SNo,'Facility Master'!A:A,0))&lt;=B52),INDEX('Facility Master'!M:M,MATCH(RBL_TL_SNo,'Facility Master'!A:A,0)),0),0)</f>
        <v>0</v>
      </c>
      <c r="F52" s="425">
        <f>IFERROR(IF(AND(B52&gt;=INDEX('Facility Master'!AA:AA,MATCH(RBL_TL_SNo,'Facility Master'!A:A,0)),B52&lt;=INDEX('Facility Master'!AB:AB,MATCH(RBL_TL_SNo,'Facility Master'!A:A,0))),MIN(IFERROR(INDEX('Facility Master'!M:M,MATCH(RBL_TL_SNo,'Facility Master'!A:A,0))/INDEX('Facility Master'!Y:Y,MATCH(RBL_TL_SNo,'Facility Master'!A:A,0)),0),D52+E52),0),0)</f>
        <v>0</v>
      </c>
      <c r="G52" s="432">
        <f>IFERROR((D52+E52-F52/2)*INDEX('Facility Master'!T:T,MATCH(RBL_TL_SNo,'Facility Master'!A:A,0))*IF(B52&lt;INDEX('Facility Master'!Z:Z,MATCH(RBL_TL_SNo,'Facility Master'!A:A,0)),0,IF(D52=0,MAX(0,B52-INDEX('Facility Master'!Z:Z,MATCH(RBL_TL_SNo,'Facility Master'!A:A,0))),B52-B51))/DaysInYear,0)</f>
        <v>0</v>
      </c>
      <c r="H52" s="432">
        <f t="shared" si="5"/>
        <v>0</v>
      </c>
      <c r="I52" s="433">
        <f t="shared" si="15"/>
        <v>27.293800000000001</v>
      </c>
      <c r="J52" s="433">
        <f>IFERROR(IF(AND(INDEX('Facility Master'!Z:Z,MATCH(YBL_TL_SNo,'Facility Master'!A:A,0))&gt;B51,INDEX('Facility Master'!Z:Z,MATCH(YBL_TL_SNo,'Facility Master'!A:A,0))&lt;=B52),INDEX('Facility Master'!M:M,MATCH(YBL_TL_SNo,'Facility Master'!A:A,0)),0),0)</f>
        <v>0</v>
      </c>
      <c r="K52" s="433">
        <f>IFERROR(IF(AND(B52&gt;=INDEX('Facility Master'!AA:AA,MATCH(YBL_TL_SNo,'Facility Master'!A:A,0)),B52&lt;=INDEX('Facility Master'!AB:AB,MATCH(YBL_TL_SNo,'Facility Master'!A:A,0))),MIN(IFERROR(INDEX('Facility Master'!M:M,MATCH(YBL_TL_SNo,'Facility Master'!A:A,0))/INDEX('Facility Master'!Y:Y,MATCH(YBL_TL_SNo,'Facility Master'!A:A,0)),0),I52+J52),0),0)</f>
        <v>6.823404255319149</v>
      </c>
      <c r="L52" s="433">
        <f>IFERROR((I52+J52-K52/2)*INDEX('Facility Master'!T:T,MATCH(YBL_TL_SNo,'Facility Master'!A:A,0))*IF(B52&lt;INDEX('Facility Master'!Z:Z,MATCH(YBL_TL_SNo,'Facility Master'!A:A,0)),0,IF(I52=0,MAX(0,B52-INDEX('Facility Master'!Z:Z,MATCH(YBL_TL_SNo,'Facility Master'!A:A,0))),B52-B51))/DaysInYear,0)</f>
        <v>0.46350898993879341</v>
      </c>
      <c r="M52" s="433">
        <f t="shared" si="7"/>
        <v>20.470400000000001</v>
      </c>
      <c r="N52" s="434">
        <f t="shared" si="16"/>
        <v>1.1999999999999999E-3</v>
      </c>
      <c r="O52" s="434">
        <f>IFERROR(IF(AND(INDEX('Facility Master'!Z:Z,MATCH(Bajaj_TL_SNo,'Facility Master'!A:A,0))&gt;B51,INDEX('Facility Master'!Z:Z,MATCH(Bajaj_TL_SNo,'Facility Master'!A:A,0))&lt;=B52),INDEX('Facility Master'!M:M,MATCH(Bajaj_TL_SNo,'Facility Master'!A:A,0)),0),0)</f>
        <v>0</v>
      </c>
      <c r="P52" s="434">
        <f>IFERROR(IF(AND(B52&gt;=INDEX('Facility Master'!AA:AA,MATCH(Bajaj_TL_SNo,'Facility Master'!A:A,0)),B52&lt;=INDEX('Facility Master'!AB:AB,MATCH(Bajaj_TL_SNo,'Facility Master'!A:A,0))),MIN(IFERROR(INDEX('Facility Master'!M:M,MATCH(Bajaj_TL_SNo,'Facility Master'!A:A,0))/INDEX('Facility Master'!Y:Y,MATCH(Bajaj_TL_SNo,'Facility Master'!A:A,0)),0),N52+O52),0),0)</f>
        <v>0</v>
      </c>
      <c r="Q52" s="434">
        <f>IFERROR((N52+O52-P52/2)*INDEX('Facility Master'!T:T,MATCH(Bajaj_TL_SNo,'Facility Master'!A:A,0))*IF(B52&lt;INDEX('Facility Master'!Z:Z,MATCH(Bajaj_TL_SNo,'Facility Master'!A:A,0)),0,IF(N52=0,MAX(0,B52-INDEX('Facility Master'!Z:Z,MATCH(Bajaj_TL_SNo,'Facility Master'!A:A,0))),B52-B51))/DaysInYear,0)</f>
        <v>2.6012054794520549E-5</v>
      </c>
      <c r="R52" s="444">
        <f t="shared" si="9"/>
        <v>1.1999999999999999E-3</v>
      </c>
      <c r="S52" s="426">
        <f t="shared" si="10"/>
        <v>6.823404255319149</v>
      </c>
      <c r="T52" s="426">
        <f t="shared" si="11"/>
        <v>0.46353500199358794</v>
      </c>
      <c r="U52" s="426">
        <f t="shared" si="12"/>
        <v>7.2869392573127367</v>
      </c>
      <c r="V52" s="445">
        <f t="shared" si="13"/>
        <v>20.471600000000002</v>
      </c>
    </row>
    <row r="53" spans="1:22" ht="16.95" customHeight="1" x14ac:dyDescent="0.3">
      <c r="A53" s="429">
        <v>49</v>
      </c>
      <c r="B53" s="430">
        <v>49765</v>
      </c>
      <c r="C53" s="431" t="s">
        <v>231</v>
      </c>
      <c r="D53" s="432">
        <f t="shared" si="14"/>
        <v>0</v>
      </c>
      <c r="E53" s="432">
        <f>IFERROR(IF(AND(INDEX('Facility Master'!Z:Z,MATCH(RBL_TL_SNo,'Facility Master'!A:A,0))&gt;B52,INDEX('Facility Master'!Z:Z,MATCH(RBL_TL_SNo,'Facility Master'!A:A,0))&lt;=B53),INDEX('Facility Master'!M:M,MATCH(RBL_TL_SNo,'Facility Master'!A:A,0)),0),0)</f>
        <v>0</v>
      </c>
      <c r="F53" s="432">
        <f>IFERROR(IF(AND(B53&gt;=INDEX('Facility Master'!AA:AA,MATCH(RBL_TL_SNo,'Facility Master'!A:A,0)),B53&lt;=INDEX('Facility Master'!AB:AB,MATCH(RBL_TL_SNo,'Facility Master'!A:A,0))),MIN(IFERROR(INDEX('Facility Master'!M:M,MATCH(RBL_TL_SNo,'Facility Master'!A:A,0))/INDEX('Facility Master'!Y:Y,MATCH(RBL_TL_SNo,'Facility Master'!A:A,0)),0),D53+E53),0),0)</f>
        <v>0</v>
      </c>
      <c r="G53" s="432">
        <f>IFERROR((D53+E53-F53/2)*INDEX('Facility Master'!T:T,MATCH(RBL_TL_SNo,'Facility Master'!A:A,0))*IF(B53&lt;INDEX('Facility Master'!Z:Z,MATCH(RBL_TL_SNo,'Facility Master'!A:A,0)),0,IF(D53=0,MAX(0,B53-INDEX('Facility Master'!Z:Z,MATCH(RBL_TL_SNo,'Facility Master'!A:A,0))),B53-B52))/DaysInYear,0)</f>
        <v>0</v>
      </c>
      <c r="H53" s="432">
        <f t="shared" si="5"/>
        <v>0</v>
      </c>
      <c r="I53" s="433">
        <f t="shared" si="15"/>
        <v>20.470400000000001</v>
      </c>
      <c r="J53" s="433">
        <f>IFERROR(IF(AND(INDEX('Facility Master'!Z:Z,MATCH(YBL_TL_SNo,'Facility Master'!A:A,0))&gt;B52,INDEX('Facility Master'!Z:Z,MATCH(YBL_TL_SNo,'Facility Master'!A:A,0))&lt;=B53),INDEX('Facility Master'!M:M,MATCH(YBL_TL_SNo,'Facility Master'!A:A,0)),0),0)</f>
        <v>0</v>
      </c>
      <c r="K53" s="433">
        <f>IFERROR(IF(AND(B53&gt;=INDEX('Facility Master'!AA:AA,MATCH(YBL_TL_SNo,'Facility Master'!A:A,0)),B53&lt;=INDEX('Facility Master'!AB:AB,MATCH(YBL_TL_SNo,'Facility Master'!A:A,0))),MIN(IFERROR(INDEX('Facility Master'!M:M,MATCH(YBL_TL_SNo,'Facility Master'!A:A,0))/INDEX('Facility Master'!Y:Y,MATCH(YBL_TL_SNo,'Facility Master'!A:A,0)),0),I53+J53),0),0)</f>
        <v>6.823404255319149</v>
      </c>
      <c r="L53" s="433">
        <f>IFERROR((I53+J53-K53/2)*INDEX('Facility Master'!T:T,MATCH(YBL_TL_SNo,'Facility Master'!A:A,0))*IF(B53&lt;INDEX('Facility Master'!Z:Z,MATCH(YBL_TL_SNo,'Facility Master'!A:A,0)),0,IF(I53=0,MAX(0,B53-INDEX('Facility Master'!Z:Z,MATCH(YBL_TL_SNo,'Facility Master'!A:A,0))),B53-B52))/DaysInYear,0)</f>
        <v>0.32748026299038185</v>
      </c>
      <c r="M53" s="433">
        <f t="shared" si="7"/>
        <v>13.647</v>
      </c>
      <c r="N53" s="434">
        <f t="shared" si="16"/>
        <v>1.1999999999999999E-3</v>
      </c>
      <c r="O53" s="434">
        <f>IFERROR(IF(AND(INDEX('Facility Master'!Z:Z,MATCH(Bajaj_TL_SNo,'Facility Master'!A:A,0))&gt;B52,INDEX('Facility Master'!Z:Z,MATCH(Bajaj_TL_SNo,'Facility Master'!A:A,0))&lt;=B53),INDEX('Facility Master'!M:M,MATCH(Bajaj_TL_SNo,'Facility Master'!A:A,0)),0),0)</f>
        <v>0</v>
      </c>
      <c r="P53" s="434">
        <f>IFERROR(IF(AND(B53&gt;=INDEX('Facility Master'!AA:AA,MATCH(Bajaj_TL_SNo,'Facility Master'!A:A,0)),B53&lt;=INDEX('Facility Master'!AB:AB,MATCH(Bajaj_TL_SNo,'Facility Master'!A:A,0))),MIN(IFERROR(INDEX('Facility Master'!M:M,MATCH(Bajaj_TL_SNo,'Facility Master'!A:A,0))/INDEX('Facility Master'!Y:Y,MATCH(Bajaj_TL_SNo,'Facility Master'!A:A,0)),0),N53+O53),0),0)</f>
        <v>0</v>
      </c>
      <c r="Q53" s="434">
        <f>IFERROR((N53+O53-P53/2)*INDEX('Facility Master'!T:T,MATCH(Bajaj_TL_SNo,'Facility Master'!A:A,0))*IF(B53&lt;INDEX('Facility Master'!Z:Z,MATCH(Bajaj_TL_SNo,'Facility Master'!A:A,0)),0,IF(N53=0,MAX(0,B53-INDEX('Facility Master'!Z:Z,MATCH(Bajaj_TL_SNo,'Facility Master'!A:A,0))),B53-B52))/DaysInYear,0)</f>
        <v>2.5729315068493153E-5</v>
      </c>
      <c r="R53" s="434">
        <f t="shared" si="9"/>
        <v>1.1999999999999999E-3</v>
      </c>
      <c r="S53" s="435">
        <f t="shared" si="10"/>
        <v>6.823404255319149</v>
      </c>
      <c r="T53" s="435">
        <f t="shared" si="11"/>
        <v>0.32750599230545036</v>
      </c>
      <c r="U53" s="435">
        <f t="shared" si="12"/>
        <v>7.1509102476245996</v>
      </c>
      <c r="V53" s="436">
        <f t="shared" si="13"/>
        <v>13.648200000000001</v>
      </c>
    </row>
    <row r="54" spans="1:22" ht="15" customHeight="1" x14ac:dyDescent="0.3">
      <c r="A54" s="201">
        <v>50</v>
      </c>
      <c r="B54" s="202">
        <v>49856</v>
      </c>
      <c r="C54" s="203" t="s">
        <v>232</v>
      </c>
      <c r="D54" s="425">
        <f t="shared" si="14"/>
        <v>0</v>
      </c>
      <c r="E54" s="425">
        <f>IFERROR(IF(AND(INDEX('Facility Master'!Z:Z,MATCH(RBL_TL_SNo,'Facility Master'!A:A,0))&gt;B53,INDEX('Facility Master'!Z:Z,MATCH(RBL_TL_SNo,'Facility Master'!A:A,0))&lt;=B54),INDEX('Facility Master'!M:M,MATCH(RBL_TL_SNo,'Facility Master'!A:A,0)),0),0)</f>
        <v>0</v>
      </c>
      <c r="F54" s="425">
        <f>IFERROR(IF(AND(B54&gt;=INDEX('Facility Master'!AA:AA,MATCH(RBL_TL_SNo,'Facility Master'!A:A,0)),B54&lt;=INDEX('Facility Master'!AB:AB,MATCH(RBL_TL_SNo,'Facility Master'!A:A,0))),MIN(IFERROR(INDEX('Facility Master'!M:M,MATCH(RBL_TL_SNo,'Facility Master'!A:A,0))/INDEX('Facility Master'!Y:Y,MATCH(RBL_TL_SNo,'Facility Master'!A:A,0)),0),D54+E54),0),0)</f>
        <v>0</v>
      </c>
      <c r="G54" s="432">
        <f>IFERROR((D54+E54-F54/2)*INDEX('Facility Master'!T:T,MATCH(RBL_TL_SNo,'Facility Master'!A:A,0))*IF(B54&lt;INDEX('Facility Master'!Z:Z,MATCH(RBL_TL_SNo,'Facility Master'!A:A,0)),0,IF(D54=0,MAX(0,B54-INDEX('Facility Master'!Z:Z,MATCH(RBL_TL_SNo,'Facility Master'!A:A,0))),B54-B53))/DaysInYear,0)</f>
        <v>0</v>
      </c>
      <c r="H54" s="432">
        <f t="shared" si="5"/>
        <v>0</v>
      </c>
      <c r="I54" s="433">
        <f t="shared" si="15"/>
        <v>13.647</v>
      </c>
      <c r="J54" s="433">
        <f>IFERROR(IF(AND(INDEX('Facility Master'!Z:Z,MATCH(YBL_TL_SNo,'Facility Master'!A:A,0))&gt;B53,INDEX('Facility Master'!Z:Z,MATCH(YBL_TL_SNo,'Facility Master'!A:A,0))&lt;=B54),INDEX('Facility Master'!M:M,MATCH(YBL_TL_SNo,'Facility Master'!A:A,0)),0),0)</f>
        <v>0</v>
      </c>
      <c r="K54" s="433">
        <f>IFERROR(IF(AND(B54&gt;=INDEX('Facility Master'!AA:AA,MATCH(YBL_TL_SNo,'Facility Master'!A:A,0)),B54&lt;=INDEX('Facility Master'!AB:AB,MATCH(YBL_TL_SNo,'Facility Master'!A:A,0))),MIN(IFERROR(INDEX('Facility Master'!M:M,MATCH(YBL_TL_SNo,'Facility Master'!A:A,0))/INDEX('Facility Master'!Y:Y,MATCH(YBL_TL_SNo,'Facility Master'!A:A,0)),0),I54+J54),0),0)</f>
        <v>6.823404255319149</v>
      </c>
      <c r="L54" s="433">
        <f>IFERROR((I54+J54-K54/2)*INDEX('Facility Master'!T:T,MATCH(YBL_TL_SNo,'Facility Master'!A:A,0))*IF(B54&lt;INDEX('Facility Master'!Z:Z,MATCH(YBL_TL_SNo,'Facility Master'!A:A,0)),0,IF(I54=0,MAX(0,B54-INDEX('Facility Master'!Z:Z,MATCH(YBL_TL_SNo,'Facility Master'!A:A,0))),B54-B53))/DaysInYear,0)</f>
        <v>0.19648967723695718</v>
      </c>
      <c r="M54" s="433">
        <f t="shared" si="7"/>
        <v>6.8235999999999999</v>
      </c>
      <c r="N54" s="434">
        <f t="shared" si="16"/>
        <v>1.1999999999999999E-3</v>
      </c>
      <c r="O54" s="434">
        <f>IFERROR(IF(AND(INDEX('Facility Master'!Z:Z,MATCH(Bajaj_TL_SNo,'Facility Master'!A:A,0))&gt;B53,INDEX('Facility Master'!Z:Z,MATCH(Bajaj_TL_SNo,'Facility Master'!A:A,0))&lt;=B54),INDEX('Facility Master'!M:M,MATCH(Bajaj_TL_SNo,'Facility Master'!A:A,0)),0),0)</f>
        <v>0</v>
      </c>
      <c r="P54" s="434">
        <f>IFERROR(IF(AND(B54&gt;=INDEX('Facility Master'!AA:AA,MATCH(Bajaj_TL_SNo,'Facility Master'!A:A,0)),B54&lt;=INDEX('Facility Master'!AB:AB,MATCH(Bajaj_TL_SNo,'Facility Master'!A:A,0))),MIN(IFERROR(INDEX('Facility Master'!M:M,MATCH(Bajaj_TL_SNo,'Facility Master'!A:A,0))/INDEX('Facility Master'!Y:Y,MATCH(Bajaj_TL_SNo,'Facility Master'!A:A,0)),0),N54+O54),0),0)</f>
        <v>0</v>
      </c>
      <c r="Q54" s="434">
        <f>IFERROR((N54+O54-P54/2)*INDEX('Facility Master'!T:T,MATCH(Bajaj_TL_SNo,'Facility Master'!A:A,0))*IF(B54&lt;INDEX('Facility Master'!Z:Z,MATCH(Bajaj_TL_SNo,'Facility Master'!A:A,0)),0,IF(N54=0,MAX(0,B54-INDEX('Facility Master'!Z:Z,MATCH(Bajaj_TL_SNo,'Facility Master'!A:A,0))),B54-B53))/DaysInYear,0)</f>
        <v>2.5729315068493153E-5</v>
      </c>
      <c r="R54" s="444">
        <f t="shared" si="9"/>
        <v>1.1999999999999999E-3</v>
      </c>
      <c r="S54" s="426">
        <f t="shared" si="10"/>
        <v>6.823404255319149</v>
      </c>
      <c r="T54" s="426">
        <f t="shared" si="11"/>
        <v>0.19651540655202568</v>
      </c>
      <c r="U54" s="426">
        <f t="shared" si="12"/>
        <v>7.0199196618711746</v>
      </c>
      <c r="V54" s="445">
        <f t="shared" si="13"/>
        <v>6.8247999999999998</v>
      </c>
    </row>
    <row r="55" spans="1:22" ht="15" customHeight="1" x14ac:dyDescent="0.3">
      <c r="A55" s="198">
        <v>51</v>
      </c>
      <c r="B55" s="199">
        <v>49948</v>
      </c>
      <c r="C55" s="200" t="s">
        <v>233</v>
      </c>
      <c r="D55" s="427">
        <f t="shared" si="14"/>
        <v>0</v>
      </c>
      <c r="E55" s="427">
        <f>IFERROR(IF(AND(INDEX('Facility Master'!Z:Z,MATCH(RBL_TL_SNo,'Facility Master'!A:A,0))&gt;B54,INDEX('Facility Master'!Z:Z,MATCH(RBL_TL_SNo,'Facility Master'!A:A,0))&lt;=B55),INDEX('Facility Master'!M:M,MATCH(RBL_TL_SNo,'Facility Master'!A:A,0)),0),0)</f>
        <v>0</v>
      </c>
      <c r="F55" s="427">
        <f>IFERROR(IF(AND(B55&gt;=INDEX('Facility Master'!AA:AA,MATCH(RBL_TL_SNo,'Facility Master'!A:A,0)),B55&lt;=INDEX('Facility Master'!AB:AB,MATCH(RBL_TL_SNo,'Facility Master'!A:A,0))),MIN(IFERROR(INDEX('Facility Master'!M:M,MATCH(RBL_TL_SNo,'Facility Master'!A:A,0))/INDEX('Facility Master'!Y:Y,MATCH(RBL_TL_SNo,'Facility Master'!A:A,0)),0),D55+E55),0),0)</f>
        <v>0</v>
      </c>
      <c r="G55" s="432">
        <f>IFERROR((D55+E55-F55/2)*INDEX('Facility Master'!T:T,MATCH(RBL_TL_SNo,'Facility Master'!A:A,0))*IF(B55&lt;INDEX('Facility Master'!Z:Z,MATCH(RBL_TL_SNo,'Facility Master'!A:A,0)),0,IF(D55=0,MAX(0,B55-INDEX('Facility Master'!Z:Z,MATCH(RBL_TL_SNo,'Facility Master'!A:A,0))),B55-B54))/DaysInYear,0)</f>
        <v>0</v>
      </c>
      <c r="H55" s="432">
        <f t="shared" si="5"/>
        <v>0</v>
      </c>
      <c r="I55" s="433">
        <f t="shared" si="15"/>
        <v>6.8235999999999999</v>
      </c>
      <c r="J55" s="433">
        <f>IFERROR(IF(AND(INDEX('Facility Master'!Z:Z,MATCH(YBL_TL_SNo,'Facility Master'!A:A,0))&gt;B54,INDEX('Facility Master'!Z:Z,MATCH(YBL_TL_SNo,'Facility Master'!A:A,0))&lt;=B55),INDEX('Facility Master'!M:M,MATCH(YBL_TL_SNo,'Facility Master'!A:A,0)),0),0)</f>
        <v>0</v>
      </c>
      <c r="K55" s="433">
        <f>IFERROR(IF(AND(B55&gt;=INDEX('Facility Master'!AA:AA,MATCH(YBL_TL_SNo,'Facility Master'!A:A,0)),B55&lt;=INDEX('Facility Master'!AB:AB,MATCH(YBL_TL_SNo,'Facility Master'!A:A,0))),MIN(IFERROR(INDEX('Facility Master'!M:M,MATCH(YBL_TL_SNo,'Facility Master'!A:A,0))/INDEX('Facility Master'!Y:Y,MATCH(YBL_TL_SNo,'Facility Master'!A:A,0)),0),I55+J55),0),0)</f>
        <v>6.823404255319149</v>
      </c>
      <c r="L55" s="433">
        <f>IFERROR((I55+J55-K55/2)*INDEX('Facility Master'!T:T,MATCH(YBL_TL_SNo,'Facility Master'!A:A,0))*IF(B55&lt;INDEX('Facility Master'!Z:Z,MATCH(YBL_TL_SNo,'Facility Master'!A:A,0)),0,IF(I55=0,MAX(0,B55-INDEX('Facility Master'!Z:Z,MATCH(YBL_TL_SNo,'Facility Master'!A:A,0))),B55-B54))/DaysInYear,0)</f>
        <v>6.6218861719615274E-2</v>
      </c>
      <c r="M55" s="433">
        <f t="shared" si="7"/>
        <v>2.0000000000000001E-4</v>
      </c>
      <c r="N55" s="434">
        <f t="shared" si="16"/>
        <v>1.1999999999999999E-3</v>
      </c>
      <c r="O55" s="434">
        <f>IFERROR(IF(AND(INDEX('Facility Master'!Z:Z,MATCH(Bajaj_TL_SNo,'Facility Master'!A:A,0))&gt;B54,INDEX('Facility Master'!Z:Z,MATCH(Bajaj_TL_SNo,'Facility Master'!A:A,0))&lt;=B55),INDEX('Facility Master'!M:M,MATCH(Bajaj_TL_SNo,'Facility Master'!A:A,0)),0),0)</f>
        <v>0</v>
      </c>
      <c r="P55" s="434">
        <f>IFERROR(IF(AND(B55&gt;=INDEX('Facility Master'!AA:AA,MATCH(Bajaj_TL_SNo,'Facility Master'!A:A,0)),B55&lt;=INDEX('Facility Master'!AB:AB,MATCH(Bajaj_TL_SNo,'Facility Master'!A:A,0))),MIN(IFERROR(INDEX('Facility Master'!M:M,MATCH(Bajaj_TL_SNo,'Facility Master'!A:A,0))/INDEX('Facility Master'!Y:Y,MATCH(Bajaj_TL_SNo,'Facility Master'!A:A,0)),0),N55+O55),0),0)</f>
        <v>0</v>
      </c>
      <c r="Q55" s="434">
        <f>IFERROR((N55+O55-P55/2)*INDEX('Facility Master'!T:T,MATCH(Bajaj_TL_SNo,'Facility Master'!A:A,0))*IF(B55&lt;INDEX('Facility Master'!Z:Z,MATCH(Bajaj_TL_SNo,'Facility Master'!A:A,0)),0,IF(N55=0,MAX(0,B55-INDEX('Facility Master'!Z:Z,MATCH(Bajaj_TL_SNo,'Facility Master'!A:A,0))),B55-B54))/DaysInYear,0)</f>
        <v>2.6012054794520549E-5</v>
      </c>
      <c r="R55" s="444">
        <f t="shared" si="9"/>
        <v>1.1999999999999999E-3</v>
      </c>
      <c r="S55" s="428">
        <f t="shared" si="10"/>
        <v>6.823404255319149</v>
      </c>
      <c r="T55" s="428">
        <f t="shared" si="11"/>
        <v>6.6244873774409796E-2</v>
      </c>
      <c r="U55" s="428">
        <f t="shared" si="12"/>
        <v>6.8896491290935584</v>
      </c>
      <c r="V55" s="445">
        <f t="shared" si="13"/>
        <v>1.4E-3</v>
      </c>
    </row>
    <row r="56" spans="1:22" ht="15" customHeight="1" x14ac:dyDescent="0.3">
      <c r="A56" s="201">
        <v>52</v>
      </c>
      <c r="B56" s="202">
        <v>50040</v>
      </c>
      <c r="C56" s="203" t="s">
        <v>234</v>
      </c>
      <c r="D56" s="425">
        <f t="shared" si="14"/>
        <v>0</v>
      </c>
      <c r="E56" s="425">
        <f>IFERROR(IF(AND(INDEX('Facility Master'!Z:Z,MATCH(RBL_TL_SNo,'Facility Master'!A:A,0))&gt;B55,INDEX('Facility Master'!Z:Z,MATCH(RBL_TL_SNo,'Facility Master'!A:A,0))&lt;=B56),INDEX('Facility Master'!M:M,MATCH(RBL_TL_SNo,'Facility Master'!A:A,0)),0),0)</f>
        <v>0</v>
      </c>
      <c r="F56" s="425">
        <f>IFERROR(IF(AND(B56&gt;=INDEX('Facility Master'!AA:AA,MATCH(RBL_TL_SNo,'Facility Master'!A:A,0)),B56&lt;=INDEX('Facility Master'!AB:AB,MATCH(RBL_TL_SNo,'Facility Master'!A:A,0))),MIN(IFERROR(INDEX('Facility Master'!M:M,MATCH(RBL_TL_SNo,'Facility Master'!A:A,0))/INDEX('Facility Master'!Y:Y,MATCH(RBL_TL_SNo,'Facility Master'!A:A,0)),0),D56+E56),0),0)</f>
        <v>0</v>
      </c>
      <c r="G56" s="432">
        <f>IFERROR((D56+E56-F56/2)*INDEX('Facility Master'!T:T,MATCH(RBL_TL_SNo,'Facility Master'!A:A,0))*IF(B56&lt;INDEX('Facility Master'!Z:Z,MATCH(RBL_TL_SNo,'Facility Master'!A:A,0)),0,IF(D56=0,MAX(0,B56-INDEX('Facility Master'!Z:Z,MATCH(RBL_TL_SNo,'Facility Master'!A:A,0))),B56-B55))/DaysInYear,0)</f>
        <v>0</v>
      </c>
      <c r="H56" s="432">
        <f t="shared" si="5"/>
        <v>0</v>
      </c>
      <c r="I56" s="433">
        <f t="shared" si="15"/>
        <v>2.0000000000000001E-4</v>
      </c>
      <c r="J56" s="433">
        <f>IFERROR(IF(AND(INDEX('Facility Master'!Z:Z,MATCH(YBL_TL_SNo,'Facility Master'!A:A,0))&gt;B55,INDEX('Facility Master'!Z:Z,MATCH(YBL_TL_SNo,'Facility Master'!A:A,0))&lt;=B56),INDEX('Facility Master'!M:M,MATCH(YBL_TL_SNo,'Facility Master'!A:A,0)),0),0)</f>
        <v>0</v>
      </c>
      <c r="K56" s="433">
        <f>IFERROR(IF(AND(B56&gt;=INDEX('Facility Master'!AA:AA,MATCH(YBL_TL_SNo,'Facility Master'!A:A,0)),B56&lt;=INDEX('Facility Master'!AB:AB,MATCH(YBL_TL_SNo,'Facility Master'!A:A,0))),MIN(IFERROR(INDEX('Facility Master'!M:M,MATCH(YBL_TL_SNo,'Facility Master'!A:A,0))/INDEX('Facility Master'!Y:Y,MATCH(YBL_TL_SNo,'Facility Master'!A:A,0)),0),I56+J56),0),0)</f>
        <v>0</v>
      </c>
      <c r="L56" s="433">
        <f>IFERROR((I56+J56-K56/2)*INDEX('Facility Master'!T:T,MATCH(YBL_TL_SNo,'Facility Master'!A:A,0))*IF(B56&lt;INDEX('Facility Master'!Z:Z,MATCH(YBL_TL_SNo,'Facility Master'!A:A,0)),0,IF(I56=0,MAX(0,B56-INDEX('Facility Master'!Z:Z,MATCH(YBL_TL_SNo,'Facility Master'!A:A,0))),B56-B55))/DaysInYear,0)</f>
        <v>3.8816438356164385E-6</v>
      </c>
      <c r="M56" s="433">
        <f t="shared" si="7"/>
        <v>2.0000000000000001E-4</v>
      </c>
      <c r="N56" s="434">
        <f t="shared" si="16"/>
        <v>1.1999999999999999E-3</v>
      </c>
      <c r="O56" s="434">
        <f>IFERROR(IF(AND(INDEX('Facility Master'!Z:Z,MATCH(Bajaj_TL_SNo,'Facility Master'!A:A,0))&gt;B55,INDEX('Facility Master'!Z:Z,MATCH(Bajaj_TL_SNo,'Facility Master'!A:A,0))&lt;=B56),INDEX('Facility Master'!M:M,MATCH(Bajaj_TL_SNo,'Facility Master'!A:A,0)),0),0)</f>
        <v>0</v>
      </c>
      <c r="P56" s="434">
        <f>IFERROR(IF(AND(B56&gt;=INDEX('Facility Master'!AA:AA,MATCH(Bajaj_TL_SNo,'Facility Master'!A:A,0)),B56&lt;=INDEX('Facility Master'!AB:AB,MATCH(Bajaj_TL_SNo,'Facility Master'!A:A,0))),MIN(IFERROR(INDEX('Facility Master'!M:M,MATCH(Bajaj_TL_SNo,'Facility Master'!A:A,0))/INDEX('Facility Master'!Y:Y,MATCH(Bajaj_TL_SNo,'Facility Master'!A:A,0)),0),N56+O56),0),0)</f>
        <v>0</v>
      </c>
      <c r="Q56" s="434">
        <f>IFERROR((N56+O56-P56/2)*INDEX('Facility Master'!T:T,MATCH(Bajaj_TL_SNo,'Facility Master'!A:A,0))*IF(B56&lt;INDEX('Facility Master'!Z:Z,MATCH(Bajaj_TL_SNo,'Facility Master'!A:A,0)),0,IF(N56=0,MAX(0,B56-INDEX('Facility Master'!Z:Z,MATCH(Bajaj_TL_SNo,'Facility Master'!A:A,0))),B56-B55))/DaysInYear,0)</f>
        <v>2.6012054794520549E-5</v>
      </c>
      <c r="R56" s="444">
        <f t="shared" si="9"/>
        <v>1.1999999999999999E-3</v>
      </c>
      <c r="S56" s="426">
        <f t="shared" si="10"/>
        <v>0</v>
      </c>
      <c r="T56" s="426">
        <f t="shared" si="11"/>
        <v>2.9893698630136987E-5</v>
      </c>
      <c r="U56" s="426">
        <f t="shared" si="12"/>
        <v>2.9893698630136987E-5</v>
      </c>
      <c r="V56" s="445">
        <f t="shared" si="13"/>
        <v>1.4E-3</v>
      </c>
    </row>
    <row r="57" spans="1:22" ht="16.95" customHeight="1" thickBot="1" x14ac:dyDescent="0.35">
      <c r="A57" s="437">
        <v>53</v>
      </c>
      <c r="B57" s="438">
        <v>50130</v>
      </c>
      <c r="C57" s="439" t="s">
        <v>235</v>
      </c>
      <c r="D57" s="440">
        <f t="shared" si="14"/>
        <v>0</v>
      </c>
      <c r="E57" s="440">
        <f>IFERROR(IF(AND(INDEX('Facility Master'!Z:Z,MATCH(RBL_TL_SNo,'Facility Master'!A:A,0))&gt;B56,INDEX('Facility Master'!Z:Z,MATCH(RBL_TL_SNo,'Facility Master'!A:A,0))&lt;=B57),INDEX('Facility Master'!M:M,MATCH(RBL_TL_SNo,'Facility Master'!A:A,0)),0),0)</f>
        <v>0</v>
      </c>
      <c r="F57" s="440">
        <f>IFERROR(IF(AND(B57&gt;=INDEX('Facility Master'!AA:AA,MATCH(RBL_TL_SNo,'Facility Master'!A:A,0)),B57&lt;=INDEX('Facility Master'!AB:AB,MATCH(RBL_TL_SNo,'Facility Master'!A:A,0))),MIN(IFERROR(INDEX('Facility Master'!M:M,MATCH(RBL_TL_SNo,'Facility Master'!A:A,0))/INDEX('Facility Master'!Y:Y,MATCH(RBL_TL_SNo,'Facility Master'!A:A,0)),0),D57+E57),0),0)</f>
        <v>0</v>
      </c>
      <c r="G57" s="432">
        <f>IFERROR((D57+E57-F57/2)*INDEX('Facility Master'!T:T,MATCH(RBL_TL_SNo,'Facility Master'!A:A,0))*IF(B57&lt;INDEX('Facility Master'!Z:Z,MATCH(RBL_TL_SNo,'Facility Master'!A:A,0)),0,IF(D57=0,MAX(0,B57-INDEX('Facility Master'!Z:Z,MATCH(RBL_TL_SNo,'Facility Master'!A:A,0))),B57-B56))/DaysInYear,0)</f>
        <v>0</v>
      </c>
      <c r="H57" s="432">
        <f t="shared" si="5"/>
        <v>0</v>
      </c>
      <c r="I57" s="433">
        <f t="shared" si="15"/>
        <v>2.0000000000000001E-4</v>
      </c>
      <c r="J57" s="433">
        <f>IFERROR(IF(AND(INDEX('Facility Master'!Z:Z,MATCH(YBL_TL_SNo,'Facility Master'!A:A,0))&gt;B56,INDEX('Facility Master'!Z:Z,MATCH(YBL_TL_SNo,'Facility Master'!A:A,0))&lt;=B57),INDEX('Facility Master'!M:M,MATCH(YBL_TL_SNo,'Facility Master'!A:A,0)),0),0)</f>
        <v>0</v>
      </c>
      <c r="K57" s="433">
        <f>IFERROR(IF(AND(B57&gt;=INDEX('Facility Master'!AA:AA,MATCH(YBL_TL_SNo,'Facility Master'!A:A,0)),B57&lt;=INDEX('Facility Master'!AB:AB,MATCH(YBL_TL_SNo,'Facility Master'!A:A,0))),MIN(IFERROR(INDEX('Facility Master'!M:M,MATCH(YBL_TL_SNo,'Facility Master'!A:A,0))/INDEX('Facility Master'!Y:Y,MATCH(YBL_TL_SNo,'Facility Master'!A:A,0)),0),I57+J57),0),0)</f>
        <v>0</v>
      </c>
      <c r="L57" s="433">
        <f>IFERROR((I57+J57-K57/2)*INDEX('Facility Master'!T:T,MATCH(YBL_TL_SNo,'Facility Master'!A:A,0))*IF(B57&lt;INDEX('Facility Master'!Z:Z,MATCH(YBL_TL_SNo,'Facility Master'!A:A,0)),0,IF(I57=0,MAX(0,B57-INDEX('Facility Master'!Z:Z,MATCH(YBL_TL_SNo,'Facility Master'!A:A,0))),B57-B56))/DaysInYear,0)</f>
        <v>3.7972602739726029E-6</v>
      </c>
      <c r="M57" s="433">
        <f t="shared" si="7"/>
        <v>2.0000000000000001E-4</v>
      </c>
      <c r="N57" s="434">
        <f t="shared" si="16"/>
        <v>1.1999999999999999E-3</v>
      </c>
      <c r="O57" s="434">
        <f>IFERROR(IF(AND(INDEX('Facility Master'!Z:Z,MATCH(Bajaj_TL_SNo,'Facility Master'!A:A,0))&gt;B56,INDEX('Facility Master'!Z:Z,MATCH(Bajaj_TL_SNo,'Facility Master'!A:A,0))&lt;=B57),INDEX('Facility Master'!M:M,MATCH(Bajaj_TL_SNo,'Facility Master'!A:A,0)),0),0)</f>
        <v>0</v>
      </c>
      <c r="P57" s="434">
        <f>IFERROR(IF(AND(B57&gt;=INDEX('Facility Master'!AA:AA,MATCH(Bajaj_TL_SNo,'Facility Master'!A:A,0)),B57&lt;=INDEX('Facility Master'!AB:AB,MATCH(Bajaj_TL_SNo,'Facility Master'!A:A,0))),MIN(IFERROR(INDEX('Facility Master'!M:M,MATCH(Bajaj_TL_SNo,'Facility Master'!A:A,0))/INDEX('Facility Master'!Y:Y,MATCH(Bajaj_TL_SNo,'Facility Master'!A:A,0)),0),N57+O57),0),0)</f>
        <v>0</v>
      </c>
      <c r="Q57" s="434">
        <f>IFERROR((N57+O57-P57/2)*INDEX('Facility Master'!T:T,MATCH(Bajaj_TL_SNo,'Facility Master'!A:A,0))*IF(B57&lt;INDEX('Facility Master'!Z:Z,MATCH(Bajaj_TL_SNo,'Facility Master'!A:A,0)),0,IF(N57=0,MAX(0,B57-INDEX('Facility Master'!Z:Z,MATCH(Bajaj_TL_SNo,'Facility Master'!A:A,0))),B57-B56))/DaysInYear,0)</f>
        <v>2.5446575342465751E-5</v>
      </c>
      <c r="R57" s="441">
        <f t="shared" si="9"/>
        <v>1.1999999999999999E-3</v>
      </c>
      <c r="S57" s="442">
        <f t="shared" si="10"/>
        <v>0</v>
      </c>
      <c r="T57" s="442">
        <f t="shared" si="11"/>
        <v>2.9243835616438353E-5</v>
      </c>
      <c r="U57" s="442">
        <f t="shared" si="12"/>
        <v>2.9243835616438353E-5</v>
      </c>
      <c r="V57" s="443">
        <f t="shared" si="13"/>
        <v>1.4E-3</v>
      </c>
    </row>
    <row r="58" spans="1:22" ht="6" customHeight="1" x14ac:dyDescent="0.3">
      <c r="A58" s="2"/>
      <c r="B58" s="2"/>
      <c r="C58" s="2"/>
      <c r="D58" s="2"/>
      <c r="E58" s="2"/>
      <c r="F58" s="2"/>
      <c r="G58" s="2"/>
      <c r="H58" s="2"/>
      <c r="I58" s="2"/>
      <c r="J58" s="2"/>
      <c r="K58" s="2"/>
      <c r="L58" s="2"/>
      <c r="M58" s="2"/>
      <c r="N58" s="2"/>
      <c r="O58" s="2"/>
      <c r="P58" s="2"/>
      <c r="Q58" s="2"/>
      <c r="R58" s="2"/>
      <c r="S58" s="2"/>
      <c r="T58" s="2"/>
      <c r="U58" s="2"/>
      <c r="V58" s="2"/>
    </row>
    <row r="59" spans="1:22" ht="18" customHeight="1" x14ac:dyDescent="0.3">
      <c r="A59" s="1362" t="s">
        <v>447</v>
      </c>
      <c r="B59" s="1362"/>
      <c r="C59" s="1362"/>
      <c r="D59" s="1362"/>
      <c r="E59" s="1362"/>
      <c r="F59" s="1362"/>
      <c r="G59" s="1362"/>
      <c r="H59" s="1362"/>
      <c r="I59" s="1362"/>
      <c r="J59" s="1362"/>
      <c r="K59" s="1362"/>
      <c r="L59" s="1362"/>
      <c r="M59" s="1362"/>
      <c r="N59" s="1362"/>
      <c r="O59" s="1362"/>
      <c r="P59" s="1362"/>
      <c r="Q59" s="1362"/>
      <c r="R59" s="1362"/>
      <c r="S59" s="1362"/>
      <c r="T59" s="1362"/>
      <c r="U59" s="1362"/>
      <c r="V59" s="1362"/>
    </row>
    <row r="60" spans="1:22" ht="18" customHeight="1" x14ac:dyDescent="0.3">
      <c r="A60" s="5" t="s">
        <v>52</v>
      </c>
      <c r="B60" s="5" t="s">
        <v>271</v>
      </c>
      <c r="C60" s="5" t="s">
        <v>448</v>
      </c>
      <c r="D60" s="5" t="s">
        <v>449</v>
      </c>
      <c r="E60" s="5" t="s">
        <v>450</v>
      </c>
      <c r="F60" s="5" t="s">
        <v>451</v>
      </c>
      <c r="G60" s="2"/>
      <c r="H60" s="2"/>
      <c r="I60" s="2"/>
      <c r="J60" s="2"/>
      <c r="K60" s="2"/>
      <c r="L60" s="2"/>
      <c r="M60" s="2"/>
      <c r="N60" s="2"/>
      <c r="O60" s="2"/>
      <c r="P60" s="2"/>
      <c r="Q60" s="2"/>
      <c r="R60" s="2"/>
      <c r="S60" s="2"/>
      <c r="T60" s="2"/>
      <c r="U60" s="2"/>
      <c r="V60" s="2"/>
    </row>
    <row r="61" spans="1:22" ht="18" customHeight="1" x14ac:dyDescent="0.3">
      <c r="A61" s="448" t="s">
        <v>61</v>
      </c>
      <c r="B61" s="446">
        <f>IFERROR(INDEX('Facility Master'!M:M,MATCH(RBL_TL_SNo,'Facility Master'!A:A,0)),0)</f>
        <v>200</v>
      </c>
      <c r="C61" s="446">
        <f>IFERROR(SUMIFS(F5:F57,B5:B57,"&lt;="&amp;AsOfDate),0)</f>
        <v>16.666666666666668</v>
      </c>
      <c r="D61" s="446">
        <f>B61-C61</f>
        <v>183.33333333333334</v>
      </c>
      <c r="E61" s="446">
        <f>IFERROR(SUMIFS(G5:G57,B5:B57,"&lt;="&amp;AsOfDate),0)</f>
        <v>42.379109589041086</v>
      </c>
      <c r="F61" s="447">
        <f>IFERROR(INDEX('Facility Master'!T:T,MATCH(RBL_TL_SNo,'Facility Master'!A:A,0)),0)</f>
        <v>9.7500000000000003E-2</v>
      </c>
      <c r="G61" s="2"/>
      <c r="H61" s="2"/>
      <c r="I61" s="2"/>
      <c r="J61" s="2"/>
      <c r="K61" s="2"/>
      <c r="L61" s="2"/>
      <c r="M61" s="2"/>
      <c r="N61" s="2"/>
      <c r="O61" s="2"/>
      <c r="P61" s="2"/>
      <c r="Q61" s="2"/>
      <c r="R61" s="2"/>
      <c r="S61" s="2"/>
      <c r="T61" s="2"/>
      <c r="U61" s="2"/>
      <c r="V61" s="2"/>
    </row>
    <row r="62" spans="1:22" ht="18" customHeight="1" x14ac:dyDescent="0.3">
      <c r="A62" s="451" t="s">
        <v>123</v>
      </c>
      <c r="B62" s="449">
        <f>IFERROR(INDEX('Facility Master'!M:M,MATCH(YBL_TL_SNo,'Facility Master'!A:A,0)),0)</f>
        <v>320.7</v>
      </c>
      <c r="C62" s="449">
        <f>IFERROR(SUMIFS(K5:K57,B5:B57,"&lt;="&amp;AsOfDate),0)</f>
        <v>34.117021276595743</v>
      </c>
      <c r="D62" s="449">
        <f>B62-C62</f>
        <v>286.58297872340427</v>
      </c>
      <c r="E62" s="449">
        <f>IFERROR(SUMIFS(L5:L57,B5:B57,"&lt;="&amp;AsOfDate),0)</f>
        <v>30.158802674403965</v>
      </c>
      <c r="F62" s="450">
        <f>IFERROR(INDEX('Facility Master'!T:T,MATCH(YBL_TL_SNo,'Facility Master'!A:A,0)),0)</f>
        <v>7.6999999999999999E-2</v>
      </c>
      <c r="G62" s="2"/>
      <c r="H62" s="2"/>
      <c r="I62" s="2"/>
      <c r="J62" s="2"/>
      <c r="K62" s="2"/>
      <c r="L62" s="2"/>
      <c r="M62" s="2"/>
      <c r="N62" s="2"/>
      <c r="O62" s="2"/>
      <c r="P62" s="2"/>
      <c r="Q62" s="2"/>
      <c r="R62" s="2"/>
      <c r="S62" s="2"/>
      <c r="T62" s="2"/>
      <c r="U62" s="2"/>
      <c r="V62" s="2"/>
    </row>
    <row r="63" spans="1:22" ht="18" customHeight="1" x14ac:dyDescent="0.3">
      <c r="A63" s="454" t="s">
        <v>137</v>
      </c>
      <c r="B63" s="452">
        <f>IFERROR(INDEX('Facility Master'!M:M,MATCH(Bajaj_TL_SNo,'Facility Master'!A:A,0)),0)</f>
        <v>150</v>
      </c>
      <c r="C63" s="452">
        <f>IFERROR(SUMIFS(P5:P57,B5:B57,"&lt;="&amp;AsOfDate),0)</f>
        <v>0</v>
      </c>
      <c r="D63" s="452">
        <f>B63-C63</f>
        <v>150</v>
      </c>
      <c r="E63" s="452">
        <f>IFERROR(SUMIFS(Q5:Q57,B5:B57,"&lt;="&amp;AsOfDate),0)</f>
        <v>7.9520547945205475</v>
      </c>
      <c r="F63" s="453">
        <f>IFERROR(INDEX('Facility Master'!T:T,MATCH(Bajaj_TL_SNo,'Facility Master'!A:A,0)),0)</f>
        <v>8.6000000000000007E-2</v>
      </c>
      <c r="G63" s="2"/>
      <c r="H63" s="2"/>
      <c r="I63" s="2"/>
      <c r="J63" s="2"/>
      <c r="K63" s="2"/>
      <c r="L63" s="2"/>
      <c r="M63" s="2"/>
      <c r="N63" s="2"/>
      <c r="O63" s="2"/>
      <c r="P63" s="2"/>
      <c r="Q63" s="2"/>
      <c r="R63" s="2"/>
      <c r="S63" s="2"/>
      <c r="T63" s="2"/>
      <c r="U63" s="2"/>
      <c r="V63" s="2"/>
    </row>
    <row r="64" spans="1:22" ht="18" customHeight="1" x14ac:dyDescent="0.3">
      <c r="A64" s="455" t="s">
        <v>174</v>
      </c>
      <c r="B64" s="456">
        <f>SUM(B61:B63)</f>
        <v>670.7</v>
      </c>
      <c r="C64" s="456">
        <f>SUM(C61:C63)</f>
        <v>50.783687943262407</v>
      </c>
      <c r="D64" s="456">
        <f>SUM(D61:D63)</f>
        <v>619.91631205673764</v>
      </c>
      <c r="E64" s="456">
        <f>SUM(E61:E63)</f>
        <v>80.4899670579656</v>
      </c>
      <c r="F64" s="457"/>
      <c r="G64" s="2"/>
      <c r="H64" s="2"/>
      <c r="I64" s="2"/>
      <c r="J64" s="2"/>
      <c r="K64" s="2"/>
      <c r="L64" s="2"/>
      <c r="M64" s="2"/>
      <c r="N64" s="2"/>
      <c r="O64" s="2"/>
      <c r="P64" s="2"/>
      <c r="Q64" s="2"/>
      <c r="R64" s="2"/>
      <c r="S64" s="2"/>
      <c r="T64" s="2"/>
      <c r="U64" s="2"/>
      <c r="V64" s="2"/>
    </row>
    <row r="65" spans="1:26" x14ac:dyDescent="0.3">
      <c r="A65" s="2"/>
      <c r="B65" s="2"/>
      <c r="C65" s="2"/>
      <c r="D65" s="2"/>
      <c r="E65" s="2"/>
      <c r="F65" s="2"/>
      <c r="G65" s="2"/>
      <c r="H65" s="2"/>
      <c r="I65" s="2"/>
      <c r="J65" s="2"/>
      <c r="K65" s="2"/>
      <c r="L65" s="2"/>
      <c r="M65" s="2"/>
      <c r="N65" s="2"/>
      <c r="O65" s="2"/>
      <c r="P65" s="2"/>
      <c r="Q65" s="2"/>
      <c r="R65" s="2"/>
      <c r="S65" s="2"/>
      <c r="T65" s="2"/>
      <c r="U65" s="2"/>
      <c r="V65" s="2"/>
    </row>
    <row r="66" spans="1:26" s="2" customFormat="1" ht="7.95" customHeight="1" x14ac:dyDescent="0.3">
      <c r="W66"/>
      <c r="X66"/>
      <c r="Y66"/>
      <c r="Z66"/>
    </row>
    <row r="67" spans="1:26" ht="27.75" customHeight="1" x14ac:dyDescent="0.3">
      <c r="A67" s="2"/>
      <c r="B67" s="2"/>
      <c r="C67" s="2"/>
      <c r="D67" s="2"/>
      <c r="E67" s="2"/>
      <c r="F67" s="2"/>
      <c r="G67" s="2"/>
      <c r="H67" s="2"/>
      <c r="I67" s="2"/>
      <c r="J67" s="2"/>
      <c r="K67" s="2"/>
      <c r="L67" s="2"/>
      <c r="M67" s="2"/>
      <c r="N67" s="2"/>
      <c r="O67" s="2"/>
      <c r="P67" s="2"/>
      <c r="Q67" s="2"/>
      <c r="R67" s="2"/>
      <c r="S67" s="2"/>
      <c r="T67" s="2"/>
      <c r="U67" s="2"/>
      <c r="V67" s="2"/>
    </row>
    <row r="68" spans="1:26" ht="15" customHeight="1" x14ac:dyDescent="0.3">
      <c r="A68" s="2"/>
      <c r="B68" s="2"/>
      <c r="C68" s="2"/>
      <c r="D68" s="2"/>
      <c r="E68" s="2"/>
      <c r="F68" s="2"/>
      <c r="G68" s="2"/>
      <c r="H68" s="2"/>
      <c r="I68" s="2"/>
      <c r="J68" s="2"/>
      <c r="K68" s="2"/>
      <c r="L68" s="2"/>
      <c r="M68" s="2"/>
      <c r="N68" s="2"/>
      <c r="O68" s="2"/>
      <c r="P68" s="2"/>
      <c r="Q68" s="2"/>
      <c r="R68" s="2"/>
      <c r="S68" s="2"/>
      <c r="T68" s="2"/>
      <c r="U68" s="2"/>
      <c r="V68" s="2"/>
    </row>
    <row r="69" spans="1:26" ht="15" customHeight="1" x14ac:dyDescent="0.3">
      <c r="A69" s="2"/>
      <c r="B69" s="2"/>
      <c r="C69" s="2"/>
      <c r="D69" s="2"/>
      <c r="E69" s="2"/>
      <c r="F69" s="2"/>
      <c r="G69" s="2"/>
      <c r="H69" s="2"/>
      <c r="I69" s="2"/>
      <c r="J69" s="2"/>
      <c r="K69" s="2"/>
      <c r="L69" s="2"/>
      <c r="M69" s="2"/>
      <c r="N69" s="2"/>
      <c r="O69" s="2"/>
      <c r="P69" s="2"/>
      <c r="Q69" s="2"/>
      <c r="R69" s="2"/>
      <c r="S69" s="2"/>
      <c r="T69" s="2"/>
      <c r="U69" s="2"/>
      <c r="V69" s="2"/>
    </row>
    <row r="70" spans="1:26" x14ac:dyDescent="0.3">
      <c r="A70" s="2"/>
      <c r="B70" s="2"/>
      <c r="C70" s="2"/>
      <c r="D70" s="2"/>
      <c r="E70" s="2"/>
      <c r="F70" s="2"/>
      <c r="G70" s="2"/>
      <c r="H70" s="2"/>
      <c r="I70" s="2"/>
      <c r="J70" s="2"/>
      <c r="K70" s="2"/>
      <c r="L70" s="2"/>
      <c r="M70" s="2"/>
      <c r="N70" s="2"/>
      <c r="O70" s="2"/>
      <c r="P70" s="2"/>
      <c r="Q70" s="2"/>
      <c r="R70" s="2"/>
      <c r="S70" s="2"/>
      <c r="T70" s="2"/>
      <c r="U70" s="2"/>
      <c r="V70" s="2"/>
    </row>
    <row r="71" spans="1:26" ht="36" customHeight="1" x14ac:dyDescent="0.3">
      <c r="A71" s="2"/>
      <c r="B71" s="2"/>
      <c r="C71" s="2"/>
      <c r="D71" s="2"/>
      <c r="E71" s="2"/>
      <c r="F71" s="2"/>
      <c r="G71" s="2"/>
      <c r="H71" s="2"/>
      <c r="I71" s="2"/>
      <c r="J71" s="2"/>
      <c r="K71" s="2"/>
      <c r="L71" s="2"/>
      <c r="M71" s="2"/>
      <c r="N71" s="2"/>
      <c r="O71" s="2"/>
      <c r="P71" s="2"/>
      <c r="Q71" s="2"/>
      <c r="R71" s="2"/>
      <c r="S71" s="2"/>
      <c r="T71" s="2"/>
      <c r="U71" s="2"/>
      <c r="V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row>
    <row r="81" spans="1:22" ht="15.75" customHeight="1" x14ac:dyDescent="0.3">
      <c r="A81" s="2"/>
      <c r="B81" s="2"/>
      <c r="C81" s="2"/>
      <c r="D81" s="2"/>
      <c r="E81" s="2"/>
      <c r="F81" s="2"/>
      <c r="G81" s="2"/>
      <c r="H81" s="2"/>
      <c r="I81" s="2"/>
      <c r="J81" s="2"/>
      <c r="K81" s="2"/>
      <c r="L81" s="2"/>
      <c r="M81" s="2"/>
      <c r="N81" s="2"/>
      <c r="O81" s="2"/>
      <c r="P81" s="2"/>
      <c r="Q81" s="2"/>
      <c r="R81" s="2"/>
      <c r="S81" s="2"/>
      <c r="T81" s="2"/>
      <c r="U81" s="2"/>
      <c r="V81" s="2"/>
    </row>
    <row r="82" spans="1:22" ht="15.75" customHeight="1" x14ac:dyDescent="0.3">
      <c r="A82" s="2"/>
      <c r="B82" s="2"/>
      <c r="C82" s="2"/>
      <c r="D82" s="2"/>
      <c r="E82" s="2"/>
      <c r="F82" s="2"/>
      <c r="G82" s="2"/>
      <c r="H82" s="2"/>
      <c r="I82" s="2"/>
      <c r="J82" s="2"/>
      <c r="K82" s="2"/>
      <c r="L82" s="2"/>
      <c r="M82" s="2"/>
      <c r="N82" s="2"/>
      <c r="O82" s="2"/>
      <c r="P82" s="2"/>
      <c r="Q82" s="2"/>
      <c r="R82" s="2"/>
      <c r="S82" s="2"/>
      <c r="T82" s="2"/>
      <c r="U82" s="2"/>
      <c r="V82" s="2"/>
    </row>
    <row r="83" spans="1:22" ht="15.75" customHeight="1" x14ac:dyDescent="0.3">
      <c r="A83" s="2"/>
      <c r="B83" s="2"/>
      <c r="C83" s="2"/>
      <c r="D83" s="2"/>
      <c r="E83" s="2"/>
      <c r="F83" s="2"/>
      <c r="G83" s="2"/>
      <c r="H83" s="2"/>
      <c r="I83" s="2"/>
      <c r="J83" s="2"/>
      <c r="K83" s="2"/>
      <c r="L83" s="2"/>
      <c r="M83" s="2"/>
      <c r="N83" s="2"/>
      <c r="O83" s="2"/>
      <c r="P83" s="2"/>
      <c r="Q83" s="2"/>
      <c r="R83" s="2"/>
      <c r="S83" s="2"/>
      <c r="T83" s="2"/>
      <c r="U83" s="2"/>
      <c r="V83" s="2"/>
    </row>
    <row r="84" spans="1:22" ht="15.75" customHeight="1" x14ac:dyDescent="0.3">
      <c r="A84" s="2"/>
      <c r="B84" s="2"/>
      <c r="C84" s="2"/>
      <c r="D84" s="2"/>
      <c r="E84" s="2"/>
      <c r="F84" s="2"/>
      <c r="G84" s="2"/>
      <c r="H84" s="2"/>
      <c r="I84" s="2"/>
      <c r="J84" s="2"/>
      <c r="K84" s="2"/>
      <c r="L84" s="2"/>
      <c r="M84" s="2"/>
      <c r="N84" s="2"/>
      <c r="O84" s="2"/>
      <c r="P84" s="2"/>
      <c r="Q84" s="2"/>
      <c r="R84" s="2"/>
      <c r="S84" s="2"/>
      <c r="T84" s="2"/>
      <c r="U84" s="2"/>
      <c r="V84" s="2"/>
    </row>
    <row r="85" spans="1:22" ht="15.75" customHeight="1" x14ac:dyDescent="0.3">
      <c r="A85" s="2"/>
      <c r="B85" s="2"/>
      <c r="C85" s="2"/>
      <c r="D85" s="2"/>
      <c r="E85" s="2"/>
      <c r="F85" s="2"/>
      <c r="G85" s="2"/>
      <c r="H85" s="2"/>
      <c r="I85" s="2"/>
      <c r="J85" s="2"/>
      <c r="K85" s="2"/>
      <c r="L85" s="2"/>
      <c r="M85" s="2"/>
      <c r="N85" s="2"/>
      <c r="O85" s="2"/>
      <c r="P85" s="2"/>
      <c r="Q85" s="2"/>
      <c r="R85" s="2"/>
      <c r="S85" s="2"/>
      <c r="T85" s="2"/>
      <c r="U85" s="2"/>
      <c r="V85" s="2"/>
    </row>
    <row r="86" spans="1:22" ht="15.75" customHeight="1" x14ac:dyDescent="0.3">
      <c r="A86" s="2"/>
      <c r="B86" s="2"/>
      <c r="C86" s="2"/>
      <c r="D86" s="2"/>
      <c r="E86" s="2"/>
      <c r="F86" s="2"/>
      <c r="G86" s="2"/>
      <c r="H86" s="2"/>
      <c r="I86" s="2"/>
      <c r="J86" s="2"/>
      <c r="K86" s="2"/>
      <c r="L86" s="2"/>
      <c r="M86" s="2"/>
      <c r="N86" s="2"/>
      <c r="O86" s="2"/>
      <c r="P86" s="2"/>
      <c r="Q86" s="2"/>
      <c r="R86" s="2"/>
      <c r="S86" s="2"/>
      <c r="T86" s="2"/>
      <c r="U86" s="2"/>
      <c r="V86" s="2"/>
    </row>
    <row r="87" spans="1:22" ht="15.75" customHeight="1" x14ac:dyDescent="0.3">
      <c r="A87" s="2"/>
      <c r="B87" s="2"/>
      <c r="C87" s="2"/>
      <c r="D87" s="2"/>
      <c r="E87" s="2"/>
      <c r="F87" s="2"/>
      <c r="G87" s="2"/>
      <c r="H87" s="2"/>
      <c r="I87" s="2"/>
      <c r="J87" s="2"/>
      <c r="K87" s="2"/>
      <c r="L87" s="2"/>
      <c r="M87" s="2"/>
      <c r="N87" s="2"/>
      <c r="O87" s="2"/>
      <c r="P87" s="2"/>
      <c r="Q87" s="2"/>
      <c r="R87" s="2"/>
      <c r="S87" s="2"/>
      <c r="T87" s="2"/>
      <c r="U87" s="2"/>
      <c r="V87" s="2"/>
    </row>
    <row r="88" spans="1:22" ht="15.75" customHeight="1" x14ac:dyDescent="0.3">
      <c r="A88" s="2"/>
      <c r="B88" s="2"/>
      <c r="C88" s="2"/>
      <c r="D88" s="2"/>
      <c r="E88" s="2"/>
      <c r="F88" s="2"/>
      <c r="G88" s="2"/>
      <c r="H88" s="2"/>
      <c r="I88" s="2"/>
      <c r="J88" s="2"/>
      <c r="K88" s="2"/>
      <c r="L88" s="2"/>
      <c r="M88" s="2"/>
      <c r="N88" s="2"/>
      <c r="O88" s="2"/>
      <c r="P88" s="2"/>
      <c r="Q88" s="2"/>
      <c r="R88" s="2"/>
      <c r="S88" s="2"/>
      <c r="T88" s="2"/>
      <c r="U88" s="2"/>
      <c r="V88" s="2"/>
    </row>
    <row r="89" spans="1:22" ht="15.75" customHeight="1" x14ac:dyDescent="0.3">
      <c r="A89" s="2"/>
      <c r="B89" s="2"/>
      <c r="C89" s="2"/>
      <c r="D89" s="2"/>
      <c r="E89" s="2"/>
      <c r="F89" s="2"/>
      <c r="G89" s="2"/>
      <c r="H89" s="2"/>
      <c r="I89" s="2"/>
      <c r="J89" s="2"/>
      <c r="K89" s="2"/>
      <c r="L89" s="2"/>
      <c r="M89" s="2"/>
      <c r="N89" s="2"/>
      <c r="O89" s="2"/>
      <c r="P89" s="2"/>
      <c r="Q89" s="2"/>
      <c r="R89" s="2"/>
      <c r="S89" s="2"/>
      <c r="T89" s="2"/>
      <c r="U89" s="2"/>
      <c r="V89" s="2"/>
    </row>
    <row r="90" spans="1:22" ht="15.75" customHeight="1" x14ac:dyDescent="0.3">
      <c r="A90" s="2"/>
      <c r="B90" s="2"/>
      <c r="C90" s="2"/>
      <c r="D90" s="2"/>
      <c r="E90" s="2"/>
      <c r="F90" s="2"/>
      <c r="G90" s="2"/>
      <c r="H90" s="2"/>
      <c r="I90" s="2"/>
      <c r="J90" s="2"/>
      <c r="K90" s="2"/>
      <c r="L90" s="2"/>
      <c r="M90" s="2"/>
      <c r="N90" s="2"/>
      <c r="O90" s="2"/>
      <c r="P90" s="2"/>
      <c r="Q90" s="2"/>
      <c r="R90" s="2"/>
      <c r="S90" s="2"/>
      <c r="T90" s="2"/>
      <c r="U90" s="2"/>
      <c r="V90" s="2"/>
    </row>
    <row r="91" spans="1:22" ht="15.75" customHeight="1" x14ac:dyDescent="0.3">
      <c r="A91" s="2"/>
      <c r="B91" s="2"/>
      <c r="C91" s="2"/>
      <c r="D91" s="2"/>
      <c r="E91" s="2"/>
      <c r="F91" s="2"/>
      <c r="G91" s="2"/>
      <c r="H91" s="2"/>
      <c r="I91" s="2"/>
      <c r="J91" s="2"/>
      <c r="K91" s="2"/>
      <c r="L91" s="2"/>
      <c r="M91" s="2"/>
      <c r="N91" s="2"/>
      <c r="O91" s="2"/>
      <c r="P91" s="2"/>
      <c r="Q91" s="2"/>
      <c r="R91" s="2"/>
      <c r="S91" s="2"/>
      <c r="T91" s="2"/>
      <c r="U91" s="2"/>
      <c r="V91" s="2"/>
    </row>
    <row r="92" spans="1:22" ht="15.75" customHeight="1" x14ac:dyDescent="0.3">
      <c r="A92" s="2"/>
      <c r="B92" s="2"/>
      <c r="C92" s="2"/>
      <c r="D92" s="2"/>
      <c r="E92" s="2"/>
      <c r="F92" s="2"/>
      <c r="G92" s="2"/>
      <c r="H92" s="2"/>
      <c r="I92" s="2"/>
      <c r="J92" s="2"/>
      <c r="K92" s="2"/>
      <c r="L92" s="2"/>
      <c r="M92" s="2"/>
      <c r="N92" s="2"/>
      <c r="O92" s="2"/>
      <c r="P92" s="2"/>
      <c r="Q92" s="2"/>
      <c r="R92" s="2"/>
      <c r="S92" s="2"/>
      <c r="T92" s="2"/>
      <c r="U92" s="2"/>
      <c r="V92" s="2"/>
    </row>
    <row r="93" spans="1:22" ht="15.75" customHeight="1" x14ac:dyDescent="0.3">
      <c r="A93" s="2"/>
      <c r="B93" s="2"/>
      <c r="C93" s="2"/>
      <c r="D93" s="2"/>
      <c r="E93" s="2"/>
      <c r="F93" s="2"/>
      <c r="G93" s="2"/>
      <c r="H93" s="2"/>
      <c r="I93" s="2"/>
      <c r="J93" s="2"/>
      <c r="K93" s="2"/>
      <c r="L93" s="2"/>
      <c r="M93" s="2"/>
      <c r="N93" s="2"/>
      <c r="O93" s="2"/>
      <c r="P93" s="2"/>
      <c r="Q93" s="2"/>
      <c r="R93" s="2"/>
      <c r="S93" s="2"/>
      <c r="T93" s="2"/>
      <c r="U93" s="2"/>
      <c r="V93" s="2"/>
    </row>
    <row r="94" spans="1:22" ht="15.75" customHeight="1" x14ac:dyDescent="0.3">
      <c r="A94" s="2"/>
      <c r="B94" s="2"/>
      <c r="C94" s="2"/>
      <c r="D94" s="2"/>
      <c r="E94" s="2"/>
      <c r="F94" s="2"/>
      <c r="G94" s="2"/>
      <c r="H94" s="2"/>
      <c r="I94" s="2"/>
      <c r="J94" s="2"/>
      <c r="K94" s="2"/>
      <c r="L94" s="2"/>
      <c r="M94" s="2"/>
      <c r="N94" s="2"/>
      <c r="O94" s="2"/>
      <c r="P94" s="2"/>
      <c r="Q94" s="2"/>
      <c r="R94" s="2"/>
      <c r="S94" s="2"/>
      <c r="T94" s="2"/>
      <c r="U94" s="2"/>
      <c r="V94" s="2"/>
    </row>
    <row r="95" spans="1:22" ht="15.75" customHeight="1" x14ac:dyDescent="0.3">
      <c r="A95" s="2"/>
      <c r="B95" s="2"/>
      <c r="C95" s="2"/>
      <c r="D95" s="2"/>
      <c r="E95" s="2"/>
      <c r="F95" s="2"/>
      <c r="G95" s="2"/>
      <c r="H95" s="2"/>
      <c r="I95" s="2"/>
      <c r="J95" s="2"/>
      <c r="K95" s="2"/>
      <c r="L95" s="2"/>
      <c r="M95" s="2"/>
      <c r="N95" s="2"/>
      <c r="O95" s="2"/>
      <c r="P95" s="2"/>
      <c r="Q95" s="2"/>
      <c r="R95" s="2"/>
      <c r="S95" s="2"/>
      <c r="T95" s="2"/>
      <c r="U95" s="2"/>
      <c r="V95" s="2"/>
    </row>
    <row r="96" spans="1:22" ht="15.75" customHeight="1" x14ac:dyDescent="0.3">
      <c r="A96" s="2"/>
      <c r="B96" s="2"/>
      <c r="C96" s="2"/>
      <c r="D96" s="2"/>
      <c r="E96" s="2"/>
      <c r="F96" s="2"/>
      <c r="G96" s="2"/>
      <c r="H96" s="2"/>
      <c r="I96" s="2"/>
      <c r="J96" s="2"/>
      <c r="K96" s="2"/>
      <c r="L96" s="2"/>
      <c r="M96" s="2"/>
      <c r="N96" s="2"/>
      <c r="O96" s="2"/>
      <c r="P96" s="2"/>
      <c r="Q96" s="2"/>
      <c r="R96" s="2"/>
      <c r="S96" s="2"/>
      <c r="T96" s="2"/>
      <c r="U96" s="2"/>
      <c r="V96" s="2"/>
    </row>
    <row r="97" spans="1:22" ht="15.75" customHeight="1" x14ac:dyDescent="0.3">
      <c r="A97" s="2"/>
      <c r="B97" s="2"/>
      <c r="C97" s="2"/>
      <c r="D97" s="2"/>
      <c r="E97" s="2"/>
      <c r="F97" s="2"/>
      <c r="G97" s="2"/>
      <c r="H97" s="2"/>
      <c r="I97" s="2"/>
      <c r="J97" s="2"/>
      <c r="K97" s="2"/>
      <c r="L97" s="2"/>
      <c r="M97" s="2"/>
      <c r="N97" s="2"/>
      <c r="O97" s="2"/>
      <c r="P97" s="2"/>
      <c r="Q97" s="2"/>
      <c r="R97" s="2"/>
      <c r="S97" s="2"/>
      <c r="T97" s="2"/>
      <c r="U97" s="2"/>
      <c r="V97" s="2"/>
    </row>
    <row r="98" spans="1:22" ht="15.75" customHeight="1" x14ac:dyDescent="0.3">
      <c r="A98" s="2"/>
      <c r="B98" s="2"/>
      <c r="C98" s="2"/>
      <c r="D98" s="2"/>
      <c r="E98" s="2"/>
      <c r="F98" s="2"/>
      <c r="G98" s="2"/>
      <c r="H98" s="2"/>
      <c r="I98" s="2"/>
      <c r="J98" s="2"/>
      <c r="K98" s="2"/>
      <c r="L98" s="2"/>
      <c r="M98" s="2"/>
      <c r="N98" s="2"/>
      <c r="O98" s="2"/>
      <c r="P98" s="2"/>
      <c r="Q98" s="2"/>
      <c r="R98" s="2"/>
      <c r="S98" s="2"/>
      <c r="T98" s="2"/>
      <c r="U98" s="2"/>
      <c r="V98" s="2"/>
    </row>
    <row r="99" spans="1:22" ht="15.75" customHeight="1" x14ac:dyDescent="0.3">
      <c r="A99" s="2"/>
      <c r="B99" s="2"/>
      <c r="C99" s="2"/>
      <c r="D99" s="2"/>
      <c r="E99" s="2"/>
      <c r="F99" s="2"/>
      <c r="G99" s="2"/>
      <c r="H99" s="2"/>
      <c r="I99" s="2"/>
      <c r="J99" s="2"/>
      <c r="K99" s="2"/>
      <c r="L99" s="2"/>
      <c r="M99" s="2"/>
      <c r="N99" s="2"/>
      <c r="O99" s="2"/>
      <c r="P99" s="2"/>
      <c r="Q99" s="2"/>
      <c r="R99" s="2"/>
      <c r="S99" s="2"/>
      <c r="T99" s="2"/>
      <c r="U99" s="2"/>
      <c r="V99" s="2"/>
    </row>
    <row r="100" spans="1:22"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row>
    <row r="101" spans="1:22"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row>
    <row r="102" spans="1:22"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row>
    <row r="103" spans="1:22"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row>
    <row r="104" spans="1:22"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row>
    <row r="105" spans="1:22"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row>
    <row r="106" spans="1:22"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row>
    <row r="107" spans="1:22"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row>
    <row r="108" spans="1:22"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row>
    <row r="109" spans="1:22"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row>
    <row r="110" spans="1:22"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row>
    <row r="111" spans="1:22"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row>
    <row r="112" spans="1:22"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row>
    <row r="125" spans="1:26" ht="19.5" customHeight="1" x14ac:dyDescent="0.3">
      <c r="A125" s="2"/>
      <c r="B125" s="2"/>
      <c r="C125" s="2"/>
      <c r="D125" s="2"/>
      <c r="E125" s="2"/>
      <c r="F125" s="2"/>
      <c r="G125" s="2"/>
      <c r="H125" s="2"/>
      <c r="I125" s="2"/>
      <c r="J125" s="2"/>
      <c r="K125" s="2"/>
      <c r="L125" s="2"/>
      <c r="M125" s="2"/>
      <c r="N125" s="2"/>
      <c r="O125" s="2"/>
      <c r="P125" s="2"/>
      <c r="Q125" s="2"/>
      <c r="R125" s="2"/>
      <c r="S125" s="2"/>
      <c r="T125" s="2"/>
      <c r="U125" s="2"/>
      <c r="V125" s="2"/>
    </row>
    <row r="126" spans="1:26" ht="21.75" customHeight="1" x14ac:dyDescent="0.3">
      <c r="A126" s="2"/>
      <c r="B126" s="2"/>
      <c r="C126" s="2"/>
      <c r="D126" s="2"/>
      <c r="E126" s="2"/>
      <c r="F126" s="2"/>
      <c r="G126" s="2"/>
      <c r="H126" s="2"/>
      <c r="I126" s="2"/>
      <c r="J126" s="2"/>
      <c r="K126" s="2"/>
      <c r="L126" s="2"/>
      <c r="M126" s="2"/>
      <c r="N126" s="2"/>
      <c r="O126" s="2"/>
      <c r="P126" s="2"/>
      <c r="Q126" s="2"/>
      <c r="R126" s="2"/>
      <c r="S126" s="2"/>
      <c r="T126" s="2"/>
      <c r="U126" s="2"/>
      <c r="V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row>
    <row r="128" spans="1:26" s="2" customFormat="1" ht="7.95" customHeight="1" x14ac:dyDescent="0.3">
      <c r="W128"/>
      <c r="X128"/>
      <c r="Y128"/>
      <c r="Z128"/>
    </row>
    <row r="129" spans="1:22" ht="27.75" customHeight="1" x14ac:dyDescent="0.3">
      <c r="A129" s="2"/>
      <c r="B129" s="2"/>
      <c r="C129" s="2"/>
      <c r="D129" s="2"/>
      <c r="E129" s="2"/>
      <c r="F129" s="2"/>
      <c r="G129" s="2"/>
      <c r="H129" s="2"/>
      <c r="I129" s="2"/>
      <c r="J129" s="2"/>
      <c r="K129" s="2"/>
      <c r="L129" s="2"/>
      <c r="M129" s="2"/>
      <c r="N129" s="2"/>
      <c r="O129" s="2"/>
      <c r="P129" s="2"/>
      <c r="Q129" s="2"/>
      <c r="R129" s="2"/>
      <c r="S129" s="2"/>
      <c r="T129" s="2"/>
      <c r="U129" s="2"/>
      <c r="V129" s="2"/>
    </row>
    <row r="130" spans="1:22" ht="15" customHeight="1" x14ac:dyDescent="0.3">
      <c r="A130" s="2"/>
      <c r="B130" s="2"/>
      <c r="C130" s="2"/>
      <c r="D130" s="2"/>
      <c r="E130" s="2"/>
      <c r="F130" s="2"/>
      <c r="G130" s="2"/>
      <c r="H130" s="2"/>
      <c r="I130" s="2"/>
      <c r="J130" s="2"/>
      <c r="K130" s="2"/>
      <c r="L130" s="2"/>
      <c r="M130" s="2"/>
      <c r="N130" s="2"/>
      <c r="O130" s="2"/>
      <c r="P130" s="2"/>
      <c r="Q130" s="2"/>
      <c r="R130" s="2"/>
      <c r="S130" s="2"/>
      <c r="T130" s="2"/>
      <c r="U130" s="2"/>
      <c r="V130" s="2"/>
    </row>
    <row r="131" spans="1:22" ht="15" customHeight="1" x14ac:dyDescent="0.3">
      <c r="A131" s="2"/>
      <c r="B131" s="2"/>
      <c r="C131" s="2"/>
      <c r="D131" s="2"/>
      <c r="E131" s="2"/>
      <c r="F131" s="2"/>
      <c r="G131" s="2"/>
      <c r="H131" s="2"/>
      <c r="I131" s="2"/>
      <c r="J131" s="2"/>
      <c r="K131" s="2"/>
      <c r="L131" s="2"/>
      <c r="M131" s="2"/>
      <c r="N131" s="2"/>
      <c r="O131" s="2"/>
      <c r="P131" s="2"/>
      <c r="Q131" s="2"/>
      <c r="R131" s="2"/>
      <c r="S131" s="2"/>
      <c r="T131" s="2"/>
      <c r="U131" s="2"/>
      <c r="V131" s="2"/>
    </row>
    <row r="132" spans="1:22" x14ac:dyDescent="0.3">
      <c r="A132" s="2"/>
      <c r="B132" s="2"/>
      <c r="C132" s="2"/>
      <c r="D132" s="2"/>
      <c r="E132" s="2"/>
      <c r="F132" s="2"/>
      <c r="G132" s="2"/>
      <c r="H132" s="2"/>
      <c r="I132" s="2"/>
      <c r="J132" s="2"/>
      <c r="K132" s="2"/>
      <c r="L132" s="2"/>
      <c r="M132" s="2"/>
      <c r="N132" s="2"/>
      <c r="O132" s="2"/>
      <c r="P132" s="2"/>
      <c r="Q132" s="2"/>
      <c r="R132" s="2"/>
      <c r="S132" s="2"/>
      <c r="T132" s="2"/>
      <c r="U132" s="2"/>
      <c r="V132" s="2"/>
    </row>
    <row r="133" spans="1:22" ht="36" customHeight="1" x14ac:dyDescent="0.3">
      <c r="A133" s="2"/>
      <c r="B133" s="2"/>
      <c r="C133" s="2"/>
      <c r="D133" s="2"/>
      <c r="E133" s="2"/>
      <c r="F133" s="2"/>
      <c r="G133" s="2"/>
      <c r="H133" s="2"/>
      <c r="I133" s="2"/>
      <c r="J133" s="2"/>
      <c r="K133" s="2"/>
      <c r="L133" s="2"/>
      <c r="M133" s="2"/>
      <c r="N133" s="2"/>
      <c r="O133" s="2"/>
      <c r="P133" s="2"/>
      <c r="Q133" s="2"/>
      <c r="R133" s="2"/>
      <c r="S133" s="2"/>
      <c r="T133" s="2"/>
      <c r="U133" s="2"/>
      <c r="V133" s="2"/>
    </row>
    <row r="134" spans="1:22"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row>
    <row r="135" spans="1:22"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row>
    <row r="136" spans="1:22"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row>
    <row r="137" spans="1:22"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row>
    <row r="138" spans="1:22"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row>
    <row r="139" spans="1:22"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row>
    <row r="140" spans="1:22"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row>
    <row r="141" spans="1:22"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row>
    <row r="142" spans="1:22"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row>
    <row r="143" spans="1:22"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row>
    <row r="144" spans="1:22"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row>
    <row r="145" spans="1:22"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row>
    <row r="146" spans="1:22"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row>
    <row r="147" spans="1:22"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row>
    <row r="148" spans="1:22"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row>
    <row r="149" spans="1:22"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row>
    <row r="150" spans="1:22"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row>
    <row r="151" spans="1:22"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row>
    <row r="152" spans="1:22"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row>
    <row r="153" spans="1:22"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row>
    <row r="154" spans="1:22"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row>
    <row r="155" spans="1:22"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row>
    <row r="156" spans="1:22"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row>
    <row r="157" spans="1:22"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row>
    <row r="158" spans="1:22"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row>
    <row r="159" spans="1:22"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row>
    <row r="160" spans="1:22"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row>
    <row r="161" spans="1:22"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row>
    <row r="162" spans="1:22"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row>
    <row r="163" spans="1:22"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row>
    <row r="164" spans="1:22"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row>
    <row r="165" spans="1:22"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row>
    <row r="166" spans="1:22"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row>
    <row r="167" spans="1:22"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row>
    <row r="168" spans="1:22"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row>
    <row r="169" spans="1:22"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row>
    <row r="170" spans="1:22"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row>
    <row r="171" spans="1:22"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row>
    <row r="172" spans="1:22"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row>
    <row r="173" spans="1:22"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row>
    <row r="174" spans="1:22"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row>
    <row r="175" spans="1:22"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row>
    <row r="176" spans="1:22"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row>
    <row r="177" spans="1:22"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row>
    <row r="178" spans="1:22"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row>
    <row r="179" spans="1:22"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row>
    <row r="180" spans="1:22"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row>
    <row r="181" spans="1:22"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row>
    <row r="182" spans="1:22"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row>
    <row r="183" spans="1:22"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row>
    <row r="184" spans="1:22"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row>
    <row r="185" spans="1:22"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row>
    <row r="186" spans="1:22"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row>
    <row r="187" spans="1:22" ht="19.5" customHeight="1" x14ac:dyDescent="0.3">
      <c r="A187" s="2"/>
      <c r="B187" s="2"/>
      <c r="C187" s="2"/>
      <c r="D187" s="2"/>
      <c r="E187" s="2"/>
      <c r="F187" s="2"/>
      <c r="G187" s="2"/>
      <c r="H187" s="2"/>
      <c r="I187" s="2"/>
      <c r="J187" s="2"/>
      <c r="K187" s="2"/>
      <c r="L187" s="2"/>
      <c r="M187" s="2"/>
      <c r="N187" s="2"/>
      <c r="O187" s="2"/>
      <c r="P187" s="2"/>
      <c r="Q187" s="2"/>
      <c r="R187" s="2"/>
      <c r="S187" s="2"/>
      <c r="T187" s="2"/>
      <c r="U187" s="2"/>
      <c r="V187" s="2"/>
    </row>
    <row r="188" spans="1:22" ht="21.75" customHeight="1" x14ac:dyDescent="0.3">
      <c r="A188" s="2"/>
      <c r="B188" s="2"/>
      <c r="C188" s="2"/>
      <c r="D188" s="2"/>
      <c r="E188" s="2"/>
      <c r="F188" s="2"/>
      <c r="G188" s="2"/>
      <c r="H188" s="2"/>
      <c r="I188" s="2"/>
      <c r="J188" s="2"/>
      <c r="K188" s="2"/>
      <c r="L188" s="2"/>
      <c r="M188" s="2"/>
      <c r="N188" s="2"/>
      <c r="O188" s="2"/>
      <c r="P188" s="2"/>
      <c r="Q188" s="2"/>
      <c r="R188" s="2"/>
      <c r="S188" s="2"/>
      <c r="T188" s="2"/>
      <c r="U188" s="2"/>
      <c r="V188" s="2"/>
    </row>
    <row r="189" spans="1:22" x14ac:dyDescent="0.3">
      <c r="A189" s="2"/>
      <c r="B189" s="2"/>
      <c r="C189" s="2"/>
      <c r="D189" s="2"/>
      <c r="E189" s="2"/>
      <c r="F189" s="2"/>
      <c r="G189" s="2"/>
      <c r="H189" s="2"/>
      <c r="I189" s="2"/>
      <c r="J189" s="2"/>
      <c r="K189" s="2"/>
      <c r="L189" s="2"/>
      <c r="M189" s="2"/>
      <c r="N189" s="2"/>
      <c r="O189" s="2"/>
      <c r="P189" s="2"/>
      <c r="Q189" s="2"/>
      <c r="R189" s="2"/>
      <c r="S189" s="2"/>
      <c r="T189" s="2"/>
      <c r="U189" s="2"/>
      <c r="V189" s="2"/>
    </row>
    <row r="190" spans="1:22" x14ac:dyDescent="0.3">
      <c r="A190" s="2"/>
      <c r="B190" s="2"/>
      <c r="C190" s="2"/>
      <c r="D190" s="2"/>
      <c r="E190" s="2"/>
      <c r="F190" s="2"/>
      <c r="G190" s="2"/>
      <c r="H190" s="2"/>
      <c r="I190" s="2"/>
      <c r="J190" s="2"/>
      <c r="K190" s="2"/>
      <c r="L190" s="2"/>
      <c r="M190" s="2"/>
      <c r="N190" s="2"/>
      <c r="O190" s="2"/>
      <c r="P190" s="2"/>
      <c r="Q190" s="2"/>
      <c r="R190" s="2"/>
      <c r="S190" s="2"/>
      <c r="T190" s="2"/>
      <c r="U190" s="2"/>
      <c r="V190" s="2"/>
    </row>
    <row r="191" spans="1:22" ht="21.75" customHeight="1" x14ac:dyDescent="0.3">
      <c r="A191" s="2"/>
      <c r="B191" s="2"/>
      <c r="C191" s="2"/>
      <c r="D191" s="2"/>
      <c r="E191" s="2"/>
      <c r="F191" s="2"/>
      <c r="G191" s="2"/>
      <c r="H191" s="2"/>
      <c r="I191" s="2"/>
      <c r="J191" s="2"/>
      <c r="K191" s="2"/>
      <c r="L191" s="2"/>
      <c r="M191" s="2"/>
      <c r="N191" s="2"/>
      <c r="O191" s="2"/>
      <c r="P191" s="2"/>
      <c r="Q191" s="2"/>
      <c r="R191" s="2"/>
      <c r="S191" s="2"/>
      <c r="T191" s="2"/>
      <c r="U191" s="2"/>
      <c r="V191" s="2"/>
    </row>
    <row r="192" spans="1:22" ht="36" customHeight="1" x14ac:dyDescent="0.3">
      <c r="A192" s="2"/>
      <c r="B192" s="2"/>
      <c r="C192" s="2"/>
      <c r="D192" s="2"/>
      <c r="E192" s="2"/>
      <c r="F192" s="2"/>
      <c r="G192" s="2"/>
      <c r="H192" s="2"/>
      <c r="I192" s="2"/>
      <c r="J192" s="2"/>
      <c r="K192" s="2"/>
      <c r="L192" s="2"/>
      <c r="M192" s="2"/>
      <c r="N192" s="2"/>
      <c r="O192" s="2"/>
      <c r="P192" s="2"/>
      <c r="Q192" s="2"/>
      <c r="R192" s="2"/>
      <c r="S192" s="2"/>
      <c r="T192" s="2"/>
      <c r="U192" s="2"/>
      <c r="V192" s="2"/>
    </row>
    <row r="193" spans="1:22" ht="15" customHeight="1" x14ac:dyDescent="0.3">
      <c r="A193" s="2"/>
      <c r="B193" s="2"/>
      <c r="C193" s="2"/>
      <c r="D193" s="2"/>
      <c r="E193" s="2"/>
      <c r="F193" s="2"/>
      <c r="G193" s="2"/>
      <c r="H193" s="2"/>
      <c r="I193" s="2"/>
      <c r="J193" s="2"/>
      <c r="K193" s="2"/>
      <c r="L193" s="2"/>
      <c r="M193" s="2"/>
      <c r="N193" s="2"/>
      <c r="O193" s="2"/>
      <c r="P193" s="2"/>
      <c r="Q193" s="2"/>
      <c r="R193" s="2"/>
      <c r="S193" s="2"/>
      <c r="T193" s="2"/>
      <c r="U193" s="2"/>
      <c r="V193" s="2"/>
    </row>
    <row r="194" spans="1:22" ht="15" customHeight="1" x14ac:dyDescent="0.3">
      <c r="A194" s="2"/>
      <c r="B194" s="2"/>
      <c r="C194" s="2"/>
      <c r="D194" s="2"/>
      <c r="E194" s="2"/>
      <c r="F194" s="2"/>
      <c r="G194" s="2"/>
      <c r="H194" s="2"/>
      <c r="I194" s="2"/>
      <c r="J194" s="2"/>
      <c r="K194" s="2"/>
      <c r="L194" s="2"/>
      <c r="M194" s="2"/>
      <c r="N194" s="2"/>
      <c r="O194" s="2"/>
      <c r="P194" s="2"/>
      <c r="Q194" s="2"/>
      <c r="R194" s="2"/>
      <c r="S194" s="2"/>
      <c r="T194" s="2"/>
      <c r="U194" s="2"/>
      <c r="V194" s="2"/>
    </row>
    <row r="195" spans="1:22" ht="15" customHeight="1" x14ac:dyDescent="0.3">
      <c r="A195" s="2"/>
      <c r="B195" s="2"/>
      <c r="C195" s="2"/>
      <c r="D195" s="2"/>
      <c r="E195" s="2"/>
      <c r="F195" s="2"/>
      <c r="G195" s="2"/>
      <c r="H195" s="2"/>
      <c r="I195" s="2"/>
      <c r="J195" s="2"/>
      <c r="K195" s="2"/>
      <c r="L195" s="2"/>
      <c r="M195" s="2"/>
      <c r="N195" s="2"/>
      <c r="O195" s="2"/>
      <c r="P195" s="2"/>
      <c r="Q195" s="2"/>
      <c r="R195" s="2"/>
      <c r="S195" s="2"/>
      <c r="T195" s="2"/>
      <c r="U195" s="2"/>
      <c r="V195" s="2"/>
    </row>
    <row r="196" spans="1:22" ht="15" customHeight="1" x14ac:dyDescent="0.3">
      <c r="A196" s="2"/>
      <c r="B196" s="2"/>
      <c r="C196" s="2"/>
      <c r="D196" s="2"/>
      <c r="E196" s="2"/>
      <c r="F196" s="2"/>
      <c r="G196" s="2"/>
      <c r="H196" s="2"/>
      <c r="I196" s="2"/>
      <c r="J196" s="2"/>
      <c r="K196" s="2"/>
      <c r="L196" s="2"/>
      <c r="M196" s="2"/>
      <c r="N196" s="2"/>
      <c r="O196" s="2"/>
      <c r="P196" s="2"/>
      <c r="Q196" s="2"/>
      <c r="R196" s="2"/>
      <c r="S196" s="2"/>
      <c r="T196" s="2"/>
      <c r="U196" s="2"/>
      <c r="V196" s="2"/>
    </row>
    <row r="197" spans="1:22" ht="15" customHeight="1" x14ac:dyDescent="0.3">
      <c r="A197" s="2"/>
      <c r="B197" s="2"/>
      <c r="C197" s="2"/>
      <c r="D197" s="2"/>
      <c r="E197" s="2"/>
      <c r="F197" s="2"/>
      <c r="G197" s="2"/>
      <c r="H197" s="2"/>
      <c r="I197" s="2"/>
      <c r="J197" s="2"/>
      <c r="K197" s="2"/>
      <c r="L197" s="2"/>
      <c r="M197" s="2"/>
      <c r="N197" s="2"/>
      <c r="O197" s="2"/>
      <c r="P197" s="2"/>
      <c r="Q197" s="2"/>
      <c r="R197" s="2"/>
      <c r="S197" s="2"/>
      <c r="T197" s="2"/>
      <c r="U197" s="2"/>
      <c r="V197" s="2"/>
    </row>
    <row r="198" spans="1:22" ht="15" customHeight="1" x14ac:dyDescent="0.3">
      <c r="A198" s="2"/>
      <c r="B198" s="2"/>
      <c r="C198" s="2"/>
      <c r="D198" s="2"/>
      <c r="E198" s="2"/>
      <c r="F198" s="2"/>
      <c r="G198" s="2"/>
      <c r="H198" s="2"/>
      <c r="I198" s="2"/>
      <c r="J198" s="2"/>
      <c r="K198" s="2"/>
      <c r="L198" s="2"/>
      <c r="M198" s="2"/>
      <c r="N198" s="2"/>
      <c r="O198" s="2"/>
      <c r="P198" s="2"/>
      <c r="Q198" s="2"/>
      <c r="R198" s="2"/>
      <c r="S198" s="2"/>
      <c r="T198" s="2"/>
      <c r="U198" s="2"/>
      <c r="V198" s="2"/>
    </row>
    <row r="199" spans="1:22" ht="15" customHeight="1" x14ac:dyDescent="0.3">
      <c r="A199" s="2"/>
      <c r="B199" s="2"/>
      <c r="C199" s="2"/>
      <c r="D199" s="2"/>
      <c r="E199" s="2"/>
      <c r="F199" s="2"/>
      <c r="G199" s="2"/>
      <c r="H199" s="2"/>
      <c r="I199" s="2"/>
      <c r="J199" s="2"/>
      <c r="K199" s="2"/>
      <c r="L199" s="2"/>
      <c r="M199" s="2"/>
      <c r="N199" s="2"/>
      <c r="O199" s="2"/>
      <c r="P199" s="2"/>
      <c r="Q199" s="2"/>
      <c r="R199" s="2"/>
      <c r="S199" s="2"/>
      <c r="T199" s="2"/>
      <c r="U199" s="2"/>
      <c r="V199" s="2"/>
    </row>
    <row r="200" spans="1:22" ht="15" customHeight="1" x14ac:dyDescent="0.3">
      <c r="A200" s="2"/>
      <c r="B200" s="2"/>
      <c r="C200" s="2"/>
      <c r="D200" s="2"/>
      <c r="E200" s="2"/>
      <c r="F200" s="2"/>
      <c r="G200" s="2"/>
      <c r="H200" s="2"/>
      <c r="I200" s="2"/>
      <c r="J200" s="2"/>
      <c r="K200" s="2"/>
      <c r="L200" s="2"/>
      <c r="M200" s="2"/>
      <c r="N200" s="2"/>
      <c r="O200" s="2"/>
      <c r="P200" s="2"/>
      <c r="Q200" s="2"/>
      <c r="R200" s="2"/>
      <c r="S200" s="2"/>
      <c r="T200" s="2"/>
      <c r="U200" s="2"/>
      <c r="V200" s="2"/>
    </row>
    <row r="201" spans="1:22" ht="15" customHeight="1" x14ac:dyDescent="0.3">
      <c r="A201" s="2"/>
      <c r="B201" s="189">
        <v>9</v>
      </c>
      <c r="C201" s="190">
        <v>46112</v>
      </c>
      <c r="D201" s="189" t="s">
        <v>191</v>
      </c>
      <c r="E201" s="191">
        <f t="shared" ref="E201:E245" si="17">G18+G80+G142</f>
        <v>2.6333863595890414</v>
      </c>
      <c r="F201" s="191">
        <f t="shared" ref="F201:F245" si="18">K18+K80+K142</f>
        <v>6.823404255319149</v>
      </c>
      <c r="G201" s="191">
        <f t="shared" ref="G201:G245" si="19">L18+L80+L142</f>
        <v>4.9121507643602449</v>
      </c>
      <c r="H201" s="191">
        <f t="shared" ref="H201:H245" si="20">H200+E201</f>
        <v>2.6333863595890414</v>
      </c>
      <c r="I201" s="191">
        <f t="shared" ref="I201:I245" si="21">I200+F201</f>
        <v>6.823404255319149</v>
      </c>
      <c r="J201" s="191">
        <f t="shared" ref="J201:J245" si="22">H18+H80+H142</f>
        <v>99.999799999999993</v>
      </c>
      <c r="K201" s="2"/>
      <c r="L201" s="2"/>
      <c r="M201" s="2"/>
      <c r="N201" s="2"/>
      <c r="O201" s="2"/>
      <c r="P201" s="2"/>
      <c r="Q201" s="2"/>
      <c r="R201" s="2"/>
      <c r="S201" s="2"/>
      <c r="T201" s="2"/>
      <c r="U201" s="2"/>
      <c r="V201" s="2"/>
    </row>
    <row r="202" spans="1:22" ht="15" customHeight="1" x14ac:dyDescent="0.3">
      <c r="A202" s="2"/>
      <c r="B202" s="189">
        <v>10</v>
      </c>
      <c r="C202" s="190">
        <v>46203</v>
      </c>
      <c r="D202" s="189" t="s">
        <v>192</v>
      </c>
      <c r="E202" s="191">
        <f t="shared" si="17"/>
        <v>2.2527348109589043</v>
      </c>
      <c r="F202" s="191">
        <f t="shared" si="18"/>
        <v>6.823404255319149</v>
      </c>
      <c r="G202" s="191">
        <f t="shared" si="19"/>
        <v>4.8337004003497519</v>
      </c>
      <c r="H202" s="191">
        <f t="shared" si="20"/>
        <v>4.8861211705479457</v>
      </c>
      <c r="I202" s="191">
        <f t="shared" si="21"/>
        <v>13.646808510638298</v>
      </c>
      <c r="J202" s="191">
        <f t="shared" si="22"/>
        <v>83.333100000000002</v>
      </c>
      <c r="K202" s="2"/>
      <c r="L202" s="2"/>
      <c r="M202" s="2"/>
      <c r="N202" s="2"/>
      <c r="O202" s="2"/>
      <c r="P202" s="2"/>
      <c r="Q202" s="2"/>
      <c r="R202" s="2"/>
      <c r="S202" s="2"/>
      <c r="T202" s="2"/>
      <c r="U202" s="2"/>
      <c r="V202" s="2"/>
    </row>
    <row r="203" spans="1:22" ht="15" customHeight="1" x14ac:dyDescent="0.3">
      <c r="A203" s="2"/>
      <c r="B203" s="189">
        <v>11</v>
      </c>
      <c r="C203" s="190">
        <v>46295</v>
      </c>
      <c r="D203" s="189" t="s">
        <v>193</v>
      </c>
      <c r="E203" s="191">
        <f t="shared" si="17"/>
        <v>1.8431449506849316</v>
      </c>
      <c r="F203" s="191">
        <f t="shared" si="18"/>
        <v>6.823404255319149</v>
      </c>
      <c r="G203" s="191">
        <f t="shared" si="19"/>
        <v>4.7012703576100261</v>
      </c>
      <c r="H203" s="191">
        <f t="shared" si="20"/>
        <v>6.729266121232877</v>
      </c>
      <c r="I203" s="191">
        <f t="shared" si="21"/>
        <v>20.470212765957449</v>
      </c>
      <c r="J203" s="191">
        <f t="shared" si="22"/>
        <v>66.666399999999996</v>
      </c>
      <c r="K203" s="2"/>
      <c r="L203" s="2"/>
      <c r="M203" s="2"/>
      <c r="N203" s="2"/>
      <c r="O203" s="2"/>
      <c r="P203" s="2"/>
      <c r="Q203" s="2"/>
      <c r="R203" s="2"/>
      <c r="S203" s="2"/>
      <c r="T203" s="2"/>
      <c r="U203" s="2"/>
      <c r="V203" s="2"/>
    </row>
    <row r="204" spans="1:22" ht="15" customHeight="1" x14ac:dyDescent="0.3">
      <c r="A204" s="2"/>
      <c r="B204" s="189">
        <v>12</v>
      </c>
      <c r="C204" s="190">
        <v>46387</v>
      </c>
      <c r="D204" s="189" t="s">
        <v>194</v>
      </c>
      <c r="E204" s="191">
        <f t="shared" si="17"/>
        <v>1.4179729698630135</v>
      </c>
      <c r="F204" s="191">
        <f t="shared" si="18"/>
        <v>6.823404255319149</v>
      </c>
      <c r="G204" s="191">
        <f t="shared" si="19"/>
        <v>4.5191790070999707</v>
      </c>
      <c r="H204" s="191">
        <f t="shared" si="20"/>
        <v>8.1472390910958907</v>
      </c>
      <c r="I204" s="191">
        <f t="shared" si="21"/>
        <v>27.293617021276596</v>
      </c>
      <c r="J204" s="191">
        <f t="shared" si="22"/>
        <v>49.999699999999997</v>
      </c>
      <c r="K204" s="2"/>
      <c r="L204" s="2"/>
      <c r="M204" s="2"/>
      <c r="N204" s="2"/>
      <c r="O204" s="2"/>
      <c r="P204" s="2"/>
      <c r="Q204" s="2"/>
      <c r="R204" s="2"/>
      <c r="S204" s="2"/>
      <c r="T204" s="2"/>
      <c r="U204" s="2"/>
      <c r="V204" s="2"/>
    </row>
    <row r="205" spans="1:22" ht="15" customHeight="1" x14ac:dyDescent="0.3">
      <c r="A205" s="2"/>
      <c r="B205" s="189">
        <v>13</v>
      </c>
      <c r="C205" s="190">
        <v>46477</v>
      </c>
      <c r="D205" s="189" t="s">
        <v>195</v>
      </c>
      <c r="E205" s="191">
        <f t="shared" si="17"/>
        <v>1.012835173287671</v>
      </c>
      <c r="F205" s="191">
        <f t="shared" si="18"/>
        <v>6.823404255319149</v>
      </c>
      <c r="G205" s="191">
        <f t="shared" si="19"/>
        <v>4.3881884213465465</v>
      </c>
      <c r="H205" s="191">
        <f t="shared" si="20"/>
        <v>9.160074264383562</v>
      </c>
      <c r="I205" s="191">
        <f t="shared" si="21"/>
        <v>34.117021276595743</v>
      </c>
      <c r="J205" s="191">
        <f t="shared" si="22"/>
        <v>33.332999999999998</v>
      </c>
      <c r="K205" s="2"/>
      <c r="L205" s="2"/>
      <c r="M205" s="2"/>
      <c r="N205" s="2"/>
      <c r="O205" s="2"/>
      <c r="P205" s="2"/>
      <c r="Q205" s="2"/>
      <c r="R205" s="2"/>
      <c r="S205" s="2"/>
      <c r="T205" s="2"/>
      <c r="U205" s="2"/>
      <c r="V205" s="2"/>
    </row>
    <row r="206" spans="1:22" ht="15" customHeight="1" x14ac:dyDescent="0.3">
      <c r="A206" s="2"/>
      <c r="B206" s="189">
        <v>14</v>
      </c>
      <c r="C206" s="190">
        <v>46568</v>
      </c>
      <c r="D206" s="189" t="s">
        <v>196</v>
      </c>
      <c r="E206" s="191">
        <f t="shared" si="17"/>
        <v>0.61437536986301367</v>
      </c>
      <c r="F206" s="191">
        <f t="shared" si="18"/>
        <v>6.823404255319149</v>
      </c>
      <c r="G206" s="191">
        <f t="shared" si="19"/>
        <v>4.3039802293908487</v>
      </c>
      <c r="H206" s="191">
        <f t="shared" si="20"/>
        <v>9.7744496342465759</v>
      </c>
      <c r="I206" s="191">
        <f t="shared" si="21"/>
        <v>40.94042553191489</v>
      </c>
      <c r="J206" s="191">
        <f t="shared" si="22"/>
        <v>16.6663</v>
      </c>
      <c r="K206" s="2"/>
      <c r="L206" s="2"/>
      <c r="M206" s="2"/>
      <c r="N206" s="2"/>
      <c r="O206" s="2"/>
      <c r="P206" s="2"/>
      <c r="Q206" s="2"/>
      <c r="R206" s="2"/>
      <c r="S206" s="2"/>
      <c r="T206" s="2"/>
      <c r="U206" s="2"/>
      <c r="V206" s="2"/>
    </row>
    <row r="207" spans="1:22" ht="15" customHeight="1" x14ac:dyDescent="0.3">
      <c r="A207" s="2"/>
      <c r="B207" s="189">
        <v>15</v>
      </c>
      <c r="C207" s="190">
        <v>46660</v>
      </c>
      <c r="D207" s="189" t="s">
        <v>197</v>
      </c>
      <c r="E207" s="191">
        <f t="shared" si="17"/>
        <v>0.20479001506849315</v>
      </c>
      <c r="F207" s="191">
        <f t="shared" si="18"/>
        <v>6.823404255319149</v>
      </c>
      <c r="G207" s="191">
        <f t="shared" si="19"/>
        <v>4.171550186651122</v>
      </c>
      <c r="H207" s="191">
        <f t="shared" si="20"/>
        <v>9.979239649315069</v>
      </c>
      <c r="I207" s="191">
        <f t="shared" si="21"/>
        <v>47.763829787234037</v>
      </c>
      <c r="J207" s="191">
        <f t="shared" si="22"/>
        <v>0</v>
      </c>
      <c r="K207" s="2"/>
      <c r="L207" s="2"/>
      <c r="M207" s="2"/>
      <c r="N207" s="2"/>
      <c r="O207" s="2"/>
      <c r="P207" s="2"/>
      <c r="Q207" s="2"/>
      <c r="R207" s="2"/>
      <c r="S207" s="2"/>
      <c r="T207" s="2"/>
      <c r="U207" s="2"/>
      <c r="V207" s="2"/>
    </row>
    <row r="208" spans="1:22" ht="15" customHeight="1" x14ac:dyDescent="0.3">
      <c r="A208" s="2"/>
      <c r="B208" s="189">
        <v>16</v>
      </c>
      <c r="C208" s="190">
        <v>46752</v>
      </c>
      <c r="D208" s="189" t="s">
        <v>198</v>
      </c>
      <c r="E208" s="191">
        <f t="shared" si="17"/>
        <v>0</v>
      </c>
      <c r="F208" s="191">
        <f t="shared" si="18"/>
        <v>6.823404255319149</v>
      </c>
      <c r="G208" s="191">
        <f t="shared" si="19"/>
        <v>3.951313184261148</v>
      </c>
      <c r="H208" s="191">
        <f t="shared" si="20"/>
        <v>9.979239649315069</v>
      </c>
      <c r="I208" s="191">
        <f t="shared" si="21"/>
        <v>54.587234042553185</v>
      </c>
      <c r="J208" s="191">
        <f t="shared" si="22"/>
        <v>0</v>
      </c>
      <c r="K208" s="2"/>
      <c r="L208" s="2"/>
      <c r="M208" s="2"/>
      <c r="N208" s="2"/>
      <c r="O208" s="2"/>
      <c r="P208" s="2"/>
      <c r="Q208" s="2"/>
      <c r="R208" s="2"/>
      <c r="S208" s="2"/>
      <c r="T208" s="2"/>
      <c r="U208" s="2"/>
      <c r="V208" s="2"/>
    </row>
    <row r="209" spans="1:22" ht="15" customHeight="1" x14ac:dyDescent="0.3">
      <c r="A209" s="2"/>
      <c r="B209" s="189">
        <v>17</v>
      </c>
      <c r="C209" s="190">
        <v>46843</v>
      </c>
      <c r="D209" s="189" t="s">
        <v>199</v>
      </c>
      <c r="E209" s="191">
        <f t="shared" si="17"/>
        <v>0</v>
      </c>
      <c r="F209" s="191">
        <f t="shared" si="18"/>
        <v>6.823404255319149</v>
      </c>
      <c r="G209" s="191">
        <f t="shared" si="19"/>
        <v>3.8642260783328477</v>
      </c>
      <c r="H209" s="191">
        <f t="shared" si="20"/>
        <v>9.979239649315069</v>
      </c>
      <c r="I209" s="191">
        <f t="shared" si="21"/>
        <v>61.410638297872332</v>
      </c>
      <c r="J209" s="191">
        <f t="shared" si="22"/>
        <v>0</v>
      </c>
      <c r="K209" s="2"/>
      <c r="L209" s="2"/>
      <c r="M209" s="2"/>
      <c r="N209" s="2"/>
      <c r="O209" s="2"/>
      <c r="P209" s="2"/>
      <c r="Q209" s="2"/>
      <c r="R209" s="2"/>
      <c r="S209" s="2"/>
      <c r="T209" s="2"/>
      <c r="U209" s="2"/>
      <c r="V209" s="2"/>
    </row>
    <row r="210" spans="1:22" ht="15" customHeight="1" x14ac:dyDescent="0.3">
      <c r="A210" s="2"/>
      <c r="B210" s="189">
        <v>18</v>
      </c>
      <c r="C210" s="190">
        <v>46934</v>
      </c>
      <c r="D210" s="189" t="s">
        <v>200</v>
      </c>
      <c r="E210" s="191">
        <f t="shared" si="17"/>
        <v>0</v>
      </c>
      <c r="F210" s="191">
        <f t="shared" si="18"/>
        <v>6.823404255319149</v>
      </c>
      <c r="G210" s="191">
        <f t="shared" si="19"/>
        <v>3.7742600584319441</v>
      </c>
      <c r="H210" s="191">
        <f t="shared" si="20"/>
        <v>9.979239649315069</v>
      </c>
      <c r="I210" s="191">
        <f t="shared" si="21"/>
        <v>68.234042553191486</v>
      </c>
      <c r="J210" s="191">
        <f t="shared" si="22"/>
        <v>0</v>
      </c>
      <c r="K210" s="2"/>
      <c r="L210" s="2"/>
      <c r="M210" s="2"/>
      <c r="N210" s="2"/>
      <c r="O210" s="2"/>
      <c r="P210" s="2"/>
      <c r="Q210" s="2"/>
      <c r="R210" s="2"/>
      <c r="S210" s="2"/>
      <c r="T210" s="2"/>
      <c r="U210" s="2"/>
      <c r="V210" s="2"/>
    </row>
    <row r="211" spans="1:22" ht="15" customHeight="1" x14ac:dyDescent="0.3">
      <c r="A211" s="2"/>
      <c r="B211" s="189">
        <v>19</v>
      </c>
      <c r="C211" s="190">
        <v>47026</v>
      </c>
      <c r="D211" s="189" t="s">
        <v>201</v>
      </c>
      <c r="E211" s="191">
        <f t="shared" si="17"/>
        <v>0</v>
      </c>
      <c r="F211" s="191">
        <f t="shared" si="18"/>
        <v>6.823404255319149</v>
      </c>
      <c r="G211" s="191">
        <f t="shared" si="19"/>
        <v>3.6418300156922179</v>
      </c>
      <c r="H211" s="191">
        <f t="shared" si="20"/>
        <v>9.979239649315069</v>
      </c>
      <c r="I211" s="191">
        <f t="shared" si="21"/>
        <v>75.057446808510633</v>
      </c>
      <c r="J211" s="191">
        <f t="shared" si="22"/>
        <v>0</v>
      </c>
      <c r="K211" s="2"/>
      <c r="L211" s="2"/>
      <c r="M211" s="2"/>
      <c r="N211" s="2"/>
      <c r="O211" s="2"/>
      <c r="P211" s="2"/>
      <c r="Q211" s="2"/>
      <c r="R211" s="2"/>
      <c r="S211" s="2"/>
      <c r="T211" s="2"/>
      <c r="U211" s="2"/>
      <c r="V211" s="2"/>
    </row>
    <row r="212" spans="1:22" ht="15" customHeight="1" x14ac:dyDescent="0.3">
      <c r="A212" s="2"/>
      <c r="B212" s="189">
        <v>20</v>
      </c>
      <c r="C212" s="190">
        <v>47118</v>
      </c>
      <c r="D212" s="189" t="s">
        <v>202</v>
      </c>
      <c r="E212" s="191">
        <f t="shared" si="17"/>
        <v>0</v>
      </c>
      <c r="F212" s="191">
        <f t="shared" si="18"/>
        <v>6.823404255319149</v>
      </c>
      <c r="G212" s="191">
        <f t="shared" si="19"/>
        <v>3.4331086691926553</v>
      </c>
      <c r="H212" s="191">
        <f t="shared" si="20"/>
        <v>9.979239649315069</v>
      </c>
      <c r="I212" s="191">
        <f t="shared" si="21"/>
        <v>81.88085106382978</v>
      </c>
      <c r="J212" s="191">
        <f t="shared" si="22"/>
        <v>0</v>
      </c>
      <c r="K212" s="2"/>
      <c r="L212" s="2"/>
      <c r="M212" s="2"/>
      <c r="N212" s="2"/>
      <c r="O212" s="2"/>
      <c r="P212" s="2"/>
      <c r="Q212" s="2"/>
      <c r="R212" s="2"/>
      <c r="S212" s="2"/>
      <c r="T212" s="2"/>
      <c r="U212" s="2"/>
      <c r="V212" s="2"/>
    </row>
    <row r="213" spans="1:22" ht="15" customHeight="1" x14ac:dyDescent="0.3">
      <c r="A213" s="2"/>
      <c r="B213" s="189">
        <v>21</v>
      </c>
      <c r="C213" s="190">
        <v>47208</v>
      </c>
      <c r="D213" s="189" t="s">
        <v>203</v>
      </c>
      <c r="E213" s="191">
        <f t="shared" si="17"/>
        <v>0</v>
      </c>
      <c r="F213" s="191">
        <f t="shared" si="18"/>
        <v>6.823404255319149</v>
      </c>
      <c r="G213" s="191">
        <f t="shared" si="19"/>
        <v>3.3402637353191493</v>
      </c>
      <c r="H213" s="191">
        <f t="shared" si="20"/>
        <v>9.979239649315069</v>
      </c>
      <c r="I213" s="191">
        <f t="shared" si="21"/>
        <v>88.704255319148928</v>
      </c>
      <c r="J213" s="191">
        <f t="shared" si="22"/>
        <v>0</v>
      </c>
      <c r="K213" s="2"/>
      <c r="L213" s="2"/>
      <c r="M213" s="2"/>
      <c r="N213" s="2"/>
      <c r="O213" s="2"/>
      <c r="P213" s="2"/>
      <c r="Q213" s="2"/>
      <c r="R213" s="2"/>
      <c r="S213" s="2"/>
      <c r="T213" s="2"/>
      <c r="U213" s="2"/>
      <c r="V213" s="2"/>
    </row>
    <row r="214" spans="1:22" ht="15" customHeight="1" x14ac:dyDescent="0.3">
      <c r="A214" s="2"/>
      <c r="B214" s="189">
        <v>22</v>
      </c>
      <c r="C214" s="190">
        <v>47299</v>
      </c>
      <c r="D214" s="189" t="s">
        <v>204</v>
      </c>
      <c r="E214" s="191">
        <f t="shared" si="17"/>
        <v>0</v>
      </c>
      <c r="F214" s="191">
        <f t="shared" si="18"/>
        <v>6.823404255319149</v>
      </c>
      <c r="G214" s="191">
        <f t="shared" si="19"/>
        <v>3.2445398874730396</v>
      </c>
      <c r="H214" s="191">
        <f t="shared" si="20"/>
        <v>9.979239649315069</v>
      </c>
      <c r="I214" s="191">
        <f t="shared" si="21"/>
        <v>95.527659574468075</v>
      </c>
      <c r="J214" s="191">
        <f t="shared" si="22"/>
        <v>0</v>
      </c>
      <c r="K214" s="2"/>
      <c r="L214" s="2"/>
      <c r="M214" s="2"/>
      <c r="N214" s="2"/>
      <c r="O214" s="2"/>
      <c r="P214" s="2"/>
      <c r="Q214" s="2"/>
      <c r="R214" s="2"/>
      <c r="S214" s="2"/>
      <c r="T214" s="2"/>
      <c r="U214" s="2"/>
      <c r="V214" s="2"/>
    </row>
    <row r="215" spans="1:22" ht="15" customHeight="1" x14ac:dyDescent="0.3">
      <c r="A215" s="2"/>
      <c r="B215" s="189">
        <v>23</v>
      </c>
      <c r="C215" s="190">
        <v>47391</v>
      </c>
      <c r="D215" s="189" t="s">
        <v>205</v>
      </c>
      <c r="E215" s="191">
        <f t="shared" si="17"/>
        <v>0</v>
      </c>
      <c r="F215" s="191">
        <f t="shared" si="18"/>
        <v>6.823404255319149</v>
      </c>
      <c r="G215" s="191">
        <f t="shared" si="19"/>
        <v>3.1121098447333138</v>
      </c>
      <c r="H215" s="191">
        <f t="shared" si="20"/>
        <v>9.979239649315069</v>
      </c>
      <c r="I215" s="191">
        <f t="shared" si="21"/>
        <v>102.35106382978722</v>
      </c>
      <c r="J215" s="191">
        <f t="shared" si="22"/>
        <v>0</v>
      </c>
      <c r="K215" s="2"/>
      <c r="L215" s="2"/>
      <c r="M215" s="2"/>
      <c r="N215" s="2"/>
      <c r="O215" s="2"/>
      <c r="P215" s="2"/>
      <c r="Q215" s="2"/>
      <c r="R215" s="2"/>
      <c r="S215" s="2"/>
      <c r="T215" s="2"/>
      <c r="U215" s="2"/>
      <c r="V215" s="2"/>
    </row>
    <row r="216" spans="1:22" ht="15" customHeight="1" x14ac:dyDescent="0.3">
      <c r="A216" s="2"/>
      <c r="B216" s="189">
        <v>24</v>
      </c>
      <c r="C216" s="190">
        <v>47483</v>
      </c>
      <c r="D216" s="189" t="s">
        <v>206</v>
      </c>
      <c r="E216" s="191">
        <f t="shared" si="17"/>
        <v>0</v>
      </c>
      <c r="F216" s="191">
        <f t="shared" si="18"/>
        <v>6.823404255319149</v>
      </c>
      <c r="G216" s="191">
        <f t="shared" si="19"/>
        <v>2.9149041541241618</v>
      </c>
      <c r="H216" s="191">
        <f t="shared" si="20"/>
        <v>9.979239649315069</v>
      </c>
      <c r="I216" s="191">
        <f t="shared" si="21"/>
        <v>109.17446808510637</v>
      </c>
      <c r="J216" s="191">
        <f t="shared" si="22"/>
        <v>0</v>
      </c>
      <c r="K216" s="2"/>
      <c r="L216" s="2"/>
      <c r="M216" s="2"/>
      <c r="N216" s="2"/>
      <c r="O216" s="2"/>
      <c r="P216" s="2"/>
      <c r="Q216" s="2"/>
      <c r="R216" s="2"/>
      <c r="S216" s="2"/>
      <c r="T216" s="2"/>
      <c r="U216" s="2"/>
      <c r="V216" s="2"/>
    </row>
    <row r="217" spans="1:22" ht="15" customHeight="1" x14ac:dyDescent="0.3">
      <c r="A217" s="2"/>
      <c r="B217" s="189">
        <v>25</v>
      </c>
      <c r="C217" s="190">
        <v>47573</v>
      </c>
      <c r="D217" s="189" t="s">
        <v>207</v>
      </c>
      <c r="E217" s="191">
        <f t="shared" si="17"/>
        <v>0</v>
      </c>
      <c r="F217" s="191">
        <f t="shared" si="18"/>
        <v>6.823404255319149</v>
      </c>
      <c r="G217" s="191">
        <f t="shared" si="19"/>
        <v>2.8163013923054505</v>
      </c>
      <c r="H217" s="191">
        <f t="shared" si="20"/>
        <v>9.979239649315069</v>
      </c>
      <c r="I217" s="191">
        <f t="shared" si="21"/>
        <v>115.99787234042552</v>
      </c>
      <c r="J217" s="191">
        <f t="shared" si="22"/>
        <v>0</v>
      </c>
      <c r="K217" s="2"/>
      <c r="L217" s="2"/>
      <c r="M217" s="2"/>
      <c r="N217" s="2"/>
      <c r="O217" s="2"/>
      <c r="P217" s="2"/>
      <c r="Q217" s="2"/>
      <c r="R217" s="2"/>
      <c r="S217" s="2"/>
      <c r="T217" s="2"/>
      <c r="U217" s="2"/>
      <c r="V217" s="2"/>
    </row>
    <row r="218" spans="1:22" ht="15" customHeight="1" x14ac:dyDescent="0.3">
      <c r="A218" s="2"/>
      <c r="B218" s="189">
        <v>26</v>
      </c>
      <c r="C218" s="190">
        <v>47664</v>
      </c>
      <c r="D218" s="189" t="s">
        <v>208</v>
      </c>
      <c r="E218" s="191">
        <f t="shared" si="17"/>
        <v>0</v>
      </c>
      <c r="F218" s="191">
        <f t="shared" si="18"/>
        <v>6.823404255319149</v>
      </c>
      <c r="G218" s="191">
        <f t="shared" si="19"/>
        <v>2.7148197165141359</v>
      </c>
      <c r="H218" s="191">
        <f t="shared" si="20"/>
        <v>9.979239649315069</v>
      </c>
      <c r="I218" s="191">
        <f t="shared" si="21"/>
        <v>122.82127659574466</v>
      </c>
      <c r="J218" s="191">
        <f t="shared" si="22"/>
        <v>0</v>
      </c>
      <c r="K218" s="2"/>
      <c r="L218" s="2"/>
      <c r="M218" s="2"/>
      <c r="N218" s="2"/>
      <c r="O218" s="2"/>
      <c r="P218" s="2"/>
      <c r="Q218" s="2"/>
      <c r="R218" s="2"/>
      <c r="S218" s="2"/>
      <c r="T218" s="2"/>
      <c r="U218" s="2"/>
      <c r="V218" s="2"/>
    </row>
    <row r="219" spans="1:22" ht="15" customHeight="1" x14ac:dyDescent="0.3">
      <c r="A219" s="2"/>
      <c r="B219" s="189">
        <v>27</v>
      </c>
      <c r="C219" s="190">
        <v>47756</v>
      </c>
      <c r="D219" s="189" t="s">
        <v>209</v>
      </c>
      <c r="E219" s="191">
        <f t="shared" si="17"/>
        <v>0</v>
      </c>
      <c r="F219" s="191">
        <f t="shared" si="18"/>
        <v>6.823404255319149</v>
      </c>
      <c r="G219" s="191">
        <f t="shared" si="19"/>
        <v>2.5823896737744101</v>
      </c>
      <c r="H219" s="191">
        <f t="shared" si="20"/>
        <v>9.979239649315069</v>
      </c>
      <c r="I219" s="191">
        <f t="shared" si="21"/>
        <v>129.64468085106381</v>
      </c>
      <c r="J219" s="191">
        <f t="shared" si="22"/>
        <v>0</v>
      </c>
      <c r="K219" s="2"/>
      <c r="L219" s="2"/>
      <c r="M219" s="2"/>
      <c r="N219" s="2"/>
      <c r="O219" s="2"/>
      <c r="P219" s="2"/>
      <c r="Q219" s="2"/>
      <c r="R219" s="2"/>
      <c r="S219" s="2"/>
      <c r="T219" s="2"/>
      <c r="U219" s="2"/>
      <c r="V219" s="2"/>
    </row>
    <row r="220" spans="1:22" ht="15" customHeight="1" x14ac:dyDescent="0.3">
      <c r="A220" s="2"/>
      <c r="B220" s="189">
        <v>28</v>
      </c>
      <c r="C220" s="190">
        <v>47848</v>
      </c>
      <c r="D220" s="189" t="s">
        <v>210</v>
      </c>
      <c r="E220" s="191">
        <f t="shared" si="17"/>
        <v>0</v>
      </c>
      <c r="F220" s="191">
        <f t="shared" si="18"/>
        <v>6.823404255319149</v>
      </c>
      <c r="G220" s="191">
        <f t="shared" si="19"/>
        <v>2.4233296350451763</v>
      </c>
      <c r="H220" s="191">
        <f t="shared" si="20"/>
        <v>9.979239649315069</v>
      </c>
      <c r="I220" s="191">
        <f t="shared" si="21"/>
        <v>136.46808510638297</v>
      </c>
      <c r="J220" s="191">
        <f t="shared" si="22"/>
        <v>0</v>
      </c>
      <c r="K220" s="2"/>
      <c r="L220" s="2"/>
      <c r="M220" s="2"/>
      <c r="N220" s="2"/>
      <c r="O220" s="2"/>
      <c r="P220" s="2"/>
      <c r="Q220" s="2"/>
      <c r="R220" s="2"/>
      <c r="S220" s="2"/>
      <c r="T220" s="2"/>
      <c r="U220" s="2"/>
      <c r="V220" s="2"/>
    </row>
    <row r="221" spans="1:22" ht="15" customHeight="1" x14ac:dyDescent="0.3">
      <c r="A221" s="2"/>
      <c r="B221" s="189">
        <v>29</v>
      </c>
      <c r="C221" s="190">
        <v>47938</v>
      </c>
      <c r="D221" s="189" t="s">
        <v>211</v>
      </c>
      <c r="E221" s="191">
        <f t="shared" si="17"/>
        <v>0</v>
      </c>
      <c r="F221" s="191">
        <f t="shared" si="18"/>
        <v>6.823404255319149</v>
      </c>
      <c r="G221" s="191">
        <f t="shared" si="19"/>
        <v>2.2923390492917517</v>
      </c>
      <c r="H221" s="191">
        <f t="shared" si="20"/>
        <v>9.979239649315069</v>
      </c>
      <c r="I221" s="191">
        <f t="shared" si="21"/>
        <v>143.29148936170213</v>
      </c>
      <c r="J221" s="191">
        <f t="shared" si="22"/>
        <v>0</v>
      </c>
      <c r="K221" s="2"/>
      <c r="L221" s="2"/>
      <c r="M221" s="2"/>
      <c r="N221" s="2"/>
      <c r="O221" s="2"/>
      <c r="P221" s="2"/>
      <c r="Q221" s="2"/>
      <c r="R221" s="2"/>
      <c r="S221" s="2"/>
      <c r="T221" s="2"/>
      <c r="U221" s="2"/>
      <c r="V221" s="2"/>
    </row>
    <row r="222" spans="1:22" ht="15" customHeight="1" x14ac:dyDescent="0.3">
      <c r="A222" s="2"/>
      <c r="B222" s="189">
        <v>30</v>
      </c>
      <c r="C222" s="190">
        <v>48029</v>
      </c>
      <c r="D222" s="189" t="s">
        <v>212</v>
      </c>
      <c r="E222" s="191">
        <f t="shared" si="17"/>
        <v>0</v>
      </c>
      <c r="F222" s="191">
        <f t="shared" si="18"/>
        <v>6.823404255319149</v>
      </c>
      <c r="G222" s="191">
        <f t="shared" si="19"/>
        <v>2.1850995455552318</v>
      </c>
      <c r="H222" s="191">
        <f t="shared" si="20"/>
        <v>9.979239649315069</v>
      </c>
      <c r="I222" s="191">
        <f t="shared" si="21"/>
        <v>150.11489361702129</v>
      </c>
      <c r="J222" s="191">
        <f t="shared" si="22"/>
        <v>0</v>
      </c>
      <c r="K222" s="2"/>
      <c r="L222" s="2"/>
      <c r="M222" s="2"/>
      <c r="N222" s="2"/>
      <c r="O222" s="2"/>
      <c r="P222" s="2"/>
      <c r="Q222" s="2"/>
      <c r="R222" s="2"/>
      <c r="S222" s="2"/>
      <c r="T222" s="2"/>
      <c r="U222" s="2"/>
      <c r="V222" s="2"/>
    </row>
    <row r="223" spans="1:22" ht="15" customHeight="1" x14ac:dyDescent="0.3">
      <c r="A223" s="2"/>
      <c r="B223" s="189">
        <v>31</v>
      </c>
      <c r="C223" s="190">
        <v>48121</v>
      </c>
      <c r="D223" s="189" t="s">
        <v>213</v>
      </c>
      <c r="E223" s="191">
        <f t="shared" si="17"/>
        <v>0</v>
      </c>
      <c r="F223" s="191">
        <f t="shared" si="18"/>
        <v>6.823404255319149</v>
      </c>
      <c r="G223" s="191">
        <f t="shared" si="19"/>
        <v>2.0526695028155055</v>
      </c>
      <c r="H223" s="191">
        <f t="shared" si="20"/>
        <v>9.979239649315069</v>
      </c>
      <c r="I223" s="191">
        <f t="shared" si="21"/>
        <v>156.93829787234046</v>
      </c>
      <c r="J223" s="191">
        <f t="shared" si="22"/>
        <v>0</v>
      </c>
      <c r="K223" s="2"/>
      <c r="L223" s="2"/>
      <c r="M223" s="2"/>
      <c r="N223" s="2"/>
      <c r="O223" s="2"/>
      <c r="P223" s="2"/>
      <c r="Q223" s="2"/>
      <c r="R223" s="2"/>
      <c r="S223" s="2"/>
      <c r="T223" s="2"/>
      <c r="U223" s="2"/>
      <c r="V223" s="2"/>
    </row>
    <row r="224" spans="1:22" ht="15" customHeight="1" x14ac:dyDescent="0.3">
      <c r="A224" s="2"/>
      <c r="B224" s="189">
        <v>32</v>
      </c>
      <c r="C224" s="190">
        <v>48213</v>
      </c>
      <c r="D224" s="189" t="s">
        <v>214</v>
      </c>
      <c r="E224" s="191">
        <f t="shared" si="17"/>
        <v>0</v>
      </c>
      <c r="F224" s="191">
        <f t="shared" si="18"/>
        <v>6.823404255319149</v>
      </c>
      <c r="G224" s="191">
        <f t="shared" si="19"/>
        <v>1.8784951239871757</v>
      </c>
      <c r="H224" s="191">
        <f t="shared" si="20"/>
        <v>9.979239649315069</v>
      </c>
      <c r="I224" s="191">
        <f t="shared" si="21"/>
        <v>163.76170212765962</v>
      </c>
      <c r="J224" s="191">
        <f t="shared" si="22"/>
        <v>0</v>
      </c>
      <c r="K224" s="2"/>
      <c r="L224" s="2"/>
      <c r="M224" s="2"/>
      <c r="N224" s="2"/>
      <c r="O224" s="2"/>
      <c r="P224" s="2"/>
      <c r="Q224" s="2"/>
      <c r="R224" s="2"/>
      <c r="S224" s="2"/>
      <c r="T224" s="2"/>
      <c r="U224" s="2"/>
      <c r="V224" s="2"/>
    </row>
    <row r="225" spans="1:22" ht="15" customHeight="1" x14ac:dyDescent="0.3">
      <c r="A225" s="2"/>
      <c r="B225" s="189">
        <v>33</v>
      </c>
      <c r="C225" s="190">
        <v>48304</v>
      </c>
      <c r="D225" s="189" t="s">
        <v>215</v>
      </c>
      <c r="E225" s="191">
        <f t="shared" si="17"/>
        <v>0</v>
      </c>
      <c r="F225" s="191">
        <f t="shared" si="18"/>
        <v>6.823404255319149</v>
      </c>
      <c r="G225" s="191">
        <f t="shared" si="19"/>
        <v>1.7683767062780531</v>
      </c>
      <c r="H225" s="191">
        <f t="shared" si="20"/>
        <v>9.979239649315069</v>
      </c>
      <c r="I225" s="191">
        <f t="shared" si="21"/>
        <v>170.58510638297878</v>
      </c>
      <c r="J225" s="191">
        <f t="shared" si="22"/>
        <v>0</v>
      </c>
      <c r="K225" s="2"/>
      <c r="L225" s="2"/>
      <c r="M225" s="2"/>
      <c r="N225" s="2"/>
      <c r="O225" s="2"/>
      <c r="P225" s="2"/>
      <c r="Q225" s="2"/>
      <c r="R225" s="2"/>
      <c r="S225" s="2"/>
      <c r="T225" s="2"/>
      <c r="U225" s="2"/>
      <c r="V225" s="2"/>
    </row>
    <row r="226" spans="1:22" ht="15" customHeight="1" x14ac:dyDescent="0.3">
      <c r="A226" s="2"/>
      <c r="B226" s="189">
        <v>34</v>
      </c>
      <c r="C226" s="190">
        <v>48395</v>
      </c>
      <c r="D226" s="189" t="s">
        <v>216</v>
      </c>
      <c r="E226" s="191">
        <f t="shared" si="17"/>
        <v>0</v>
      </c>
      <c r="F226" s="191">
        <f t="shared" si="18"/>
        <v>6.823404255319149</v>
      </c>
      <c r="G226" s="191">
        <f t="shared" si="19"/>
        <v>1.6553793745963277</v>
      </c>
      <c r="H226" s="191">
        <f t="shared" si="20"/>
        <v>9.979239649315069</v>
      </c>
      <c r="I226" s="191">
        <f t="shared" si="21"/>
        <v>177.40851063829794</v>
      </c>
      <c r="J226" s="191">
        <f t="shared" si="22"/>
        <v>0</v>
      </c>
      <c r="K226" s="2"/>
      <c r="L226" s="2"/>
      <c r="M226" s="2"/>
      <c r="N226" s="2"/>
      <c r="O226" s="2"/>
      <c r="P226" s="2"/>
      <c r="Q226" s="2"/>
      <c r="R226" s="2"/>
      <c r="S226" s="2"/>
      <c r="T226" s="2"/>
      <c r="U226" s="2"/>
      <c r="V226" s="2"/>
    </row>
    <row r="227" spans="1:22" ht="15" customHeight="1" x14ac:dyDescent="0.3">
      <c r="A227" s="2"/>
      <c r="B227" s="189">
        <v>35</v>
      </c>
      <c r="C227" s="190">
        <v>48487</v>
      </c>
      <c r="D227" s="189" t="s">
        <v>217</v>
      </c>
      <c r="E227" s="191">
        <f t="shared" si="17"/>
        <v>0</v>
      </c>
      <c r="F227" s="191">
        <f t="shared" si="18"/>
        <v>6.823404255319149</v>
      </c>
      <c r="G227" s="191">
        <f t="shared" si="19"/>
        <v>1.5229493318566016</v>
      </c>
      <c r="H227" s="191">
        <f t="shared" si="20"/>
        <v>9.979239649315069</v>
      </c>
      <c r="I227" s="191">
        <f t="shared" si="21"/>
        <v>184.2319148936171</v>
      </c>
      <c r="J227" s="191">
        <f t="shared" si="22"/>
        <v>0</v>
      </c>
      <c r="K227" s="2"/>
      <c r="L227" s="2"/>
      <c r="M227" s="2"/>
      <c r="N227" s="2"/>
      <c r="O227" s="2"/>
      <c r="P227" s="2"/>
      <c r="Q227" s="2"/>
      <c r="R227" s="2"/>
      <c r="S227" s="2"/>
      <c r="T227" s="2"/>
      <c r="U227" s="2"/>
      <c r="V227" s="2"/>
    </row>
    <row r="228" spans="1:22" ht="15" customHeight="1" x14ac:dyDescent="0.3">
      <c r="A228" s="2"/>
      <c r="B228" s="189">
        <v>36</v>
      </c>
      <c r="C228" s="190">
        <v>48579</v>
      </c>
      <c r="D228" s="189" t="s">
        <v>218</v>
      </c>
      <c r="E228" s="191">
        <f t="shared" si="17"/>
        <v>0</v>
      </c>
      <c r="F228" s="191">
        <f t="shared" si="18"/>
        <v>6.823404255319149</v>
      </c>
      <c r="G228" s="191">
        <f t="shared" si="19"/>
        <v>1.3602906089186824</v>
      </c>
      <c r="H228" s="191">
        <f t="shared" si="20"/>
        <v>9.979239649315069</v>
      </c>
      <c r="I228" s="191">
        <f t="shared" si="21"/>
        <v>191.05531914893626</v>
      </c>
      <c r="J228" s="191">
        <f t="shared" si="22"/>
        <v>0</v>
      </c>
      <c r="K228" s="2"/>
      <c r="L228" s="2"/>
      <c r="M228" s="2"/>
      <c r="N228" s="2"/>
      <c r="O228" s="2"/>
      <c r="P228" s="2"/>
      <c r="Q228" s="2"/>
      <c r="R228" s="2"/>
      <c r="S228" s="2"/>
      <c r="T228" s="2"/>
      <c r="U228" s="2"/>
      <c r="V228" s="2"/>
    </row>
    <row r="229" spans="1:22" ht="15" customHeight="1" x14ac:dyDescent="0.3">
      <c r="A229" s="2"/>
      <c r="B229" s="189">
        <v>37</v>
      </c>
      <c r="C229" s="190">
        <v>48669</v>
      </c>
      <c r="D229" s="189" t="s">
        <v>219</v>
      </c>
      <c r="E229" s="191">
        <f t="shared" si="17"/>
        <v>0</v>
      </c>
      <c r="F229" s="191">
        <f t="shared" si="18"/>
        <v>6.823404255319149</v>
      </c>
      <c r="G229" s="191">
        <f t="shared" si="19"/>
        <v>1.2444143632643543</v>
      </c>
      <c r="H229" s="191">
        <f t="shared" si="20"/>
        <v>9.979239649315069</v>
      </c>
      <c r="I229" s="191">
        <f t="shared" si="21"/>
        <v>197.87872340425542</v>
      </c>
      <c r="J229" s="191">
        <f t="shared" si="22"/>
        <v>0</v>
      </c>
      <c r="K229" s="2"/>
      <c r="L229" s="2"/>
      <c r="M229" s="2"/>
      <c r="N229" s="2"/>
      <c r="O229" s="2"/>
      <c r="P229" s="2"/>
      <c r="Q229" s="2"/>
      <c r="R229" s="2"/>
      <c r="S229" s="2"/>
      <c r="T229" s="2"/>
      <c r="U229" s="2"/>
      <c r="V229" s="2"/>
    </row>
    <row r="230" spans="1:22" ht="15" customHeight="1" x14ac:dyDescent="0.3">
      <c r="A230" s="2"/>
      <c r="B230" s="189">
        <v>38</v>
      </c>
      <c r="C230" s="190">
        <v>48760</v>
      </c>
      <c r="D230" s="189" t="s">
        <v>220</v>
      </c>
      <c r="E230" s="191">
        <f t="shared" si="17"/>
        <v>0</v>
      </c>
      <c r="F230" s="191">
        <f t="shared" si="18"/>
        <v>6.823404255319149</v>
      </c>
      <c r="G230" s="191">
        <f t="shared" si="19"/>
        <v>1.1256592036374236</v>
      </c>
      <c r="H230" s="191">
        <f t="shared" si="20"/>
        <v>9.979239649315069</v>
      </c>
      <c r="I230" s="191">
        <f t="shared" si="21"/>
        <v>204.70212765957459</v>
      </c>
      <c r="J230" s="191">
        <f t="shared" si="22"/>
        <v>0</v>
      </c>
      <c r="K230" s="2"/>
      <c r="L230" s="2"/>
      <c r="M230" s="2"/>
      <c r="N230" s="2"/>
      <c r="O230" s="2"/>
      <c r="P230" s="2"/>
      <c r="Q230" s="2"/>
      <c r="R230" s="2"/>
      <c r="S230" s="2"/>
      <c r="T230" s="2"/>
      <c r="U230" s="2"/>
      <c r="V230" s="2"/>
    </row>
    <row r="231" spans="1:22" ht="15" customHeight="1" x14ac:dyDescent="0.3">
      <c r="A231" s="2"/>
      <c r="B231" s="189">
        <v>39</v>
      </c>
      <c r="C231" s="190">
        <v>48852</v>
      </c>
      <c r="D231" s="189" t="s">
        <v>221</v>
      </c>
      <c r="E231" s="191">
        <f t="shared" si="17"/>
        <v>0</v>
      </c>
      <c r="F231" s="191">
        <f t="shared" si="18"/>
        <v>6.823404255319149</v>
      </c>
      <c r="G231" s="191">
        <f t="shared" si="19"/>
        <v>0.99322916089769753</v>
      </c>
      <c r="H231" s="191">
        <f t="shared" si="20"/>
        <v>9.979239649315069</v>
      </c>
      <c r="I231" s="191">
        <f t="shared" si="21"/>
        <v>211.52553191489375</v>
      </c>
      <c r="J231" s="191">
        <f t="shared" si="22"/>
        <v>0</v>
      </c>
      <c r="K231" s="2"/>
      <c r="L231" s="2"/>
      <c r="M231" s="2"/>
      <c r="N231" s="2"/>
      <c r="O231" s="2"/>
      <c r="P231" s="2"/>
      <c r="Q231" s="2"/>
      <c r="R231" s="2"/>
      <c r="S231" s="2"/>
      <c r="T231" s="2"/>
      <c r="U231" s="2"/>
      <c r="V231" s="2"/>
    </row>
    <row r="232" spans="1:22" ht="15" customHeight="1" x14ac:dyDescent="0.3">
      <c r="A232" s="2"/>
      <c r="B232" s="189">
        <v>40</v>
      </c>
      <c r="C232" s="190">
        <v>48944</v>
      </c>
      <c r="D232" s="189" t="s">
        <v>222</v>
      </c>
      <c r="E232" s="191">
        <f t="shared" si="17"/>
        <v>0</v>
      </c>
      <c r="F232" s="191">
        <f t="shared" si="18"/>
        <v>6.823404255319149</v>
      </c>
      <c r="G232" s="191">
        <f t="shared" si="19"/>
        <v>0.84208609385018962</v>
      </c>
      <c r="H232" s="191">
        <f t="shared" si="20"/>
        <v>9.979239649315069</v>
      </c>
      <c r="I232" s="191">
        <f t="shared" si="21"/>
        <v>218.34893617021291</v>
      </c>
      <c r="J232" s="191">
        <f t="shared" si="22"/>
        <v>0</v>
      </c>
      <c r="K232" s="2"/>
      <c r="L232" s="2"/>
      <c r="M232" s="2"/>
      <c r="N232" s="2"/>
      <c r="O232" s="2"/>
      <c r="P232" s="2"/>
      <c r="Q232" s="2"/>
      <c r="R232" s="2"/>
      <c r="S232" s="2"/>
      <c r="T232" s="2"/>
      <c r="U232" s="2"/>
      <c r="V232" s="2"/>
    </row>
    <row r="233" spans="1:22" ht="15" customHeight="1" x14ac:dyDescent="0.3">
      <c r="A233" s="2"/>
      <c r="B233" s="189">
        <v>41</v>
      </c>
      <c r="C233" s="190">
        <v>49034</v>
      </c>
      <c r="D233" s="189" t="s">
        <v>223</v>
      </c>
      <c r="E233" s="191">
        <f t="shared" si="17"/>
        <v>0</v>
      </c>
      <c r="F233" s="191">
        <f t="shared" si="18"/>
        <v>6.823404255319149</v>
      </c>
      <c r="G233" s="191">
        <f t="shared" si="19"/>
        <v>0.72045202025065591</v>
      </c>
      <c r="H233" s="191">
        <f t="shared" si="20"/>
        <v>9.979239649315069</v>
      </c>
      <c r="I233" s="191">
        <f t="shared" si="21"/>
        <v>225.17234042553207</v>
      </c>
      <c r="J233" s="191">
        <f t="shared" si="22"/>
        <v>0</v>
      </c>
      <c r="K233" s="2"/>
      <c r="L233" s="2"/>
      <c r="M233" s="2"/>
      <c r="N233" s="2"/>
      <c r="O233" s="2"/>
      <c r="P233" s="2"/>
      <c r="Q233" s="2"/>
      <c r="R233" s="2"/>
      <c r="S233" s="2"/>
      <c r="T233" s="2"/>
      <c r="U233" s="2"/>
      <c r="V233" s="2"/>
    </row>
    <row r="234" spans="1:22" ht="15" customHeight="1" x14ac:dyDescent="0.3">
      <c r="A234" s="2"/>
      <c r="B234" s="189">
        <v>42</v>
      </c>
      <c r="C234" s="190">
        <v>49125</v>
      </c>
      <c r="D234" s="189" t="s">
        <v>224</v>
      </c>
      <c r="E234" s="191">
        <f t="shared" si="17"/>
        <v>0</v>
      </c>
      <c r="F234" s="191">
        <f t="shared" si="18"/>
        <v>6.823404255319149</v>
      </c>
      <c r="G234" s="191">
        <f t="shared" si="19"/>
        <v>0.59593903267851933</v>
      </c>
      <c r="H234" s="191">
        <f t="shared" si="20"/>
        <v>9.979239649315069</v>
      </c>
      <c r="I234" s="191">
        <f t="shared" si="21"/>
        <v>231.99574468085123</v>
      </c>
      <c r="J234" s="191">
        <f t="shared" si="22"/>
        <v>0</v>
      </c>
      <c r="K234" s="2"/>
      <c r="L234" s="2"/>
      <c r="M234" s="2"/>
      <c r="N234" s="2"/>
      <c r="O234" s="2"/>
      <c r="P234" s="2"/>
      <c r="Q234" s="2"/>
      <c r="R234" s="2"/>
      <c r="S234" s="2"/>
      <c r="T234" s="2"/>
      <c r="U234" s="2"/>
      <c r="V234" s="2"/>
    </row>
    <row r="235" spans="1:22" ht="15" customHeight="1" x14ac:dyDescent="0.3">
      <c r="A235" s="2"/>
      <c r="B235" s="189">
        <v>43</v>
      </c>
      <c r="C235" s="190">
        <v>49217</v>
      </c>
      <c r="D235" s="189" t="s">
        <v>225</v>
      </c>
      <c r="E235" s="191">
        <f t="shared" si="17"/>
        <v>0</v>
      </c>
      <c r="F235" s="191">
        <f t="shared" si="18"/>
        <v>6.823404255319149</v>
      </c>
      <c r="G235" s="191">
        <f t="shared" si="19"/>
        <v>0.46350898993879341</v>
      </c>
      <c r="H235" s="191">
        <f t="shared" si="20"/>
        <v>9.979239649315069</v>
      </c>
      <c r="I235" s="191">
        <f t="shared" si="21"/>
        <v>238.81914893617039</v>
      </c>
      <c r="J235" s="191">
        <f t="shared" si="22"/>
        <v>0</v>
      </c>
      <c r="K235" s="2"/>
      <c r="L235" s="2"/>
      <c r="M235" s="2"/>
      <c r="N235" s="2"/>
      <c r="O235" s="2"/>
      <c r="P235" s="2"/>
      <c r="Q235" s="2"/>
      <c r="R235" s="2"/>
      <c r="S235" s="2"/>
      <c r="T235" s="2"/>
      <c r="U235" s="2"/>
      <c r="V235" s="2"/>
    </row>
    <row r="236" spans="1:22" ht="15" customHeight="1" x14ac:dyDescent="0.3">
      <c r="A236" s="2"/>
      <c r="B236" s="189">
        <v>44</v>
      </c>
      <c r="C236" s="190">
        <v>49309</v>
      </c>
      <c r="D236" s="189" t="s">
        <v>226</v>
      </c>
      <c r="E236" s="191">
        <f t="shared" si="17"/>
        <v>0</v>
      </c>
      <c r="F236" s="191">
        <f t="shared" si="18"/>
        <v>6.823404255319149</v>
      </c>
      <c r="G236" s="191">
        <f t="shared" si="19"/>
        <v>0.32748026299038185</v>
      </c>
      <c r="H236" s="191">
        <f t="shared" si="20"/>
        <v>9.979239649315069</v>
      </c>
      <c r="I236" s="191">
        <f t="shared" si="21"/>
        <v>245.64255319148955</v>
      </c>
      <c r="J236" s="191">
        <f t="shared" si="22"/>
        <v>0</v>
      </c>
      <c r="K236" s="2"/>
      <c r="L236" s="2"/>
      <c r="M236" s="2"/>
      <c r="N236" s="2"/>
      <c r="O236" s="2"/>
      <c r="P236" s="2"/>
      <c r="Q236" s="2"/>
      <c r="R236" s="2"/>
      <c r="S236" s="2"/>
      <c r="T236" s="2"/>
      <c r="U236" s="2"/>
      <c r="V236" s="2"/>
    </row>
    <row r="237" spans="1:22" ht="15" customHeight="1" x14ac:dyDescent="0.3">
      <c r="A237" s="2"/>
      <c r="B237" s="189">
        <v>45</v>
      </c>
      <c r="C237" s="190">
        <v>49399</v>
      </c>
      <c r="D237" s="189" t="s">
        <v>227</v>
      </c>
      <c r="E237" s="191">
        <f t="shared" si="17"/>
        <v>0</v>
      </c>
      <c r="F237" s="191">
        <f t="shared" si="18"/>
        <v>6.823404255319149</v>
      </c>
      <c r="G237" s="191">
        <f t="shared" si="19"/>
        <v>0.19648967723695718</v>
      </c>
      <c r="H237" s="191">
        <f t="shared" si="20"/>
        <v>9.979239649315069</v>
      </c>
      <c r="I237" s="191">
        <f t="shared" si="21"/>
        <v>252.46595744680872</v>
      </c>
      <c r="J237" s="191">
        <f t="shared" si="22"/>
        <v>0</v>
      </c>
      <c r="K237" s="2"/>
      <c r="L237" s="2"/>
      <c r="M237" s="2"/>
      <c r="N237" s="2"/>
      <c r="O237" s="2"/>
      <c r="P237" s="2"/>
      <c r="Q237" s="2"/>
      <c r="R237" s="2"/>
      <c r="S237" s="2"/>
      <c r="T237" s="2"/>
      <c r="U237" s="2"/>
      <c r="V237" s="2"/>
    </row>
    <row r="238" spans="1:22" ht="15" customHeight="1" x14ac:dyDescent="0.3">
      <c r="A238" s="2"/>
      <c r="B238" s="189">
        <v>46</v>
      </c>
      <c r="C238" s="190">
        <v>49490</v>
      </c>
      <c r="D238" s="189" t="s">
        <v>228</v>
      </c>
      <c r="E238" s="191">
        <f t="shared" si="17"/>
        <v>0</v>
      </c>
      <c r="F238" s="191">
        <f t="shared" si="18"/>
        <v>6.823404255319149</v>
      </c>
      <c r="G238" s="191">
        <f t="shared" si="19"/>
        <v>6.6218861719615274E-2</v>
      </c>
      <c r="H238" s="191">
        <f t="shared" si="20"/>
        <v>9.979239649315069</v>
      </c>
      <c r="I238" s="191">
        <f t="shared" si="21"/>
        <v>259.28936170212785</v>
      </c>
      <c r="J238" s="191">
        <f t="shared" si="22"/>
        <v>0</v>
      </c>
      <c r="K238" s="2"/>
      <c r="L238" s="2"/>
      <c r="M238" s="2"/>
      <c r="N238" s="2"/>
      <c r="O238" s="2"/>
      <c r="P238" s="2"/>
      <c r="Q238" s="2"/>
      <c r="R238" s="2"/>
      <c r="S238" s="2"/>
      <c r="T238" s="2"/>
      <c r="U238" s="2"/>
      <c r="V238" s="2"/>
    </row>
    <row r="239" spans="1:22" ht="15" customHeight="1" x14ac:dyDescent="0.3">
      <c r="A239" s="2"/>
      <c r="B239" s="189">
        <v>47</v>
      </c>
      <c r="C239" s="190">
        <v>49582</v>
      </c>
      <c r="D239" s="189" t="s">
        <v>229</v>
      </c>
      <c r="E239" s="191">
        <f t="shared" si="17"/>
        <v>0</v>
      </c>
      <c r="F239" s="191">
        <f t="shared" si="18"/>
        <v>0</v>
      </c>
      <c r="G239" s="191">
        <f t="shared" si="19"/>
        <v>3.8816438356164385E-6</v>
      </c>
      <c r="H239" s="191">
        <f t="shared" si="20"/>
        <v>9.979239649315069</v>
      </c>
      <c r="I239" s="191">
        <f t="shared" si="21"/>
        <v>259.28936170212785</v>
      </c>
      <c r="J239" s="191">
        <f t="shared" si="22"/>
        <v>0</v>
      </c>
      <c r="K239" s="2"/>
      <c r="L239" s="2"/>
      <c r="M239" s="2"/>
      <c r="N239" s="2"/>
      <c r="O239" s="2"/>
      <c r="P239" s="2"/>
      <c r="Q239" s="2"/>
      <c r="R239" s="2"/>
      <c r="S239" s="2"/>
      <c r="T239" s="2"/>
      <c r="U239" s="2"/>
      <c r="V239" s="2"/>
    </row>
    <row r="240" spans="1:22" ht="15" customHeight="1" x14ac:dyDescent="0.3">
      <c r="A240" s="2"/>
      <c r="B240" s="189">
        <v>48</v>
      </c>
      <c r="C240" s="190">
        <v>49674</v>
      </c>
      <c r="D240" s="189" t="s">
        <v>230</v>
      </c>
      <c r="E240" s="191">
        <f t="shared" si="17"/>
        <v>0</v>
      </c>
      <c r="F240" s="191">
        <f t="shared" si="18"/>
        <v>0</v>
      </c>
      <c r="G240" s="191">
        <f t="shared" si="19"/>
        <v>3.7972602739726029E-6</v>
      </c>
      <c r="H240" s="191">
        <f t="shared" si="20"/>
        <v>9.979239649315069</v>
      </c>
      <c r="I240" s="191">
        <f t="shared" si="21"/>
        <v>259.28936170212785</v>
      </c>
      <c r="J240" s="191">
        <f t="shared" si="22"/>
        <v>0</v>
      </c>
      <c r="K240" s="2"/>
      <c r="L240" s="2"/>
      <c r="M240" s="2"/>
      <c r="N240" s="2"/>
      <c r="O240" s="2"/>
      <c r="P240" s="2"/>
      <c r="Q240" s="2"/>
      <c r="R240" s="2"/>
      <c r="S240" s="2"/>
      <c r="T240" s="2"/>
      <c r="U240" s="2"/>
      <c r="V240" s="2"/>
    </row>
    <row r="241" spans="1:22" ht="15" customHeight="1" x14ac:dyDescent="0.3">
      <c r="A241" s="2"/>
      <c r="B241" s="189">
        <v>49</v>
      </c>
      <c r="C241" s="190">
        <v>49765</v>
      </c>
      <c r="D241" s="189" t="s">
        <v>231</v>
      </c>
      <c r="E241" s="191">
        <f t="shared" si="17"/>
        <v>0</v>
      </c>
      <c r="F241" s="191">
        <f t="shared" si="18"/>
        <v>0</v>
      </c>
      <c r="G241" s="191">
        <f t="shared" si="19"/>
        <v>0</v>
      </c>
      <c r="H241" s="191">
        <f t="shared" si="20"/>
        <v>9.979239649315069</v>
      </c>
      <c r="I241" s="191">
        <f t="shared" si="21"/>
        <v>259.28936170212785</v>
      </c>
      <c r="J241" s="191">
        <f t="shared" si="22"/>
        <v>0</v>
      </c>
      <c r="K241" s="2"/>
      <c r="L241" s="2"/>
      <c r="M241" s="2"/>
      <c r="N241" s="2"/>
      <c r="O241" s="2"/>
      <c r="P241" s="2"/>
      <c r="Q241" s="2"/>
      <c r="R241" s="2"/>
      <c r="S241" s="2"/>
      <c r="T241" s="2"/>
      <c r="U241" s="2"/>
      <c r="V241" s="2"/>
    </row>
    <row r="242" spans="1:22" ht="15" customHeight="1" x14ac:dyDescent="0.3">
      <c r="A242" s="2"/>
      <c r="B242" s="189">
        <v>50</v>
      </c>
      <c r="C242" s="190">
        <v>49856</v>
      </c>
      <c r="D242" s="189" t="s">
        <v>232</v>
      </c>
      <c r="E242" s="191">
        <f t="shared" si="17"/>
        <v>0</v>
      </c>
      <c r="F242" s="191">
        <f t="shared" si="18"/>
        <v>0</v>
      </c>
      <c r="G242" s="191">
        <f t="shared" si="19"/>
        <v>0</v>
      </c>
      <c r="H242" s="191">
        <f t="shared" si="20"/>
        <v>9.979239649315069</v>
      </c>
      <c r="I242" s="191">
        <f t="shared" si="21"/>
        <v>259.28936170212785</v>
      </c>
      <c r="J242" s="191">
        <f t="shared" si="22"/>
        <v>0</v>
      </c>
      <c r="K242" s="2"/>
      <c r="L242" s="2"/>
      <c r="M242" s="2"/>
      <c r="N242" s="2"/>
      <c r="O242" s="2"/>
      <c r="P242" s="2"/>
      <c r="Q242" s="2"/>
      <c r="R242" s="2"/>
      <c r="S242" s="2"/>
      <c r="T242" s="2"/>
      <c r="U242" s="2"/>
      <c r="V242" s="2"/>
    </row>
    <row r="243" spans="1:22" ht="15" customHeight="1" x14ac:dyDescent="0.3">
      <c r="A243" s="2"/>
      <c r="B243" s="189">
        <v>51</v>
      </c>
      <c r="C243" s="190">
        <v>49948</v>
      </c>
      <c r="D243" s="189" t="s">
        <v>233</v>
      </c>
      <c r="E243" s="191">
        <f t="shared" si="17"/>
        <v>0</v>
      </c>
      <c r="F243" s="191">
        <f t="shared" si="18"/>
        <v>0</v>
      </c>
      <c r="G243" s="191">
        <f t="shared" si="19"/>
        <v>0</v>
      </c>
      <c r="H243" s="191">
        <f t="shared" si="20"/>
        <v>9.979239649315069</v>
      </c>
      <c r="I243" s="191">
        <f t="shared" si="21"/>
        <v>259.28936170212785</v>
      </c>
      <c r="J243" s="191">
        <f t="shared" si="22"/>
        <v>0</v>
      </c>
      <c r="K243" s="2"/>
      <c r="L243" s="2"/>
      <c r="M243" s="2"/>
      <c r="N243" s="2"/>
      <c r="O243" s="2"/>
      <c r="P243" s="2"/>
      <c r="Q243" s="2"/>
      <c r="R243" s="2"/>
      <c r="S243" s="2"/>
      <c r="T243" s="2"/>
      <c r="U243" s="2"/>
      <c r="V243" s="2"/>
    </row>
    <row r="244" spans="1:22" ht="15" customHeight="1" x14ac:dyDescent="0.3">
      <c r="A244" s="2"/>
      <c r="B244" s="189">
        <v>52</v>
      </c>
      <c r="C244" s="190">
        <v>50040</v>
      </c>
      <c r="D244" s="189" t="s">
        <v>234</v>
      </c>
      <c r="E244" s="191">
        <f t="shared" si="17"/>
        <v>0</v>
      </c>
      <c r="F244" s="191">
        <f t="shared" si="18"/>
        <v>0</v>
      </c>
      <c r="G244" s="191">
        <f t="shared" si="19"/>
        <v>0</v>
      </c>
      <c r="H244" s="191">
        <f t="shared" si="20"/>
        <v>9.979239649315069</v>
      </c>
      <c r="I244" s="191">
        <f t="shared" si="21"/>
        <v>259.28936170212785</v>
      </c>
      <c r="J244" s="191">
        <f t="shared" si="22"/>
        <v>0</v>
      </c>
      <c r="K244" s="2"/>
      <c r="L244" s="2"/>
      <c r="M244" s="2"/>
      <c r="N244" s="2"/>
      <c r="O244" s="2"/>
      <c r="P244" s="2"/>
      <c r="Q244" s="2"/>
      <c r="R244" s="2"/>
      <c r="S244" s="2"/>
      <c r="T244" s="2"/>
      <c r="U244" s="2"/>
      <c r="V244" s="2"/>
    </row>
    <row r="245" spans="1:22" ht="15" customHeight="1" x14ac:dyDescent="0.3">
      <c r="A245" s="2"/>
      <c r="B245" s="458">
        <v>53</v>
      </c>
      <c r="C245" s="459">
        <v>50130</v>
      </c>
      <c r="D245" s="458" t="s">
        <v>235</v>
      </c>
      <c r="E245" s="460">
        <f t="shared" si="17"/>
        <v>0</v>
      </c>
      <c r="F245" s="460">
        <f t="shared" si="18"/>
        <v>0</v>
      </c>
      <c r="G245" s="460">
        <f t="shared" si="19"/>
        <v>0</v>
      </c>
      <c r="H245" s="460">
        <f t="shared" si="20"/>
        <v>9.979239649315069</v>
      </c>
      <c r="I245" s="460">
        <f t="shared" si="21"/>
        <v>259.28936170212785</v>
      </c>
      <c r="J245" s="460">
        <f t="shared" si="22"/>
        <v>0</v>
      </c>
      <c r="K245" s="2"/>
      <c r="L245" s="2"/>
      <c r="M245" s="2"/>
      <c r="N245" s="2"/>
      <c r="O245" s="2"/>
      <c r="P245" s="2"/>
      <c r="Q245" s="2"/>
      <c r="R245" s="2"/>
      <c r="S245" s="2"/>
      <c r="T245" s="2"/>
      <c r="U245" s="2"/>
      <c r="V245" s="2"/>
    </row>
    <row r="246" spans="1:22" ht="19.95" customHeight="1" x14ac:dyDescent="0.3">
      <c r="A246" s="461"/>
      <c r="B246" s="1359" t="s">
        <v>236</v>
      </c>
      <c r="C246" s="1359"/>
      <c r="D246" s="1359"/>
      <c r="E246" s="462">
        <f>SUM(E193:E245)</f>
        <v>9.979239649315069</v>
      </c>
      <c r="F246" s="462">
        <f>SUM(F193:F245)</f>
        <v>259.28936170212785</v>
      </c>
      <c r="G246" s="462">
        <f>SUM(G193:G245)</f>
        <v>94.934500000676181</v>
      </c>
      <c r="H246" s="463"/>
      <c r="I246" s="463"/>
      <c r="J246" s="463"/>
      <c r="K246" s="461"/>
      <c r="L246" s="461"/>
      <c r="M246" s="461"/>
      <c r="N246" s="461"/>
      <c r="O246" s="461"/>
      <c r="P246" s="461"/>
      <c r="Q246" s="461"/>
      <c r="R246" s="461"/>
      <c r="S246" s="461"/>
      <c r="T246" s="461"/>
      <c r="U246" s="461"/>
      <c r="V246" s="461"/>
    </row>
  </sheetData>
  <mergeCells count="8">
    <mergeCell ref="B246:D246"/>
    <mergeCell ref="S3:V3"/>
    <mergeCell ref="A59:V59"/>
    <mergeCell ref="A1:R1"/>
    <mergeCell ref="A3:C3"/>
    <mergeCell ref="D3:H3"/>
    <mergeCell ref="I3:M3"/>
    <mergeCell ref="N3:R3"/>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Z52"/>
  <sheetViews>
    <sheetView showGridLines="0" zoomScaleNormal="100" workbookViewId="0">
      <selection activeCell="A13" sqref="A13"/>
    </sheetView>
  </sheetViews>
  <sheetFormatPr defaultColWidth="8.6640625" defaultRowHeight="14.4" x14ac:dyDescent="0.3"/>
  <cols>
    <col min="1" max="1" width="39" bestFit="1" customWidth="1"/>
    <col min="2" max="2" width="20.77734375" customWidth="1"/>
    <col min="3" max="3" width="31" bestFit="1" customWidth="1"/>
    <col min="4" max="4" width="12.44140625" bestFit="1" customWidth="1"/>
    <col min="5" max="5" width="6.44140625" bestFit="1" customWidth="1"/>
    <col min="6" max="6" width="10" bestFit="1" customWidth="1"/>
    <col min="7" max="7" width="6.44140625" bestFit="1" customWidth="1"/>
    <col min="8" max="8" width="7.109375" bestFit="1" customWidth="1"/>
    <col min="9" max="9" width="23.109375" bestFit="1" customWidth="1"/>
    <col min="10" max="10" width="8" bestFit="1" customWidth="1"/>
    <col min="11" max="11" width="96.6640625" bestFit="1" customWidth="1"/>
    <col min="12" max="12" width="14" customWidth="1"/>
    <col min="13" max="13" width="28" customWidth="1"/>
  </cols>
  <sheetData>
    <row r="1" spans="1:26" ht="28.05" customHeight="1" x14ac:dyDescent="0.3">
      <c r="A1" s="1325" t="s">
        <v>452</v>
      </c>
      <c r="B1" s="1325"/>
      <c r="C1" s="1325"/>
      <c r="D1" s="1325"/>
      <c r="E1" s="1325"/>
      <c r="F1" s="1325"/>
      <c r="G1" s="1325"/>
      <c r="H1" s="1325"/>
      <c r="I1" s="1325"/>
      <c r="J1" s="1325"/>
      <c r="K1" s="1325"/>
    </row>
    <row r="2" spans="1:26" ht="6" customHeight="1" thickBot="1" x14ac:dyDescent="0.35">
      <c r="A2" s="2"/>
      <c r="B2" s="2"/>
      <c r="C2" s="2"/>
      <c r="D2" s="2"/>
      <c r="E2" s="2"/>
      <c r="F2" s="2"/>
      <c r="G2" s="2"/>
      <c r="H2" s="2"/>
      <c r="I2" s="2"/>
      <c r="J2" s="2"/>
      <c r="K2" s="2"/>
    </row>
    <row r="3" spans="1:26" ht="22.05" customHeight="1" x14ac:dyDescent="0.3">
      <c r="A3" s="166" t="s">
        <v>51</v>
      </c>
      <c r="B3" s="167" t="s">
        <v>52</v>
      </c>
      <c r="C3" s="167" t="s">
        <v>53</v>
      </c>
      <c r="D3" s="167" t="s">
        <v>54</v>
      </c>
      <c r="E3" s="167" t="s">
        <v>339</v>
      </c>
      <c r="F3" s="167" t="s">
        <v>341</v>
      </c>
      <c r="G3" s="167" t="s">
        <v>453</v>
      </c>
      <c r="H3" s="167" t="s">
        <v>409</v>
      </c>
      <c r="I3" s="167" t="s">
        <v>454</v>
      </c>
      <c r="J3" s="167" t="s">
        <v>58</v>
      </c>
      <c r="K3" s="168" t="s">
        <v>60</v>
      </c>
    </row>
    <row r="4" spans="1:26" s="2" customFormat="1" ht="16.95" customHeight="1" x14ac:dyDescent="0.3">
      <c r="A4" s="297">
        <v>1</v>
      </c>
      <c r="B4" s="342" t="str">
        <f>IFERROR('Facility Master'!B5,"")</f>
        <v>RBL Bank</v>
      </c>
      <c r="C4" s="528" t="str">
        <f>IFERROR('Facility Master'!C5,"")</f>
        <v>Letter of Credit - Main Limit</v>
      </c>
      <c r="D4" s="566" t="str">
        <f>IFERROR('Facility Master'!D5,"")</f>
        <v>NFB</v>
      </c>
      <c r="E4" s="467">
        <f>IFERROR('Facility Master'!J5,0)</f>
        <v>2</v>
      </c>
      <c r="F4" s="529">
        <f>IFERROR('Facility Master'!M5,0)</f>
        <v>100</v>
      </c>
      <c r="G4" s="529">
        <f>IFERROR('Facility Master'!O5,0)</f>
        <v>100</v>
      </c>
      <c r="H4" s="530">
        <f>IFERROR('Facility Master'!T5,0)</f>
        <v>0</v>
      </c>
      <c r="I4" s="529">
        <f t="shared" ref="I4:I37" si="0">IFERROR(G4*H4,0)</f>
        <v>0</v>
      </c>
      <c r="J4" s="528" t="str">
        <f>IFERROR('Facility Master'!K5,"")</f>
        <v>INR</v>
      </c>
      <c r="K4" s="531" t="str">
        <f>IFERROR('Facility Master'!AH5,"")</f>
        <v>Pricing 0.45% effective 31-Dec-2025.</v>
      </c>
      <c r="L4"/>
      <c r="M4"/>
      <c r="N4"/>
      <c r="O4"/>
      <c r="P4"/>
      <c r="Q4"/>
      <c r="R4"/>
      <c r="S4"/>
      <c r="T4"/>
      <c r="U4"/>
      <c r="V4"/>
      <c r="W4"/>
      <c r="X4"/>
      <c r="Y4"/>
      <c r="Z4"/>
    </row>
    <row r="5" spans="1:26" ht="16.95" customHeight="1" x14ac:dyDescent="0.3">
      <c r="A5" s="297">
        <v>2</v>
      </c>
      <c r="B5" s="342" t="str">
        <f>IFERROR('Facility Master'!B6,"")</f>
        <v>RBL Bank</v>
      </c>
      <c r="C5" s="532" t="str">
        <f>IFERROR('Facility Master'!C6,"")</f>
        <v>Bank Guarantee</v>
      </c>
      <c r="D5" s="566" t="str">
        <f>IFERROR('Facility Master'!D6,"")</f>
        <v>NFB</v>
      </c>
      <c r="E5" s="564">
        <f>IFERROR('Facility Master'!J6,0)</f>
        <v>0</v>
      </c>
      <c r="F5" s="533">
        <f>IFERROR('Facility Master'!M6,0)</f>
        <v>25</v>
      </c>
      <c r="G5" s="533">
        <f>IFERROR('Facility Master'!O6,0)</f>
        <v>25</v>
      </c>
      <c r="H5" s="534">
        <f>IFERROR('Facility Master'!T6,0)</f>
        <v>0</v>
      </c>
      <c r="I5" s="533">
        <f t="shared" si="0"/>
        <v>0</v>
      </c>
      <c r="J5" s="532" t="str">
        <f>IFERROR('Facility Master'!K6,"")</f>
        <v>INR</v>
      </c>
      <c r="K5" s="535" t="str">
        <f>IFERROR('Facility Master'!AH6,"")</f>
        <v>BG commission 0.50% per 28-Feb-2025 pricing table.</v>
      </c>
    </row>
    <row r="6" spans="1:26" ht="16.95" customHeight="1" x14ac:dyDescent="0.3">
      <c r="A6" s="297">
        <v>3</v>
      </c>
      <c r="B6" s="342" t="str">
        <f>IFERROR('Facility Master'!B7,"")</f>
        <v>RBL Bank</v>
      </c>
      <c r="C6" s="528" t="str">
        <f>IFERROR('Facility Master'!C7,"")</f>
        <v>Invoice Discounting (PID)</v>
      </c>
      <c r="D6" s="468" t="str">
        <f>IFERROR('Facility Master'!D7,"")</f>
        <v>FB</v>
      </c>
      <c r="E6" s="565">
        <f>IFERROR('Facility Master'!J7,0)</f>
        <v>1</v>
      </c>
      <c r="F6" s="529">
        <f>IFERROR('Facility Master'!M7,0)</f>
        <v>100</v>
      </c>
      <c r="G6" s="529">
        <f>IFERROR('Facility Master'!O7,0)</f>
        <v>33.333333333333329</v>
      </c>
      <c r="H6" s="530">
        <f>IFERROR('Facility Master'!T7,0)</f>
        <v>9.5000000000000001E-2</v>
      </c>
      <c r="I6" s="529">
        <f t="shared" si="0"/>
        <v>3.1666666666666661</v>
      </c>
      <c r="J6" s="528" t="str">
        <f>IFERROR('Facility Master'!K7,"")</f>
        <v>INR</v>
      </c>
      <c r="K6" s="531" t="str">
        <f>IFERROR('Facility Master'!AH7,"")</f>
        <v>Rate set at availment. Spread of 50 bps over 1Y MCLR is illustrative; rate confirmed at each availment per sanction letter.</v>
      </c>
    </row>
    <row r="7" spans="1:26" ht="16.95" customHeight="1" x14ac:dyDescent="0.3">
      <c r="A7" s="297">
        <v>4</v>
      </c>
      <c r="B7" s="342" t="str">
        <f>IFERROR('Facility Master'!B8,"")</f>
        <v>RBL Bank</v>
      </c>
      <c r="C7" s="532" t="str">
        <f>IFERROR('Facility Master'!C8,"")</f>
        <v>SBLC</v>
      </c>
      <c r="D7" s="566" t="str">
        <f>IFERROR('Facility Master'!D8,"")</f>
        <v>NFB</v>
      </c>
      <c r="E7" s="564">
        <f>IFERROR('Facility Master'!J8,0)</f>
        <v>0</v>
      </c>
      <c r="F7" s="533">
        <f>IFERROR('Facility Master'!M8,0)</f>
        <v>100</v>
      </c>
      <c r="G7" s="533">
        <f>IFERROR('Facility Master'!O8,0)</f>
        <v>100</v>
      </c>
      <c r="H7" s="534">
        <f>IFERROR('Facility Master'!T8,0)</f>
        <v>5.0000000000000001E-3</v>
      </c>
      <c r="I7" s="533">
        <f t="shared" si="0"/>
        <v>0.5</v>
      </c>
      <c r="J7" s="532" t="str">
        <f>IFERROR('Facility Master'!K8,"")</f>
        <v>INR</v>
      </c>
      <c r="K7" s="535" t="str">
        <f>IFERROR('Facility Master'!AH8,"")</f>
        <v>Sub-limit of LC (Main).</v>
      </c>
    </row>
    <row r="8" spans="1:26" ht="16.95" customHeight="1" x14ac:dyDescent="0.3">
      <c r="A8" s="297">
        <v>5</v>
      </c>
      <c r="B8" s="342" t="str">
        <f>IFERROR('Facility Master'!B9,"")</f>
        <v>RBL Bank</v>
      </c>
      <c r="C8" s="528" t="str">
        <f>IFERROR('Facility Master'!C9,"")</f>
        <v>Pre-Acceptance LCBD</v>
      </c>
      <c r="D8" s="468" t="str">
        <f>IFERROR('Facility Master'!D9,"")</f>
        <v>FB</v>
      </c>
      <c r="E8" s="565">
        <f>IFERROR('Facility Master'!J9,0)</f>
        <v>1</v>
      </c>
      <c r="F8" s="529">
        <f>IFERROR('Facility Master'!M9,0)</f>
        <v>100</v>
      </c>
      <c r="G8" s="529">
        <f>IFERROR('Facility Master'!O9,0)</f>
        <v>33.333333333333329</v>
      </c>
      <c r="H8" s="530">
        <f>IFERROR('Facility Master'!T9,0)</f>
        <v>9.7500000000000003E-2</v>
      </c>
      <c r="I8" s="529">
        <f t="shared" si="0"/>
        <v>3.2499999999999996</v>
      </c>
      <c r="J8" s="528" t="str">
        <f>IFERROR('Facility Master'!K9,"")</f>
        <v>INR</v>
      </c>
      <c r="K8" s="531" t="str">
        <f>IFERROR('Facility Master'!AH9,"")</f>
        <v>Rate set at availment. Spread of 75 bps over 1Y MCLR is illustrative; rate confirmed at each availment per sanction letter.</v>
      </c>
    </row>
    <row r="9" spans="1:26" ht="16.95" customHeight="1" x14ac:dyDescent="0.3">
      <c r="A9" s="297">
        <v>6</v>
      </c>
      <c r="B9" s="342" t="str">
        <f>IFERROR('Facility Master'!B10,"")</f>
        <v>RBL Bank</v>
      </c>
      <c r="C9" s="532" t="str">
        <f>IFERROR('Facility Master'!C10,"")</f>
        <v>Cash Credit</v>
      </c>
      <c r="D9" s="468" t="str">
        <f>IFERROR('Facility Master'!D10,"")</f>
        <v>FB</v>
      </c>
      <c r="E9" s="565">
        <f>IFERROR('Facility Master'!J10,0)</f>
        <v>1</v>
      </c>
      <c r="F9" s="533">
        <f>IFERROR('Facility Master'!M10,0)</f>
        <v>100</v>
      </c>
      <c r="G9" s="533">
        <f>IFERROR('Facility Master'!O10,0)</f>
        <v>33.333333333333329</v>
      </c>
      <c r="H9" s="534">
        <f>IFERROR('Facility Master'!T10,0)</f>
        <v>9.0499999999999997E-2</v>
      </c>
      <c r="I9" s="533">
        <f t="shared" si="0"/>
        <v>3.0166666666666662</v>
      </c>
      <c r="J9" s="532" t="str">
        <f>IFERROR('Facility Master'!K10,"")</f>
        <v>INR</v>
      </c>
      <c r="K9" s="535" t="str">
        <f>IFERROR('Facility Master'!AH10,"")</f>
        <v>1Y MCLR + 5 bps.</v>
      </c>
    </row>
    <row r="10" spans="1:26" ht="16.95" customHeight="1" x14ac:dyDescent="0.3">
      <c r="A10" s="297">
        <v>7</v>
      </c>
      <c r="B10" s="342" t="str">
        <f>IFERROR('Facility Master'!B11,"")</f>
        <v>RBL Bank</v>
      </c>
      <c r="C10" s="528" t="str">
        <f>IFERROR('Facility Master'!C11,"")</f>
        <v>Working Capital Demand Loan (WCDL)</v>
      </c>
      <c r="D10" s="468" t="str">
        <f>IFERROR('Facility Master'!D11,"")</f>
        <v>FB</v>
      </c>
      <c r="E10" s="564">
        <f>IFERROR('Facility Master'!J11,0)</f>
        <v>0</v>
      </c>
      <c r="F10" s="529">
        <f>IFERROR('Facility Master'!M11,0)</f>
        <v>100</v>
      </c>
      <c r="G10" s="529">
        <f>IFERROR('Facility Master'!O11,0)</f>
        <v>0</v>
      </c>
      <c r="H10" s="530">
        <f>IFERROR('Facility Master'!T11,0)</f>
        <v>0</v>
      </c>
      <c r="I10" s="529">
        <f t="shared" si="0"/>
        <v>0</v>
      </c>
      <c r="J10" s="528" t="str">
        <f>IFERROR('Facility Master'!K11,"")</f>
        <v>INR</v>
      </c>
      <c r="K10" s="531" t="str">
        <f>IFERROR('Facility Master'!AH11,"")</f>
        <v>Rate set at drawdown.</v>
      </c>
    </row>
    <row r="11" spans="1:26" ht="16.95" customHeight="1" x14ac:dyDescent="0.3">
      <c r="A11" s="297">
        <v>8</v>
      </c>
      <c r="B11" s="342" t="str">
        <f>IFERROR('Facility Master'!B12,"")</f>
        <v>RBL Bank</v>
      </c>
      <c r="C11" s="532" t="str">
        <f>IFERROR('Facility Master'!C12,"")</f>
        <v>Loan Equivalent Risk (LER)</v>
      </c>
      <c r="D11" s="470" t="str">
        <f>IFERROR('Facility Master'!D12,"")</f>
        <v>Hedge</v>
      </c>
      <c r="E11" s="469">
        <f>IFERROR('Facility Master'!J12,0)</f>
        <v>3</v>
      </c>
      <c r="F11" s="533">
        <f>IFERROR('Facility Master'!M12,0)</f>
        <v>20</v>
      </c>
      <c r="G11" s="533">
        <f>IFERROR('Facility Master'!O12,0)</f>
        <v>20</v>
      </c>
      <c r="H11" s="534">
        <f>IFERROR('Facility Master'!T12,0)</f>
        <v>0</v>
      </c>
      <c r="I11" s="533">
        <f t="shared" si="0"/>
        <v>0</v>
      </c>
      <c r="J11" s="532" t="str">
        <f>IFERROR('Facility Master'!K12,"")</f>
        <v>INR</v>
      </c>
      <c r="K11" s="535" t="str">
        <f>IFERROR('Facility Master'!AH12,"")</f>
        <v>Notional limit; 75% MTM trigger.</v>
      </c>
    </row>
    <row r="12" spans="1:26" ht="16.95" customHeight="1" x14ac:dyDescent="0.3">
      <c r="A12" s="297">
        <v>9</v>
      </c>
      <c r="B12" s="342" t="str">
        <f>IFERROR('Facility Master'!B13,"")</f>
        <v>RBL Bank</v>
      </c>
      <c r="C12" s="528" t="str">
        <f>IFERROR('Facility Master'!C13,"")</f>
        <v>Term Loan</v>
      </c>
      <c r="D12" s="471" t="str">
        <f>IFERROR('Facility Master'!D13,"")</f>
        <v>FB-Term</v>
      </c>
      <c r="E12" s="565">
        <f>IFERROR('Facility Master'!J13,0)</f>
        <v>1</v>
      </c>
      <c r="F12" s="529">
        <f>IFERROR('Facility Master'!M13,0)</f>
        <v>200</v>
      </c>
      <c r="G12" s="529">
        <f>IFERROR('Facility Master'!O13,0)</f>
        <v>183.33333333333334</v>
      </c>
      <c r="H12" s="530">
        <f>IFERROR('Facility Master'!T13,0)</f>
        <v>9.7500000000000003E-2</v>
      </c>
      <c r="I12" s="529">
        <f t="shared" si="0"/>
        <v>17.875</v>
      </c>
      <c r="J12" s="528" t="str">
        <f>IFERROR('Facility Master'!K13,"")</f>
        <v>INR</v>
      </c>
      <c r="K12" s="531" t="str">
        <f>IFERROR('Facility Master'!AH13,"")</f>
        <v>Indicative 9.75% (1Y MCLR + 75 bps); confirm with RBL at drawdown.</v>
      </c>
    </row>
    <row r="13" spans="1:26" ht="16.95" customHeight="1" x14ac:dyDescent="0.3">
      <c r="A13" s="297">
        <v>10</v>
      </c>
      <c r="B13" s="342" t="str">
        <f>IFERROR('Facility Master'!B14,"")</f>
        <v>RBL Bank</v>
      </c>
      <c r="C13" s="532" t="str">
        <f>IFERROR('Facility Master'!C14,"")</f>
        <v>SBLC for Buyer's Credit (GIFT City)</v>
      </c>
      <c r="D13" s="566" t="str">
        <f>IFERROR('Facility Master'!D14,"")</f>
        <v>NFB</v>
      </c>
      <c r="E13" s="467">
        <f>IFERROR('Facility Master'!J14,0)</f>
        <v>2</v>
      </c>
      <c r="F13" s="533">
        <f>IFERROR('Facility Master'!M14,0)</f>
        <v>190</v>
      </c>
      <c r="G13" s="533">
        <f>IFERROR('Facility Master'!O14,0)</f>
        <v>190</v>
      </c>
      <c r="H13" s="534">
        <f>IFERROR('Facility Master'!T14,0)</f>
        <v>5.0000000000000001E-3</v>
      </c>
      <c r="I13" s="533">
        <f t="shared" si="0"/>
        <v>0.95000000000000007</v>
      </c>
      <c r="J13" s="532" t="str">
        <f>IFERROR('Facility Master'!K14,"")</f>
        <v>INR</v>
      </c>
      <c r="K13" s="535" t="str">
        <f>IFERROR('Facility Master'!AH14,"")</f>
        <v>Limit increased 172 → 190 Cr on 31-Dec-2025.</v>
      </c>
    </row>
    <row r="14" spans="1:26" ht="16.95" customHeight="1" x14ac:dyDescent="0.3">
      <c r="A14" s="297">
        <v>11</v>
      </c>
      <c r="B14" s="342" t="str">
        <f>IFERROR('Facility Master'!B15,"")</f>
        <v>RBL Bank</v>
      </c>
      <c r="C14" s="528" t="str">
        <f>IFERROR('Facility Master'!C15,"")</f>
        <v>Capex LC</v>
      </c>
      <c r="D14" s="566" t="str">
        <f>IFERROR('Facility Master'!D15,"")</f>
        <v>NFB</v>
      </c>
      <c r="E14" s="467">
        <f>IFERROR('Facility Master'!J15,0)</f>
        <v>2</v>
      </c>
      <c r="F14" s="529">
        <f>IFERROR('Facility Master'!M15,0)</f>
        <v>25</v>
      </c>
      <c r="G14" s="529">
        <f>IFERROR('Facility Master'!O15,0)</f>
        <v>25</v>
      </c>
      <c r="H14" s="530">
        <f>IFERROR('Facility Master'!T15,0)</f>
        <v>5.0000000000000001E-3</v>
      </c>
      <c r="I14" s="529">
        <f t="shared" si="0"/>
        <v>0.125</v>
      </c>
      <c r="J14" s="528" t="str">
        <f>IFERROR('Facility Master'!K15,"")</f>
        <v>INR</v>
      </c>
      <c r="K14" s="531" t="str">
        <f>IFERROR('Facility Master'!AH15,"")</f>
        <v>Originally 24-Jan-2024; converted revolving 28-Feb-2025.</v>
      </c>
    </row>
    <row r="15" spans="1:26" ht="16.95" customHeight="1" x14ac:dyDescent="0.3">
      <c r="A15" s="297">
        <v>12</v>
      </c>
      <c r="B15" s="342" t="str">
        <f>IFERROR('Facility Master'!B16,"")</f>
        <v>RBL Bank</v>
      </c>
      <c r="C15" s="532" t="str">
        <f>IFERROR('Facility Master'!C16,"")</f>
        <v>Overdraft backed by 100% FD (FDOD)</v>
      </c>
      <c r="D15" s="567" t="str">
        <f>IFERROR('Facility Master'!D16,"")</f>
        <v>FB-FDbacked</v>
      </c>
      <c r="E15" s="469">
        <f>IFERROR('Facility Master'!J16,0)</f>
        <v>3</v>
      </c>
      <c r="F15" s="533">
        <f>IFERROR('Facility Master'!M16,0)</f>
        <v>100</v>
      </c>
      <c r="G15" s="533">
        <f>IFERROR('Facility Master'!O16,0)</f>
        <v>100</v>
      </c>
      <c r="H15" s="534">
        <f>IFERROR('Facility Master'!T16,0)</f>
        <v>7.2500000000000009E-2</v>
      </c>
      <c r="I15" s="533">
        <f t="shared" si="0"/>
        <v>7.2500000000000009</v>
      </c>
      <c r="J15" s="532" t="str">
        <f>IFERROR('Facility Master'!K16,"")</f>
        <v>INR</v>
      </c>
      <c r="K15" s="535" t="str">
        <f>IFERROR('Facility Master'!AH16,"")</f>
        <v>Excluded from INR 300 Cr overall cap.</v>
      </c>
    </row>
    <row r="16" spans="1:26" ht="16.95" customHeight="1" x14ac:dyDescent="0.3">
      <c r="A16" s="297">
        <v>13</v>
      </c>
      <c r="B16" s="342" t="str">
        <f>IFERROR('Facility Master'!B17,"")</f>
        <v>RBL Bank</v>
      </c>
      <c r="C16" s="528" t="str">
        <f>IFERROR('Facility Master'!C17,"")</f>
        <v>LC backed by 100% FD</v>
      </c>
      <c r="D16" s="472" t="str">
        <f>IFERROR('Facility Master'!D17,"")</f>
        <v>NFB-FDbacked</v>
      </c>
      <c r="E16" s="564">
        <f>IFERROR('Facility Master'!J17,0)</f>
        <v>0</v>
      </c>
      <c r="F16" s="529">
        <f>IFERROR('Facility Master'!M17,0)</f>
        <v>50</v>
      </c>
      <c r="G16" s="529">
        <f>IFERROR('Facility Master'!O17,0)</f>
        <v>50</v>
      </c>
      <c r="H16" s="530">
        <f>IFERROR('Facility Master'!T17,0)</f>
        <v>0</v>
      </c>
      <c r="I16" s="529">
        <f t="shared" si="0"/>
        <v>0</v>
      </c>
      <c r="J16" s="528" t="str">
        <f>IFERROR('Facility Master'!K17,"")</f>
        <v>INR</v>
      </c>
      <c r="K16" s="531" t="str">
        <f>IFERROR('Facility Master'!AH17,"")</f>
        <v>Sub-limit of FDOD.</v>
      </c>
    </row>
    <row r="17" spans="1:11" ht="16.95" customHeight="1" x14ac:dyDescent="0.3">
      <c r="A17" s="297">
        <v>14</v>
      </c>
      <c r="B17" s="342" t="str">
        <f>IFERROR('Facility Master'!B18,"")</f>
        <v>RBL Bank</v>
      </c>
      <c r="C17" s="532" t="str">
        <f>IFERROR('Facility Master'!C18,"")</f>
        <v>Buyer's Credit from GIFT City - WC</v>
      </c>
      <c r="D17" s="473" t="str">
        <f>IFERROR('Facility Master'!D18,"")</f>
        <v>FB-FCY</v>
      </c>
      <c r="E17" s="565">
        <f>IFERROR('Facility Master'!J18,0)</f>
        <v>1</v>
      </c>
      <c r="F17" s="533">
        <f>IFERROR('Facility Master'!M18,0)</f>
        <v>100</v>
      </c>
      <c r="G17" s="533">
        <f>IFERROR('Facility Master'!O18,0)</f>
        <v>100</v>
      </c>
      <c r="H17" s="534">
        <f>IFERROR('Facility Master'!T18,0)</f>
        <v>4.2999999999999997E-2</v>
      </c>
      <c r="I17" s="533">
        <f t="shared" si="0"/>
        <v>4.3</v>
      </c>
      <c r="J17" s="532" t="str">
        <f>IFERROR('Facility Master'!K18,"")</f>
        <v>USD</v>
      </c>
      <c r="K17" s="535" t="str">
        <f>IFERROR('Facility Master'!AH18,"")</f>
        <v>INR-capped at ₹100 Cr.</v>
      </c>
    </row>
    <row r="18" spans="1:11" ht="16.95" customHeight="1" x14ac:dyDescent="0.3">
      <c r="A18" s="297">
        <v>15</v>
      </c>
      <c r="B18" s="342" t="str">
        <f>IFERROR('Facility Master'!B19,"")</f>
        <v>RBL Bank</v>
      </c>
      <c r="C18" s="528" t="str">
        <f>IFERROR('Facility Master'!C19,"")</f>
        <v>Buyer's Credit from GIFT City - CAPEX</v>
      </c>
      <c r="D18" s="473" t="str">
        <f>IFERROR('Facility Master'!D19,"")</f>
        <v>FB-FCY</v>
      </c>
      <c r="E18" s="565">
        <f>IFERROR('Facility Master'!J19,0)</f>
        <v>1</v>
      </c>
      <c r="F18" s="529">
        <f>IFERROR('Facility Master'!M19,0)</f>
        <v>172</v>
      </c>
      <c r="G18" s="529">
        <f>IFERROR('Facility Master'!O19,0)</f>
        <v>172</v>
      </c>
      <c r="H18" s="530">
        <f>IFERROR('Facility Master'!T19,0)</f>
        <v>4.2999999999999997E-2</v>
      </c>
      <c r="I18" s="529">
        <f t="shared" si="0"/>
        <v>7.395999999999999</v>
      </c>
      <c r="J18" s="528" t="str">
        <f>IFERROR('Facility Master'!K19,"")</f>
        <v>USD</v>
      </c>
      <c r="K18" s="531" t="str">
        <f>IFERROR('Facility Master'!AH19,"")</f>
        <v>INR-capped at ₹172 Cr.</v>
      </c>
    </row>
    <row r="19" spans="1:11" ht="16.95" customHeight="1" x14ac:dyDescent="0.3">
      <c r="A19" s="314">
        <v>16</v>
      </c>
      <c r="B19" s="343" t="str">
        <f>IFERROR('Facility Master'!B20,"")</f>
        <v>YES Bank</v>
      </c>
      <c r="C19" s="536" t="str">
        <f>IFERROR('Facility Master'!C20,"")</f>
        <v>Purchase Invoice Financing</v>
      </c>
      <c r="D19" s="468" t="str">
        <f>IFERROR('Facility Master'!D20,"")</f>
        <v>FB</v>
      </c>
      <c r="E19" s="565">
        <f>IFERROR('Facility Master'!J20,0)</f>
        <v>1</v>
      </c>
      <c r="F19" s="537">
        <f>IFERROR('Facility Master'!M20,0)</f>
        <v>100</v>
      </c>
      <c r="G19" s="537">
        <f>IFERROR('Facility Master'!O20,0)</f>
        <v>100</v>
      </c>
      <c r="H19" s="538">
        <f>IFERROR('Facility Master'!T20,0)</f>
        <v>9.5000000000000001E-2</v>
      </c>
      <c r="I19" s="537">
        <f t="shared" si="0"/>
        <v>9.5</v>
      </c>
      <c r="J19" s="536" t="str">
        <f>IFERROR('Facility Master'!K20,"")</f>
        <v>INR</v>
      </c>
      <c r="K19" s="539" t="str">
        <f>IFERROR('Facility Master'!AH20,"")</f>
        <v>New facility; interest payable upfront.</v>
      </c>
    </row>
    <row r="20" spans="1:11" ht="16.95" customHeight="1" x14ac:dyDescent="0.3">
      <c r="A20" s="314">
        <v>17</v>
      </c>
      <c r="B20" s="343" t="str">
        <f>IFERROR('Facility Master'!B21,"")</f>
        <v>YES Bank</v>
      </c>
      <c r="C20" s="540" t="str">
        <f>IFERROR('Facility Master'!C21,"")</f>
        <v>Cash Credit</v>
      </c>
      <c r="D20" s="468" t="str">
        <f>IFERROR('Facility Master'!D21,"")</f>
        <v>FB</v>
      </c>
      <c r="E20" s="565">
        <f>IFERROR('Facility Master'!J21,0)</f>
        <v>1</v>
      </c>
      <c r="F20" s="541">
        <f>IFERROR('Facility Master'!M21,0)</f>
        <v>25</v>
      </c>
      <c r="G20" s="541">
        <f>IFERROR('Facility Master'!O21,0)</f>
        <v>25</v>
      </c>
      <c r="H20" s="542">
        <f>IFERROR('Facility Master'!T21,0)</f>
        <v>9.0700000000000003E-2</v>
      </c>
      <c r="I20" s="541">
        <f t="shared" si="0"/>
        <v>2.2675000000000001</v>
      </c>
      <c r="J20" s="540" t="str">
        <f>IFERROR('Facility Master'!K21,"")</f>
        <v>INR</v>
      </c>
      <c r="K20" s="543" t="str">
        <f>IFERROR('Facility Master'!AH21,"")</f>
        <v>Pricing moved to 3M MCLR + 7 bps on 19-Mar-2026.</v>
      </c>
    </row>
    <row r="21" spans="1:11" ht="16.95" customHeight="1" x14ac:dyDescent="0.3">
      <c r="A21" s="314">
        <v>18</v>
      </c>
      <c r="B21" s="343" t="str">
        <f>IFERROR('Facility Master'!B22,"")</f>
        <v>YES Bank</v>
      </c>
      <c r="C21" s="536" t="str">
        <f>IFERROR('Facility Master'!C22,"")</f>
        <v>Letter of Credit</v>
      </c>
      <c r="D21" s="566" t="str">
        <f>IFERROR('Facility Master'!D22,"")</f>
        <v>NFB</v>
      </c>
      <c r="E21" s="467">
        <f>IFERROR('Facility Master'!J22,0)</f>
        <v>2</v>
      </c>
      <c r="F21" s="537">
        <f>IFERROR('Facility Master'!M22,0)</f>
        <v>200</v>
      </c>
      <c r="G21" s="537">
        <f>IFERROR('Facility Master'!O22,0)</f>
        <v>200</v>
      </c>
      <c r="H21" s="538">
        <f>IFERROR('Facility Master'!T22,0)</f>
        <v>0</v>
      </c>
      <c r="I21" s="537">
        <f t="shared" si="0"/>
        <v>0</v>
      </c>
      <c r="J21" s="536" t="str">
        <f>IFERROR('Facility Master'!K22,"")</f>
        <v>INR</v>
      </c>
      <c r="K21" s="539" t="str">
        <f>IFERROR('Facility Master'!AH22,"")</f>
        <v>Overall WC cap INR 200 Cr net of receivable finance.</v>
      </c>
    </row>
    <row r="22" spans="1:11" ht="16.95" customHeight="1" x14ac:dyDescent="0.3">
      <c r="A22" s="314">
        <v>19</v>
      </c>
      <c r="B22" s="343" t="str">
        <f>IFERROR('Facility Master'!B23,"")</f>
        <v>YES Bank</v>
      </c>
      <c r="C22" s="540" t="str">
        <f>IFERROR('Facility Master'!C23,"")</f>
        <v>Financial BG / SBLC</v>
      </c>
      <c r="D22" s="566" t="str">
        <f>IFERROR('Facility Master'!D23,"")</f>
        <v>NFB</v>
      </c>
      <c r="E22" s="564">
        <f>IFERROR('Facility Master'!J23,0)</f>
        <v>0</v>
      </c>
      <c r="F22" s="541">
        <f>IFERROR('Facility Master'!M23,0)</f>
        <v>200</v>
      </c>
      <c r="G22" s="541">
        <f>IFERROR('Facility Master'!O23,0)</f>
        <v>200</v>
      </c>
      <c r="H22" s="542">
        <f>IFERROR('Facility Master'!T23,0)</f>
        <v>5.0000000000000001E-3</v>
      </c>
      <c r="I22" s="541">
        <f t="shared" si="0"/>
        <v>1</v>
      </c>
      <c r="J22" s="540" t="str">
        <f>IFERROR('Facility Master'!K23,"")</f>
        <v>INR</v>
      </c>
      <c r="K22" s="543" t="str">
        <f>IFERROR('Facility Master'!AH23,"")</f>
        <v>Sub-limit of LC (Main).</v>
      </c>
    </row>
    <row r="23" spans="1:11" ht="16.95" customHeight="1" x14ac:dyDescent="0.3">
      <c r="A23" s="314">
        <v>20</v>
      </c>
      <c r="B23" s="343" t="str">
        <f>IFERROR('Facility Master'!B24,"")</f>
        <v>YES Bank</v>
      </c>
      <c r="C23" s="536" t="str">
        <f>IFERROR('Facility Master'!C24,"")</f>
        <v>Working Capital Demand Loan (WCDL)</v>
      </c>
      <c r="D23" s="468" t="str">
        <f>IFERROR('Facility Master'!D24,"")</f>
        <v>FB</v>
      </c>
      <c r="E23" s="565">
        <f>IFERROR('Facility Master'!J24,0)</f>
        <v>1</v>
      </c>
      <c r="F23" s="537">
        <f>IFERROR('Facility Master'!M24,0)</f>
        <v>50</v>
      </c>
      <c r="G23" s="537">
        <f>IFERROR('Facility Master'!O24,0)</f>
        <v>50</v>
      </c>
      <c r="H23" s="538">
        <f>IFERROR('Facility Master'!T24,0)</f>
        <v>0</v>
      </c>
      <c r="I23" s="537">
        <f t="shared" si="0"/>
        <v>0</v>
      </c>
      <c r="J23" s="536" t="str">
        <f>IFERROR('Facility Master'!K24,"")</f>
        <v>INR</v>
      </c>
      <c r="K23" s="539" t="str">
        <f>IFERROR('Facility Master'!AH24,"")</f>
        <v>Min utilisation covenant: 40% of YBL limits.</v>
      </c>
    </row>
    <row r="24" spans="1:11" ht="16.95" customHeight="1" x14ac:dyDescent="0.3">
      <c r="A24" s="314">
        <v>21</v>
      </c>
      <c r="B24" s="343" t="str">
        <f>IFERROR('Facility Master'!B25,"")</f>
        <v>YES Bank</v>
      </c>
      <c r="C24" s="540" t="str">
        <f>IFERROR('Facility Master'!C25,"")</f>
        <v>Term Loan (Refinance Canara)</v>
      </c>
      <c r="D24" s="471" t="str">
        <f>IFERROR('Facility Master'!D25,"")</f>
        <v>FB-Term</v>
      </c>
      <c r="E24" s="565">
        <f>IFERROR('Facility Master'!J25,0)</f>
        <v>1</v>
      </c>
      <c r="F24" s="541">
        <f>IFERROR('Facility Master'!M25,0)</f>
        <v>320.7</v>
      </c>
      <c r="G24" s="541">
        <f>IFERROR('Facility Master'!O25,0)</f>
        <v>286.58297872340427</v>
      </c>
      <c r="H24" s="542">
        <f>IFERROR('Facility Master'!T25,0)</f>
        <v>7.6999999999999999E-2</v>
      </c>
      <c r="I24" s="541">
        <f t="shared" si="0"/>
        <v>22.066889361702128</v>
      </c>
      <c r="J24" s="540" t="str">
        <f>IFERROR('Facility Master'!K25,"")</f>
        <v>INR</v>
      </c>
      <c r="K24" s="543" t="str">
        <f>IFERROR('Facility Master'!AH25,"")</f>
        <v>47 EQI of ₹6.82 Cr per sanction letter 16-Dec-2024.</v>
      </c>
    </row>
    <row r="25" spans="1:11" ht="16.95" customHeight="1" x14ac:dyDescent="0.3">
      <c r="A25" s="464">
        <v>22</v>
      </c>
      <c r="B25" s="465" t="str">
        <f>IFERROR('Facility Master'!B26,"")</f>
        <v>Bajaj Finance</v>
      </c>
      <c r="C25" s="544" t="str">
        <f>IFERROR('Facility Master'!C26,"")</f>
        <v>Term Loan</v>
      </c>
      <c r="D25" s="471" t="str">
        <f>IFERROR('Facility Master'!D26,"")</f>
        <v>FB-Term</v>
      </c>
      <c r="E25" s="565">
        <f>IFERROR('Facility Master'!J26,0)</f>
        <v>1</v>
      </c>
      <c r="F25" s="545">
        <f>IFERROR('Facility Master'!M26,0)</f>
        <v>150</v>
      </c>
      <c r="G25" s="545">
        <f>IFERROR('Facility Master'!O26,0)</f>
        <v>150</v>
      </c>
      <c r="H25" s="546">
        <f>IFERROR('Facility Master'!T26,0)</f>
        <v>8.6000000000000007E-2</v>
      </c>
      <c r="I25" s="545">
        <f t="shared" si="0"/>
        <v>12.9</v>
      </c>
      <c r="J25" s="544" t="str">
        <f>IFERROR('Facility Master'!K26,"")</f>
        <v>INR</v>
      </c>
      <c r="K25" s="547" t="str">
        <f>IFERROR('Facility Master'!AH26,"")</f>
        <v>Floating; quarterly reset; WDV basis. 12-month moratorium.</v>
      </c>
    </row>
    <row r="26" spans="1:11" ht="16.95" customHeight="1" x14ac:dyDescent="0.3">
      <c r="A26" s="329">
        <v>23</v>
      </c>
      <c r="B26" s="466" t="str">
        <f>IFERROR('Facility Master'!B27,"")</f>
        <v>ICICI Bank</v>
      </c>
      <c r="C26" s="548" t="str">
        <f>IFERROR('Facility Master'!C27,"")</f>
        <v>Cash Credit</v>
      </c>
      <c r="D26" s="468" t="str">
        <f>IFERROR('Facility Master'!D27,"")</f>
        <v>FB</v>
      </c>
      <c r="E26" s="565">
        <f>IFERROR('Facility Master'!J27,0)</f>
        <v>1</v>
      </c>
      <c r="F26" s="549">
        <f>IFERROR('Facility Master'!M27,0)</f>
        <v>50</v>
      </c>
      <c r="G26" s="549">
        <f>IFERROR('Facility Master'!O27,0)</f>
        <v>50</v>
      </c>
      <c r="H26" s="550">
        <f>IFERROR('Facility Master'!T27,0)</f>
        <v>8.7500000000000008E-2</v>
      </c>
      <c r="I26" s="549">
        <f t="shared" si="0"/>
        <v>4.375</v>
      </c>
      <c r="J26" s="548" t="str">
        <f>IFERROR('Facility Master'!K27,"")</f>
        <v>INR</v>
      </c>
      <c r="K26" s="551" t="str">
        <f>IFERROR('Facility Master'!AH27,"")</f>
        <v>Reset 6 monthly; one-way interchangeability CC→LC.</v>
      </c>
    </row>
    <row r="27" spans="1:11" ht="16.95" customHeight="1" x14ac:dyDescent="0.3">
      <c r="A27" s="329">
        <v>24</v>
      </c>
      <c r="B27" s="466" t="str">
        <f>IFERROR('Facility Master'!B28,"")</f>
        <v>ICICI Bank</v>
      </c>
      <c r="C27" s="552" t="str">
        <f>IFERROR('Facility Master'!C28,"")</f>
        <v>Working Capital Demand Loan (WCDL)</v>
      </c>
      <c r="D27" s="468" t="str">
        <f>IFERROR('Facility Master'!D28,"")</f>
        <v>FB</v>
      </c>
      <c r="E27" s="467">
        <f>IFERROR('Facility Master'!J28,0)</f>
        <v>0</v>
      </c>
      <c r="F27" s="553">
        <f>IFERROR('Facility Master'!M28,0)</f>
        <v>50</v>
      </c>
      <c r="G27" s="553">
        <f>IFERROR('Facility Master'!O28,0)</f>
        <v>0</v>
      </c>
      <c r="H27" s="554">
        <f>IFERROR('Facility Master'!T28,0)</f>
        <v>5.2499999999999998E-2</v>
      </c>
      <c r="I27" s="553">
        <f t="shared" si="0"/>
        <v>0</v>
      </c>
      <c r="J27" s="552" t="str">
        <f>IFERROR('Facility Master'!K28,"")</f>
        <v>INR</v>
      </c>
      <c r="K27" s="555" t="str">
        <f>IFERROR('Facility Master'!AH28,"")</f>
        <v>Repo reset; spread TBD.</v>
      </c>
    </row>
    <row r="28" spans="1:11" ht="16.95" customHeight="1" x14ac:dyDescent="0.3">
      <c r="A28" s="329">
        <v>25</v>
      </c>
      <c r="B28" s="466" t="str">
        <f>IFERROR('Facility Master'!B29,"")</f>
        <v>ICICI Bank</v>
      </c>
      <c r="C28" s="548" t="str">
        <f>IFERROR('Facility Master'!C29,"")</f>
        <v>Letter of Credit (Inland/Foreign)</v>
      </c>
      <c r="D28" s="566" t="str">
        <f>IFERROR('Facility Master'!D29,"")</f>
        <v>NFB</v>
      </c>
      <c r="E28" s="564">
        <f>IFERROR('Facility Master'!J29,0)</f>
        <v>2</v>
      </c>
      <c r="F28" s="549">
        <f>IFERROR('Facility Master'!M29,0)</f>
        <v>150</v>
      </c>
      <c r="G28" s="549">
        <f>IFERROR('Facility Master'!O29,0)</f>
        <v>150</v>
      </c>
      <c r="H28" s="550">
        <f>IFERROR('Facility Master'!T29,0)</f>
        <v>5.0000000000000001E-3</v>
      </c>
      <c r="I28" s="549">
        <f t="shared" si="0"/>
        <v>0.75</v>
      </c>
      <c r="J28" s="548" t="str">
        <f>IFERROR('Facility Master'!K29,"")</f>
        <v>INR</v>
      </c>
      <c r="K28" s="551" t="str">
        <f>IFERROR('Facility Master'!AH29,"")</f>
        <v>LC to JSL Global Commodities Pte Ltd capped at INR 25 Cr.</v>
      </c>
    </row>
    <row r="29" spans="1:11" ht="16.95" customHeight="1" x14ac:dyDescent="0.3">
      <c r="A29" s="329">
        <v>26</v>
      </c>
      <c r="B29" s="466" t="str">
        <f>IFERROR('Facility Master'!B30,"")</f>
        <v>ICICI Bank</v>
      </c>
      <c r="C29" s="552" t="str">
        <f>IFERROR('Facility Master'!C30,"")</f>
        <v>SBLC for Buyers' Credit</v>
      </c>
      <c r="D29" s="566" t="str">
        <f>IFERROR('Facility Master'!D30,"")</f>
        <v>NFB</v>
      </c>
      <c r="E29" s="564">
        <f>IFERROR('Facility Master'!J30,0)</f>
        <v>0</v>
      </c>
      <c r="F29" s="553">
        <f>IFERROR('Facility Master'!M30,0)</f>
        <v>150</v>
      </c>
      <c r="G29" s="553">
        <f>IFERROR('Facility Master'!O30,0)</f>
        <v>150</v>
      </c>
      <c r="H29" s="554">
        <f>IFERROR('Facility Master'!T30,0)</f>
        <v>5.0000000000000001E-3</v>
      </c>
      <c r="I29" s="553">
        <f t="shared" si="0"/>
        <v>0.75</v>
      </c>
      <c r="J29" s="552" t="str">
        <f>IFERROR('Facility Master'!K30,"")</f>
        <v>INR</v>
      </c>
      <c r="K29" s="555" t="str">
        <f>IFERROR('Facility Master'!AH30,"")</f>
        <v>Sub-limit of LC.</v>
      </c>
    </row>
    <row r="30" spans="1:11" ht="16.95" customHeight="1" x14ac:dyDescent="0.3">
      <c r="A30" s="329">
        <v>27</v>
      </c>
      <c r="B30" s="466" t="str">
        <f>IFERROR('Facility Master'!B31,"")</f>
        <v>ICICI Bank</v>
      </c>
      <c r="C30" s="548" t="str">
        <f>IFERROR('Facility Master'!C31,"")</f>
        <v>Bank Guarantee - Performance</v>
      </c>
      <c r="D30" s="566" t="str">
        <f>IFERROR('Facility Master'!D31,"")</f>
        <v>NFB</v>
      </c>
      <c r="E30" s="564">
        <f>IFERROR('Facility Master'!J31,0)</f>
        <v>0</v>
      </c>
      <c r="F30" s="549">
        <f>IFERROR('Facility Master'!M31,0)</f>
        <v>25</v>
      </c>
      <c r="G30" s="549">
        <f>IFERROR('Facility Master'!O31,0)</f>
        <v>25</v>
      </c>
      <c r="H30" s="550">
        <f>IFERROR('Facility Master'!T31,0)</f>
        <v>5.0000000000000001E-3</v>
      </c>
      <c r="I30" s="549">
        <f t="shared" si="0"/>
        <v>0.125</v>
      </c>
      <c r="J30" s="548" t="str">
        <f>IFERROR('Facility Master'!K31,"")</f>
        <v>INR</v>
      </c>
      <c r="K30" s="551" t="str">
        <f>IFERROR('Facility Master'!AH31,"")</f>
        <v>Sub-limit of LC.</v>
      </c>
    </row>
    <row r="31" spans="1:11" ht="16.95" customHeight="1" x14ac:dyDescent="0.3">
      <c r="A31" s="329">
        <v>28</v>
      </c>
      <c r="B31" s="466" t="str">
        <f>IFERROR('Facility Master'!B32,"")</f>
        <v>ICICI Bank</v>
      </c>
      <c r="C31" s="552" t="str">
        <f>IFERROR('Facility Master'!C32,"")</f>
        <v>Bank Guarantee - Financial</v>
      </c>
      <c r="D31" s="566" t="str">
        <f>IFERROR('Facility Master'!D32,"")</f>
        <v>NFB</v>
      </c>
      <c r="E31" s="564">
        <f>IFERROR('Facility Master'!J32,0)</f>
        <v>0</v>
      </c>
      <c r="F31" s="553">
        <f>IFERROR('Facility Master'!M32,0)</f>
        <v>5</v>
      </c>
      <c r="G31" s="553">
        <f>IFERROR('Facility Master'!O32,0)</f>
        <v>5</v>
      </c>
      <c r="H31" s="554">
        <f>IFERROR('Facility Master'!T32,0)</f>
        <v>6.0000000000000001E-3</v>
      </c>
      <c r="I31" s="553">
        <f t="shared" si="0"/>
        <v>0.03</v>
      </c>
      <c r="J31" s="552" t="str">
        <f>IFERROR('Facility Master'!K32,"")</f>
        <v>INR</v>
      </c>
      <c r="K31" s="555" t="str">
        <f>IFERROR('Facility Master'!AH32,"")</f>
        <v>Sub-limit of LC.</v>
      </c>
    </row>
    <row r="32" spans="1:11" ht="16.95" customHeight="1" x14ac:dyDescent="0.3">
      <c r="A32" s="335">
        <v>29</v>
      </c>
      <c r="B32" s="344" t="str">
        <f>IFERROR('Facility Master'!B33,"")</f>
        <v>South Indian Bank</v>
      </c>
      <c r="C32" s="556" t="str">
        <f>IFERROR('Facility Master'!C33,"")</f>
        <v>CCOL (Cash Credit)</v>
      </c>
      <c r="D32" s="468" t="str">
        <f>IFERROR('Facility Master'!D33,"")</f>
        <v>FB</v>
      </c>
      <c r="E32" s="564">
        <f>IFERROR('Facility Master'!J33,0)</f>
        <v>1</v>
      </c>
      <c r="F32" s="557">
        <f>IFERROR('Facility Master'!M33,0)</f>
        <v>50</v>
      </c>
      <c r="G32" s="557">
        <f>IFERROR('Facility Master'!O33,0)</f>
        <v>50</v>
      </c>
      <c r="H32" s="558">
        <f>IFERROR('Facility Master'!T33,0)</f>
        <v>0.10200000000000001</v>
      </c>
      <c r="I32" s="557">
        <f t="shared" si="0"/>
        <v>5.1000000000000005</v>
      </c>
      <c r="J32" s="556" t="str">
        <f>IFERROR('Facility Master'!K33,"")</f>
        <v>INR</v>
      </c>
      <c r="K32" s="559" t="str">
        <f>IFERROR('Facility Master'!AH33,"")</f>
        <v>Annual reset.</v>
      </c>
    </row>
    <row r="33" spans="1:11" ht="16.95" customHeight="1" x14ac:dyDescent="0.3">
      <c r="A33" s="335">
        <v>30</v>
      </c>
      <c r="B33" s="344" t="str">
        <f>IFERROR('Facility Master'!B34,"")</f>
        <v>South Indian Bank</v>
      </c>
      <c r="C33" s="560" t="str">
        <f>IFERROR('Facility Master'!C34,"")</f>
        <v>WCL / WCDL</v>
      </c>
      <c r="D33" s="468" t="str">
        <f>IFERROR('Facility Master'!D34,"")</f>
        <v>FB</v>
      </c>
      <c r="E33" s="467">
        <f>IFERROR('Facility Master'!J34,0)</f>
        <v>0</v>
      </c>
      <c r="F33" s="561">
        <f>IFERROR('Facility Master'!M34,0)</f>
        <v>50</v>
      </c>
      <c r="G33" s="561">
        <f>IFERROR('Facility Master'!O34,0)</f>
        <v>0</v>
      </c>
      <c r="H33" s="562">
        <f>IFERROR('Facility Master'!T34,0)</f>
        <v>0</v>
      </c>
      <c r="I33" s="561">
        <f t="shared" si="0"/>
        <v>0</v>
      </c>
      <c r="J33" s="560" t="str">
        <f>IFERROR('Facility Master'!K34,"")</f>
        <v>INR</v>
      </c>
      <c r="K33" s="563" t="str">
        <f>IFERROR('Facility Master'!AH34,"")</f>
        <v>Sub-limit of CCOL.</v>
      </c>
    </row>
    <row r="34" spans="1:11" ht="16.95" customHeight="1" x14ac:dyDescent="0.3">
      <c r="A34" s="335">
        <v>31</v>
      </c>
      <c r="B34" s="344" t="str">
        <f>IFERROR('Facility Master'!B35,"")</f>
        <v>South Indian Bank</v>
      </c>
      <c r="C34" s="556" t="str">
        <f>IFERROR('Facility Master'!C35,"")</f>
        <v>Inland / Import LC</v>
      </c>
      <c r="D34" s="566" t="str">
        <f>IFERROR('Facility Master'!D35,"")</f>
        <v>NFB</v>
      </c>
      <c r="E34" s="467">
        <f>IFERROR('Facility Master'!J35,0)</f>
        <v>2</v>
      </c>
      <c r="F34" s="557">
        <f>IFERROR('Facility Master'!M35,0)</f>
        <v>150</v>
      </c>
      <c r="G34" s="557">
        <f>IFERROR('Facility Master'!O35,0)</f>
        <v>150</v>
      </c>
      <c r="H34" s="558">
        <f>IFERROR('Facility Master'!T35,0)</f>
        <v>6.4999999999999997E-3</v>
      </c>
      <c r="I34" s="557">
        <f t="shared" si="0"/>
        <v>0.97499999999999998</v>
      </c>
      <c r="J34" s="556" t="str">
        <f>IFERROR('Facility Master'!K35,"")</f>
        <v>INR</v>
      </c>
      <c r="K34" s="559" t="str">
        <f>IFERROR('Facility Master'!AH35,"")</f>
        <v>Total LC + Capex LC ≤ INR 150 Cr.</v>
      </c>
    </row>
    <row r="35" spans="1:11" ht="16.95" customHeight="1" x14ac:dyDescent="0.3">
      <c r="A35" s="335">
        <v>32</v>
      </c>
      <c r="B35" s="344" t="str">
        <f>IFERROR('Facility Master'!B36,"")</f>
        <v>South Indian Bank</v>
      </c>
      <c r="C35" s="560" t="str">
        <f>IFERROR('Facility Master'!C36,"")</f>
        <v>Capex LC</v>
      </c>
      <c r="D35" s="566" t="str">
        <f>IFERROR('Facility Master'!D36,"")</f>
        <v>NFB</v>
      </c>
      <c r="E35" s="564">
        <f>IFERROR('Facility Master'!J36,0)</f>
        <v>2</v>
      </c>
      <c r="F35" s="561">
        <f>IFERROR('Facility Master'!M36,0)</f>
        <v>50</v>
      </c>
      <c r="G35" s="561">
        <f>IFERROR('Facility Master'!O36,0)</f>
        <v>50</v>
      </c>
      <c r="H35" s="562">
        <f>IFERROR('Facility Master'!T36,0)</f>
        <v>7.4999999999999997E-3</v>
      </c>
      <c r="I35" s="561">
        <f t="shared" si="0"/>
        <v>0.375</v>
      </c>
      <c r="J35" s="560" t="str">
        <f>IFERROR('Facility Master'!K36,"")</f>
        <v>INR</v>
      </c>
      <c r="K35" s="563" t="str">
        <f>IFERROR('Facility Master'!AH36,"")</f>
        <v>Combined with Inland/Import LC limit.</v>
      </c>
    </row>
    <row r="36" spans="1:11" ht="16.95" customHeight="1" x14ac:dyDescent="0.3">
      <c r="A36" s="335">
        <v>33</v>
      </c>
      <c r="B36" s="344" t="str">
        <f>IFERROR('Facility Master'!B37,"")</f>
        <v>South Indian Bank</v>
      </c>
      <c r="C36" s="556" t="str">
        <f>IFERROR('Facility Master'!C37,"")</f>
        <v>SBLC</v>
      </c>
      <c r="D36" s="566" t="str">
        <f>IFERROR('Facility Master'!D37,"")</f>
        <v>NFB</v>
      </c>
      <c r="E36" s="469">
        <f>IFERROR('Facility Master'!J37,0)</f>
        <v>0</v>
      </c>
      <c r="F36" s="557">
        <f>IFERROR('Facility Master'!M37,0)</f>
        <v>150</v>
      </c>
      <c r="G36" s="557">
        <f>IFERROR('Facility Master'!O37,0)</f>
        <v>150</v>
      </c>
      <c r="H36" s="558">
        <f>IFERROR('Facility Master'!T37,0)</f>
        <v>6.4999999999999997E-3</v>
      </c>
      <c r="I36" s="557">
        <f t="shared" si="0"/>
        <v>0.97499999999999998</v>
      </c>
      <c r="J36" s="556" t="str">
        <f>IFERROR('Facility Master'!K37,"")</f>
        <v>INR</v>
      </c>
      <c r="K36" s="559" t="str">
        <f>IFERROR('Facility Master'!AH37,"")</f>
        <v>Sub-limit of LC.</v>
      </c>
    </row>
    <row r="37" spans="1:11" ht="16.95" customHeight="1" x14ac:dyDescent="0.3">
      <c r="A37" s="335">
        <v>34</v>
      </c>
      <c r="B37" s="344" t="str">
        <f>IFERROR('Facility Master'!B38,"")</f>
        <v>South Indian Bank</v>
      </c>
      <c r="C37" s="560" t="str">
        <f>IFERROR('Facility Master'!C38,"")</f>
        <v>Forward Contract Limit</v>
      </c>
      <c r="D37" s="566" t="str">
        <f>IFERROR('Facility Master'!D38,"")</f>
        <v>Hedge</v>
      </c>
      <c r="E37" s="564">
        <f>IFERROR('Facility Master'!J38,0)</f>
        <v>3</v>
      </c>
      <c r="F37" s="561">
        <f>IFERROR('Facility Master'!M38,0)</f>
        <v>3</v>
      </c>
      <c r="G37" s="561">
        <f>IFERROR('Facility Master'!O38,0)</f>
        <v>3</v>
      </c>
      <c r="H37" s="562">
        <f>IFERROR('Facility Master'!T38,0)</f>
        <v>0</v>
      </c>
      <c r="I37" s="561">
        <f t="shared" si="0"/>
        <v>0</v>
      </c>
      <c r="J37" s="560" t="str">
        <f>IFERROR('Facility Master'!K38,"")</f>
        <v>INR</v>
      </c>
      <c r="K37" s="563" t="str">
        <f>IFERROR('Facility Master'!AH38,"")</f>
        <v>Notional limit.</v>
      </c>
    </row>
    <row r="38" spans="1:11" ht="7.95" customHeight="1" thickBot="1" x14ac:dyDescent="0.35">
      <c r="A38" s="204"/>
      <c r="B38" s="95"/>
      <c r="C38" s="94"/>
      <c r="D38" s="94"/>
      <c r="E38" s="94"/>
      <c r="F38" s="93"/>
      <c r="G38" s="93"/>
      <c r="H38" s="93"/>
      <c r="I38" s="93"/>
      <c r="J38" s="94"/>
      <c r="K38" s="96"/>
    </row>
    <row r="39" spans="1:11" ht="22.05" customHeight="1" thickBot="1" x14ac:dyDescent="0.35">
      <c r="A39" s="1369" t="s">
        <v>455</v>
      </c>
      <c r="B39" s="1370"/>
      <c r="C39" s="1370"/>
      <c r="D39" s="1370"/>
      <c r="E39" s="1370"/>
      <c r="F39" s="1370"/>
      <c r="G39" s="1370"/>
      <c r="H39" s="1370"/>
      <c r="I39" s="1370"/>
      <c r="J39" s="1370"/>
      <c r="K39" s="1371"/>
    </row>
    <row r="40" spans="1:11" ht="22.05" customHeight="1" x14ac:dyDescent="0.3">
      <c r="A40" s="485" t="s">
        <v>456</v>
      </c>
      <c r="B40" s="205"/>
      <c r="C40" s="205"/>
      <c r="D40" s="205"/>
      <c r="E40" s="205"/>
      <c r="F40" s="205"/>
      <c r="G40" s="205"/>
      <c r="H40" s="205"/>
      <c r="I40" s="474" cm="1">
        <f t="array" ref="I40">IFERROR(SUMPRODUCT(('Facility Master'!J5:J38=1)*'Facility Master'!O5:O38*'Facility Master'!T5:T38),0)</f>
        <v>95.213722695035457</v>
      </c>
      <c r="J40" s="205"/>
      <c r="K40" s="206"/>
    </row>
    <row r="41" spans="1:11" ht="22.05" customHeight="1" x14ac:dyDescent="0.3">
      <c r="A41" s="486" t="s">
        <v>457</v>
      </c>
      <c r="B41" s="475"/>
      <c r="C41" s="475"/>
      <c r="D41" s="475"/>
      <c r="E41" s="475"/>
      <c r="F41" s="475"/>
      <c r="G41" s="475"/>
      <c r="H41" s="475"/>
      <c r="I41" s="477" cm="1">
        <f t="array" ref="I41">IFERROR(SUMPRODUCT(('Facility Master'!J5:J38=2)*'Facility Master'!O5:O38*'Facility Master'!T5:T38),0)</f>
        <v>3.1750000000000003</v>
      </c>
      <c r="J41" s="475"/>
      <c r="K41" s="476"/>
    </row>
    <row r="42" spans="1:11" ht="22.05" customHeight="1" x14ac:dyDescent="0.3">
      <c r="A42" s="487" t="s">
        <v>458</v>
      </c>
      <c r="B42" s="478"/>
      <c r="C42" s="478"/>
      <c r="D42" s="478"/>
      <c r="E42" s="478"/>
      <c r="F42" s="478"/>
      <c r="G42" s="478"/>
      <c r="H42" s="478"/>
      <c r="I42" s="480" cm="1">
        <f t="array" ref="I42">IFERROR(SUMPRODUCT(('Facility Master'!J5:J38=3)*'Facility Master'!O5:O38*'Facility Master'!T5:T38),0)</f>
        <v>7.2500000000000009</v>
      </c>
      <c r="J42" s="478"/>
      <c r="K42" s="479"/>
    </row>
    <row r="43" spans="1:11" ht="22.05" customHeight="1" x14ac:dyDescent="0.3">
      <c r="A43" s="488" t="s">
        <v>459</v>
      </c>
      <c r="B43" s="207"/>
      <c r="C43" s="207"/>
      <c r="D43" s="207"/>
      <c r="E43" s="207"/>
      <c r="F43" s="207"/>
      <c r="G43" s="207"/>
      <c r="H43" s="207"/>
      <c r="I43" s="481">
        <f>I40+I41+I42</f>
        <v>105.63872269503545</v>
      </c>
      <c r="J43" s="207"/>
      <c r="K43" s="208"/>
    </row>
    <row r="44" spans="1:11" ht="22.05" customHeight="1" thickBot="1" x14ac:dyDescent="0.35">
      <c r="A44" s="489" t="s">
        <v>460</v>
      </c>
      <c r="B44" s="482"/>
      <c r="C44" s="482"/>
      <c r="D44" s="482"/>
      <c r="E44" s="482"/>
      <c r="F44" s="482"/>
      <c r="G44" s="482"/>
      <c r="H44" s="482"/>
      <c r="I44" s="484">
        <f>IFERROR(I40/SUMIFS('Facility Master'!O:O,'Facility Master'!J:J,1),0)</f>
        <v>7.5153916473349042E-2</v>
      </c>
      <c r="J44" s="482"/>
      <c r="K44" s="483"/>
    </row>
    <row r="45" spans="1:11" ht="21.75" customHeight="1" x14ac:dyDescent="0.3"/>
    <row r="46" spans="1:11" ht="21.75" customHeight="1" x14ac:dyDescent="0.3"/>
    <row r="47" spans="1:11" ht="21.75" customHeight="1" x14ac:dyDescent="0.3"/>
    <row r="48" spans="1:11" ht="21.75" customHeight="1" x14ac:dyDescent="0.3"/>
    <row r="49" ht="21.75" customHeight="1" x14ac:dyDescent="0.3"/>
    <row r="51" ht="21.75" customHeight="1" x14ac:dyDescent="0.3"/>
    <row r="52" ht="30" customHeight="1" x14ac:dyDescent="0.3"/>
  </sheetData>
  <mergeCells count="2">
    <mergeCell ref="A1:K1"/>
    <mergeCell ref="A39:K39"/>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Z37"/>
  <sheetViews>
    <sheetView showGridLines="0" zoomScaleNormal="100" workbookViewId="0">
      <selection activeCell="K18" sqref="K18"/>
    </sheetView>
  </sheetViews>
  <sheetFormatPr defaultColWidth="8.6640625" defaultRowHeight="14.4" x14ac:dyDescent="0.3"/>
  <cols>
    <col min="1" max="1" width="20.33203125" customWidth="1"/>
    <col min="2" max="2" width="26.88671875" customWidth="1"/>
    <col min="3" max="3" width="11.109375" customWidth="1"/>
    <col min="4" max="6" width="12" customWidth="1"/>
    <col min="7" max="7" width="18.5546875" customWidth="1"/>
    <col min="8" max="8" width="13" customWidth="1"/>
    <col min="9" max="9" width="29.6640625" customWidth="1"/>
    <col min="10" max="10" width="22" customWidth="1"/>
    <col min="11" max="11" width="28" customWidth="1"/>
  </cols>
  <sheetData>
    <row r="1" spans="1:26" ht="30" customHeight="1" x14ac:dyDescent="0.3">
      <c r="A1" s="1372" t="s">
        <v>237</v>
      </c>
      <c r="B1" s="1372"/>
      <c r="C1" s="1372"/>
      <c r="D1" s="1372"/>
      <c r="E1" s="1372"/>
      <c r="F1" s="1372"/>
      <c r="G1" s="1372"/>
      <c r="H1" s="1372"/>
      <c r="I1" s="1372"/>
    </row>
    <row r="2" spans="1:26" ht="6" customHeight="1" thickBot="1" x14ac:dyDescent="0.35">
      <c r="A2" s="2"/>
      <c r="B2" s="2"/>
      <c r="C2" s="2"/>
      <c r="D2" s="2"/>
      <c r="E2" s="2"/>
      <c r="F2" s="2"/>
      <c r="G2" s="2"/>
      <c r="H2" s="2"/>
      <c r="I2" s="2"/>
    </row>
    <row r="3" spans="1:26" ht="22.05" customHeight="1" x14ac:dyDescent="0.3">
      <c r="A3" s="650" t="s">
        <v>52</v>
      </c>
      <c r="B3" s="651" t="s">
        <v>238</v>
      </c>
      <c r="C3" s="651" t="s">
        <v>240</v>
      </c>
      <c r="D3" s="651" t="s">
        <v>239</v>
      </c>
      <c r="E3" s="651" t="s">
        <v>269</v>
      </c>
      <c r="F3" s="651" t="s">
        <v>175</v>
      </c>
      <c r="G3" s="651" t="s">
        <v>0</v>
      </c>
      <c r="H3" s="651" t="s">
        <v>749</v>
      </c>
      <c r="I3" s="1518" t="str">
        <f>FinBasis</f>
        <v>Projected</v>
      </c>
    </row>
    <row r="4" spans="1:26" s="2" customFormat="1" ht="18" customHeight="1" x14ac:dyDescent="0.3">
      <c r="A4" s="588" t="s">
        <v>61</v>
      </c>
      <c r="B4" s="594" t="s">
        <v>241</v>
      </c>
      <c r="C4" s="594" t="s">
        <v>249</v>
      </c>
      <c r="D4" s="595">
        <v>1.5</v>
      </c>
      <c r="E4" s="595">
        <f>IFERROR((EBITDA_Active-TaxPaid_Active)/(SchedTLRep_Active+IntExp_Active),0)</f>
        <v>3.4889652877897301</v>
      </c>
      <c r="F4" s="595">
        <f>IFERROR(E4-D4,0)</f>
        <v>1.9889652877897301</v>
      </c>
      <c r="G4" s="642" t="str">
        <f>IFERROR(IF(E4&gt;=D4,IF((E4-D4)/MAX(ABS(D4),1)&gt;0.1,"Compliant","Near Breach"),"Breached"),"Pending Input")</f>
        <v>Compliant</v>
      </c>
      <c r="H4" s="645" t="str">
        <f t="shared" ref="H4:H27" si="0">IFERROR(IF(G4="Breached","Critical",IF(G4="Near Breach","High","Low")),"Low")</f>
        <v>Low</v>
      </c>
      <c r="I4" s="627" t="s">
        <v>462</v>
      </c>
      <c r="J4"/>
      <c r="K4"/>
      <c r="L4"/>
      <c r="M4"/>
      <c r="N4"/>
      <c r="O4"/>
      <c r="P4"/>
      <c r="Q4"/>
      <c r="R4"/>
      <c r="S4"/>
      <c r="T4"/>
      <c r="U4"/>
      <c r="V4"/>
      <c r="W4"/>
      <c r="X4"/>
      <c r="Y4"/>
      <c r="Z4"/>
    </row>
    <row r="5" spans="1:26" ht="18" customHeight="1" x14ac:dyDescent="0.3">
      <c r="A5" s="588" t="s">
        <v>61</v>
      </c>
      <c r="B5" s="596" t="s">
        <v>246</v>
      </c>
      <c r="C5" s="596" t="s">
        <v>247</v>
      </c>
      <c r="D5" s="597">
        <v>4</v>
      </c>
      <c r="E5" s="597">
        <f>IFERROR(TotalDebt_Active/EBITDA_Active,0)</f>
        <v>1.5965986040212523</v>
      </c>
      <c r="F5" s="597">
        <f>IFERROR(D5-E5,0)</f>
        <v>2.4034013959787477</v>
      </c>
      <c r="G5" s="642" t="str">
        <f>IFERROR(IF(E5&lt;=D5,IF((D5-E5)/MAX(ABS(D5),1)&gt;0.1,"Compliant","Near Breach"),"Breached"),"Pending Input")</f>
        <v>Compliant</v>
      </c>
      <c r="H5" s="645" t="str">
        <f t="shared" si="0"/>
        <v>Low</v>
      </c>
      <c r="I5" s="628" t="s">
        <v>462</v>
      </c>
    </row>
    <row r="6" spans="1:26" ht="18" customHeight="1" x14ac:dyDescent="0.3">
      <c r="A6" s="588" t="s">
        <v>61</v>
      </c>
      <c r="B6" s="598" t="s">
        <v>243</v>
      </c>
      <c r="C6" s="598" t="s">
        <v>247</v>
      </c>
      <c r="D6" s="599">
        <v>2.5</v>
      </c>
      <c r="E6" s="599">
        <f>IFERROR(TOL_Active/TNW_Active,0)</f>
        <v>1.5449853404131706</v>
      </c>
      <c r="F6" s="599">
        <f>IFERROR(D6-E6,0)</f>
        <v>0.95501465958682941</v>
      </c>
      <c r="G6" s="642" t="str">
        <f>IFERROR(IF(E6&lt;=D6,IF((D6-E6)/MAX(ABS(D6),1)&gt;0.1,"Compliant","Near Breach"),"Breached"),"Pending Input")</f>
        <v>Compliant</v>
      </c>
      <c r="H6" s="645" t="str">
        <f t="shared" si="0"/>
        <v>Low</v>
      </c>
      <c r="I6" s="629" t="s">
        <v>462</v>
      </c>
    </row>
    <row r="7" spans="1:26" ht="18" customHeight="1" x14ac:dyDescent="0.3">
      <c r="A7" s="588" t="s">
        <v>61</v>
      </c>
      <c r="B7" s="596" t="s">
        <v>242</v>
      </c>
      <c r="C7" s="596" t="s">
        <v>247</v>
      </c>
      <c r="D7" s="597">
        <v>3</v>
      </c>
      <c r="E7" s="597">
        <f>IFERROR(TermDebt_Active/EBITDA_Active,0)</f>
        <v>1.1232420043754558</v>
      </c>
      <c r="F7" s="597">
        <f>IFERROR(D7-E7,0)</f>
        <v>1.8767579956245442</v>
      </c>
      <c r="G7" s="642" t="str">
        <f>IFERROR(IF(E7&lt;=D7,IF((D7-E7)/MAX(ABS(D7),1)&gt;0.1,"Compliant","Near Breach"),"Breached"),"Pending Input")</f>
        <v>Compliant</v>
      </c>
      <c r="H7" s="645" t="str">
        <f t="shared" si="0"/>
        <v>Low</v>
      </c>
      <c r="I7" s="628" t="s">
        <v>462</v>
      </c>
    </row>
    <row r="8" spans="1:26" ht="18" customHeight="1" x14ac:dyDescent="0.3">
      <c r="A8" s="588" t="s">
        <v>61</v>
      </c>
      <c r="B8" s="598" t="s">
        <v>46</v>
      </c>
      <c r="C8" s="598" t="s">
        <v>244</v>
      </c>
      <c r="D8" s="600" t="s">
        <v>463</v>
      </c>
      <c r="E8" s="600" t="str">
        <f>Rating_Active</f>
        <v>CARE A+; Stable / A1</v>
      </c>
      <c r="F8" s="1243">
        <f>IFERROR(IFERROR(VLOOKUP(IFERROR(TRIM(MID(E8,FIND(" ",E8)+1,FIND(";",E8)-FIND(" ",E8)-1)),E8),'Instructions &amp; Assumptions'!$A$61:$B$72,2,FALSE),0)-IFERROR(VLOOKUP(D8,'Instructions &amp; Assumptions'!$A$61:$B$72,2,FALSE),0),"N/A")</f>
        <v>3</v>
      </c>
      <c r="G8" s="644" t="str">
        <f>IFERROR(_xlfn.LET(_xlpm.actual_str,E8,_xlpm.thresh_str,D8,_xlpm.actual_token,IFERROR(TRIM(MID(_xlpm.actual_str,FIND(" ",_xlpm.actual_str)+1,IFERROR(FIND(";",_xlpm.actual_str)-FIND(" ",_xlpm.actual_str)-1,FIND(" ",_xlpm.actual_str,FIND(" ",_xlpm.actual_str)+1)-FIND(" ",_xlpm.actual_str)-1))),_xlpm.actual_str),_xlpm.actual_ord,IFERROR(VLOOKUP(_xlpm.actual_token,'Instructions &amp; Assumptions'!$A$61:$B$72,2,FALSE),0),_xlpm.thresh_ord,IFERROR(VLOOKUP(_xlpm.thresh_str,'Instructions &amp; Assumptions'!$A$61:$B$72,2,FALSE),0),IF(_xlpm.actual_ord=0,"Pending Input",IF(_xlpm.actual_ord&gt;=_xlpm.thresh_ord,IF(_xlpm.actual_ord-_xlpm.thresh_ord&gt;=2,"Compliant","Near Breach"),"Breached"))),"Pending Input")</f>
        <v>Compliant</v>
      </c>
      <c r="H8" s="645" t="str">
        <f t="shared" si="0"/>
        <v>Low</v>
      </c>
      <c r="I8" s="629" t="s">
        <v>464</v>
      </c>
    </row>
    <row r="9" spans="1:26" ht="18" customHeight="1" x14ac:dyDescent="0.3">
      <c r="A9" s="588" t="s">
        <v>61</v>
      </c>
      <c r="B9" s="596" t="s">
        <v>294</v>
      </c>
      <c r="C9" s="596" t="s">
        <v>249</v>
      </c>
      <c r="D9" s="601">
        <v>0.51</v>
      </c>
      <c r="E9" s="601">
        <f>PromStake_Active</f>
        <v>1</v>
      </c>
      <c r="F9" s="601">
        <f>IFERROR(E9-D9,0)</f>
        <v>0.49</v>
      </c>
      <c r="G9" s="642" t="str">
        <f>IFERROR(IF(E9&gt;=D9,IF((E9-D9)/MAX(ABS(D9),1)&gt;0.1,"Compliant","Near Breach"),"Breached"),"Pending Input")</f>
        <v>Compliant</v>
      </c>
      <c r="H9" s="645" t="str">
        <f t="shared" si="0"/>
        <v>Low</v>
      </c>
      <c r="I9" s="628" t="s">
        <v>465</v>
      </c>
    </row>
    <row r="10" spans="1:26" ht="18" customHeight="1" x14ac:dyDescent="0.3">
      <c r="A10" s="589" t="s">
        <v>123</v>
      </c>
      <c r="B10" s="602" t="s">
        <v>241</v>
      </c>
      <c r="C10" s="602" t="s">
        <v>249</v>
      </c>
      <c r="D10" s="603">
        <v>1.5</v>
      </c>
      <c r="E10" s="603">
        <f>IFERROR((EBITDA_Active-TaxPaid_Active)/(SchedTLRep_Active+IntExp_Active),0)</f>
        <v>3.4889652877897301</v>
      </c>
      <c r="F10" s="603">
        <f>IFERROR(E10-D10,0)</f>
        <v>1.9889652877897301</v>
      </c>
      <c r="G10" s="642" t="str">
        <f>IFERROR(IF(E10&gt;=D10,IF((E10-D10)/MAX(ABS(D10),1)&gt;0.1,"Compliant","Near Breach"),"Breached"),"Pending Input")</f>
        <v>Compliant</v>
      </c>
      <c r="H10" s="645" t="str">
        <f t="shared" si="0"/>
        <v>Low</v>
      </c>
      <c r="I10" s="630" t="s">
        <v>466</v>
      </c>
    </row>
    <row r="11" spans="1:26" ht="18" customHeight="1" x14ac:dyDescent="0.3">
      <c r="A11" s="589" t="s">
        <v>123</v>
      </c>
      <c r="B11" s="604" t="s">
        <v>246</v>
      </c>
      <c r="C11" s="604" t="s">
        <v>247</v>
      </c>
      <c r="D11" s="605">
        <v>4.5</v>
      </c>
      <c r="E11" s="605">
        <f>IFERROR(TotalDebt_Active/EBITDA_Active,0)</f>
        <v>1.5965986040212523</v>
      </c>
      <c r="F11" s="605">
        <f>IFERROR(D11-E11,0)</f>
        <v>2.9034013959787477</v>
      </c>
      <c r="G11" s="642" t="str">
        <f>IFERROR(IF(E11&lt;=D11,IF((D11-E11)/MAX(ABS(D11),1)&gt;0.1,"Compliant","Near Breach"),"Breached"),"Pending Input")</f>
        <v>Compliant</v>
      </c>
      <c r="H11" s="645" t="str">
        <f t="shared" si="0"/>
        <v>Low</v>
      </c>
      <c r="I11" s="631"/>
    </row>
    <row r="12" spans="1:26" ht="18" customHeight="1" x14ac:dyDescent="0.3">
      <c r="A12" s="589" t="s">
        <v>123</v>
      </c>
      <c r="B12" s="606" t="s">
        <v>243</v>
      </c>
      <c r="C12" s="606" t="s">
        <v>247</v>
      </c>
      <c r="D12" s="607">
        <v>2.5</v>
      </c>
      <c r="E12" s="607">
        <f>IFERROR(TOL_Active/TNW_Active,0)</f>
        <v>1.5449853404131706</v>
      </c>
      <c r="F12" s="607">
        <f>IFERROR(D12-E12,0)</f>
        <v>0.95501465958682941</v>
      </c>
      <c r="G12" s="642" t="str">
        <f>IFERROR(IF(E12&lt;=D12,IF((D12-E12)/MAX(ABS(D12),1)&gt;0.1,"Compliant","Near Breach"),"Breached"),"Pending Input")</f>
        <v>Compliant</v>
      </c>
      <c r="H12" s="645" t="str">
        <f t="shared" si="0"/>
        <v>Low</v>
      </c>
      <c r="I12" s="632"/>
    </row>
    <row r="13" spans="1:26" ht="18" customHeight="1" x14ac:dyDescent="0.3">
      <c r="A13" s="589" t="s">
        <v>123</v>
      </c>
      <c r="B13" s="604" t="s">
        <v>248</v>
      </c>
      <c r="C13" s="604" t="s">
        <v>249</v>
      </c>
      <c r="D13" s="605">
        <v>2</v>
      </c>
      <c r="E13" s="605">
        <f>IFERROR(EBITDA_Active/IntExp_Active,0)</f>
        <v>7.8231458842705788</v>
      </c>
      <c r="F13" s="605">
        <f>IFERROR(E13-D13,0)</f>
        <v>5.8231458842705788</v>
      </c>
      <c r="G13" s="642" t="str">
        <f>IFERROR(IF(E13&gt;=D13,IF((E13-D13)/MAX(ABS(D13),1)&gt;0.1,"Compliant","Near Breach"),"Breached"),"Pending Input")</f>
        <v>Compliant</v>
      </c>
      <c r="H13" s="645" t="str">
        <f t="shared" si="0"/>
        <v>Low</v>
      </c>
      <c r="I13" s="631"/>
    </row>
    <row r="14" spans="1:26" ht="18" customHeight="1" x14ac:dyDescent="0.3">
      <c r="A14" s="589" t="s">
        <v>123</v>
      </c>
      <c r="B14" s="606" t="s">
        <v>250</v>
      </c>
      <c r="C14" s="606" t="s">
        <v>249</v>
      </c>
      <c r="D14" s="607">
        <v>1.1000000000000001</v>
      </c>
      <c r="E14" s="607">
        <f>IFERROR(CA_Active/CL_Active,0)</f>
        <v>1.3858918115237064</v>
      </c>
      <c r="F14" s="607">
        <f>IFERROR(E14-D14,0)</f>
        <v>0.28589181152370635</v>
      </c>
      <c r="G14" s="642" t="str">
        <f>IFERROR(IF(E14&gt;=D14,IF((E14-D14)/MAX(ABS(D14),1)&gt;0.1,"Compliant","Near Breach"),"Breached"),"Pending Input")</f>
        <v>Compliant</v>
      </c>
      <c r="H14" s="645" t="str">
        <f t="shared" si="0"/>
        <v>Low</v>
      </c>
      <c r="I14" s="632"/>
    </row>
    <row r="15" spans="1:26" ht="18" customHeight="1" x14ac:dyDescent="0.3">
      <c r="A15" s="589" t="s">
        <v>123</v>
      </c>
      <c r="B15" s="604" t="s">
        <v>245</v>
      </c>
      <c r="C15" s="604" t="s">
        <v>249</v>
      </c>
      <c r="D15" s="605">
        <v>1.25</v>
      </c>
      <c r="E15" s="605">
        <f>IFERROR(FA_Active/SecuredDebt_Active,0)</f>
        <v>2.1742023743275833</v>
      </c>
      <c r="F15" s="605">
        <f>IFERROR(E15-D15,0)</f>
        <v>0.92420237432758334</v>
      </c>
      <c r="G15" s="642" t="str">
        <f>IFERROR(IF(E15&gt;=D15,IF((E15-D15)/MAX(ABS(D15),1)&gt;0.1,"Compliant","Near Breach"),"Breached"),"Pending Input")</f>
        <v>Compliant</v>
      </c>
      <c r="H15" s="645" t="str">
        <f t="shared" si="0"/>
        <v>Low</v>
      </c>
      <c r="I15" s="631"/>
    </row>
    <row r="16" spans="1:26" ht="18" customHeight="1" x14ac:dyDescent="0.3">
      <c r="A16" s="590" t="s">
        <v>137</v>
      </c>
      <c r="B16" s="608" t="s">
        <v>241</v>
      </c>
      <c r="C16" s="608" t="s">
        <v>249</v>
      </c>
      <c r="D16" s="609">
        <v>1.5</v>
      </c>
      <c r="E16" s="609">
        <f>IFERROR((EBITDA_Active-TaxPaid_Active)/(SchedTLRep_Active+IntExp_Active),0)</f>
        <v>3.4889652877897301</v>
      </c>
      <c r="F16" s="609">
        <f>IFERROR(E16-D16,0)</f>
        <v>1.9889652877897301</v>
      </c>
      <c r="G16" s="642" t="str">
        <f>IFERROR(IF(E16&gt;=D16,IF((E16-D16)/MAX(ABS(D16),1)&gt;0.1,"Compliant","Near Breach"),"Breached"),"Pending Input")</f>
        <v>Compliant</v>
      </c>
      <c r="H16" s="645" t="str">
        <f t="shared" si="0"/>
        <v>Low</v>
      </c>
      <c r="I16" s="633" t="s">
        <v>467</v>
      </c>
    </row>
    <row r="17" spans="1:9" ht="18" customHeight="1" x14ac:dyDescent="0.3">
      <c r="A17" s="590" t="s">
        <v>137</v>
      </c>
      <c r="B17" s="610" t="s">
        <v>246</v>
      </c>
      <c r="C17" s="610" t="s">
        <v>247</v>
      </c>
      <c r="D17" s="611">
        <v>4</v>
      </c>
      <c r="E17" s="611">
        <f>IFERROR(TotalDebt_Active/EBITDA_Active,0)</f>
        <v>1.5965986040212523</v>
      </c>
      <c r="F17" s="611">
        <f>IFERROR(D17-E17,0)</f>
        <v>2.4034013959787477</v>
      </c>
      <c r="G17" s="642" t="str">
        <f>IFERROR(IF(E17&lt;=D17,IF((D17-E17)/MAX(ABS(D17),1)&gt;0.1,"Compliant","Near Breach"),"Breached"),"Pending Input")</f>
        <v>Compliant</v>
      </c>
      <c r="H17" s="645" t="str">
        <f t="shared" si="0"/>
        <v>Low</v>
      </c>
      <c r="I17" s="634"/>
    </row>
    <row r="18" spans="1:9" ht="18" customHeight="1" x14ac:dyDescent="0.3">
      <c r="A18" s="590" t="s">
        <v>137</v>
      </c>
      <c r="B18" s="612" t="s">
        <v>243</v>
      </c>
      <c r="C18" s="612" t="s">
        <v>247</v>
      </c>
      <c r="D18" s="613">
        <v>2.5</v>
      </c>
      <c r="E18" s="613">
        <f>IFERROR(TOL_Active/TNW_Active,0)</f>
        <v>1.5449853404131706</v>
      </c>
      <c r="F18" s="613">
        <f>IFERROR(D18-E18,0)</f>
        <v>0.95501465958682941</v>
      </c>
      <c r="G18" s="642" t="str">
        <f>IFERROR(IF(E18&lt;=D18,IF((D18-E18)/MAX(ABS(D18),1)&gt;0.1,"Compliant","Near Breach"),"Breached"),"Pending Input")</f>
        <v>Compliant</v>
      </c>
      <c r="H18" s="645" t="str">
        <f t="shared" si="0"/>
        <v>Low</v>
      </c>
      <c r="I18" s="635"/>
    </row>
    <row r="19" spans="1:9" ht="18" customHeight="1" x14ac:dyDescent="0.3">
      <c r="A19" s="590" t="s">
        <v>137</v>
      </c>
      <c r="B19" s="610" t="s">
        <v>468</v>
      </c>
      <c r="C19" s="610" t="s">
        <v>249</v>
      </c>
      <c r="D19" s="611">
        <v>1.25</v>
      </c>
      <c r="E19" s="611">
        <f>IFERROR(FA_Active/SecuredDebt_Active,0)</f>
        <v>2.1742023743275833</v>
      </c>
      <c r="F19" s="611">
        <f>IFERROR(E19-D19,0)</f>
        <v>0.92420237432758334</v>
      </c>
      <c r="G19" s="642" t="str">
        <f>IFERROR(IF(E19&gt;=D19,IF((E19-D19)/MAX(ABS(D19),1)&gt;0.1,"Compliant","Near Breach"),"Breached"),"Pending Input")</f>
        <v>Compliant</v>
      </c>
      <c r="H19" s="645" t="str">
        <f t="shared" si="0"/>
        <v>Low</v>
      </c>
      <c r="I19" s="634" t="s">
        <v>469</v>
      </c>
    </row>
    <row r="20" spans="1:9" ht="18" customHeight="1" x14ac:dyDescent="0.3">
      <c r="A20" s="590" t="s">
        <v>137</v>
      </c>
      <c r="B20" s="612" t="s">
        <v>470</v>
      </c>
      <c r="C20" s="612" t="s">
        <v>247</v>
      </c>
      <c r="D20" s="613">
        <v>1.5</v>
      </c>
      <c r="E20" s="613">
        <f>IFERROR(TotalDebt_Active/TNW_Active,0)</f>
        <v>0.82827341142772215</v>
      </c>
      <c r="F20" s="613">
        <f>IFERROR(D20-E20,0)</f>
        <v>0.67172658857227785</v>
      </c>
      <c r="G20" s="642" t="str">
        <f>IFERROR(IF(E20&lt;=D20,IF((D20-E20)/MAX(ABS(D20),1)&gt;0.1,"Compliant","Near Breach"),"Breached"),"Pending Input")</f>
        <v>Compliant</v>
      </c>
      <c r="H20" s="645" t="str">
        <f t="shared" si="0"/>
        <v>Low</v>
      </c>
      <c r="I20" s="635"/>
    </row>
    <row r="21" spans="1:9" ht="18" customHeight="1" x14ac:dyDescent="0.3">
      <c r="A21" s="591" t="s">
        <v>143</v>
      </c>
      <c r="B21" s="614" t="s">
        <v>246</v>
      </c>
      <c r="C21" s="614" t="s">
        <v>247</v>
      </c>
      <c r="D21" s="615">
        <v>4</v>
      </c>
      <c r="E21" s="615">
        <f>IFERROR(TotalDebt_Active/EBITDA_Active,0)</f>
        <v>1.5965986040212523</v>
      </c>
      <c r="F21" s="615">
        <f>IFERROR(D21-E21,0)</f>
        <v>2.4034013959787477</v>
      </c>
      <c r="G21" s="642" t="str">
        <f>IFERROR(IF(E21&lt;=D21,IF((D21-E21)/MAX(ABS(D21),1)&gt;0.1,"Compliant","Near Breach"),"Breached"),"Pending Input")</f>
        <v>Compliant</v>
      </c>
      <c r="H21" s="645" t="str">
        <f t="shared" si="0"/>
        <v>Low</v>
      </c>
      <c r="I21" s="636"/>
    </row>
    <row r="22" spans="1:9" ht="18" customHeight="1" x14ac:dyDescent="0.3">
      <c r="A22" s="591" t="s">
        <v>143</v>
      </c>
      <c r="B22" s="616" t="s">
        <v>243</v>
      </c>
      <c r="C22" s="616" t="s">
        <v>247</v>
      </c>
      <c r="D22" s="617">
        <v>2.5</v>
      </c>
      <c r="E22" s="617">
        <f>IFERROR(TOL_Active/TNW_Active,0)</f>
        <v>1.5449853404131706</v>
      </c>
      <c r="F22" s="617">
        <f>IFERROR(D22-E22,0)</f>
        <v>0.95501465958682941</v>
      </c>
      <c r="G22" s="642" t="str">
        <f>IFERROR(IF(E22&lt;=D22,IF((D22-E22)/MAX(ABS(D22),1)&gt;0.1,"Compliant","Near Breach"),"Breached"),"Pending Input")</f>
        <v>Compliant</v>
      </c>
      <c r="H22" s="645" t="str">
        <f t="shared" si="0"/>
        <v>Low</v>
      </c>
      <c r="I22" s="637"/>
    </row>
    <row r="23" spans="1:9" ht="18" customHeight="1" x14ac:dyDescent="0.3">
      <c r="A23" s="591" t="s">
        <v>143</v>
      </c>
      <c r="B23" s="618" t="s">
        <v>250</v>
      </c>
      <c r="C23" s="618" t="s">
        <v>249</v>
      </c>
      <c r="D23" s="619">
        <v>1.1000000000000001</v>
      </c>
      <c r="E23" s="619">
        <f>IFERROR(CA_Active/CL_Active,0)</f>
        <v>1.3858918115237064</v>
      </c>
      <c r="F23" s="619">
        <f>IFERROR(E23-D23,0)</f>
        <v>0.28589181152370635</v>
      </c>
      <c r="G23" s="642" t="str">
        <f>IFERROR(IF(E23&gt;=D23,IF((E23-D23)/MAX(ABS(D23),1)&gt;0.1,"Compliant","Near Breach"),"Breached"),"Pending Input")</f>
        <v>Compliant</v>
      </c>
      <c r="H23" s="645" t="str">
        <f t="shared" si="0"/>
        <v>Low</v>
      </c>
      <c r="I23" s="638"/>
    </row>
    <row r="24" spans="1:9" ht="18" customHeight="1" x14ac:dyDescent="0.3">
      <c r="A24" s="591" t="s">
        <v>143</v>
      </c>
      <c r="B24" s="616" t="s">
        <v>46</v>
      </c>
      <c r="C24" s="616" t="s">
        <v>244</v>
      </c>
      <c r="D24" s="620" t="s">
        <v>471</v>
      </c>
      <c r="E24" s="620" t="str">
        <f>Rating_Active</f>
        <v>CARE A+; Stable / A1</v>
      </c>
      <c r="F24" s="1244">
        <f>IFERROR(IFERROR(VLOOKUP(IFERROR(TRIM(MID(E24,FIND(" ",E24)+1,FIND(";",E24)-FIND(" ",E24)-1)),E24),'Instructions &amp; Assumptions'!$A$61:$B$72,2,FALSE),0)-IFERROR(VLOOKUP(D24,'Instructions &amp; Assumptions'!$A$61:$B$72,2,FALSE),0),"N/A")</f>
        <v>2</v>
      </c>
      <c r="G24" s="644" t="str">
        <f>IFERROR(_xlfn.LET(_xlpm.actual_str,E24,_xlpm.thresh_str,D24,_xlpm.actual_token,IFERROR(TRIM(MID(_xlpm.actual_str,FIND(" ",_xlpm.actual_str)+1,IFERROR(FIND(";",_xlpm.actual_str)-FIND(" ",_xlpm.actual_str)-1,FIND(" ",_xlpm.actual_str,FIND(" ",_xlpm.actual_str)+1)-FIND(" ",_xlpm.actual_str)-1))),_xlpm.actual_str),_xlpm.actual_ord,IFERROR(VLOOKUP(_xlpm.actual_token,'Instructions &amp; Assumptions'!$A$61:$B$72,2,FALSE),0),_xlpm.thresh_ord,IFERROR(VLOOKUP(_xlpm.thresh_str,'Instructions &amp; Assumptions'!$A$61:$B$72,2,FALSE),0),IF(_xlpm.actual_ord=0,"Pending Input",IF(_xlpm.actual_ord&gt;=_xlpm.thresh_ord,IF(_xlpm.actual_ord-_xlpm.thresh_ord&gt;=2,"Compliant","Near Breach"),"Breached"))),"Pending Input")</f>
        <v>Compliant</v>
      </c>
      <c r="H24" s="645" t="str">
        <f t="shared" si="0"/>
        <v>Low</v>
      </c>
      <c r="I24" s="637"/>
    </row>
    <row r="25" spans="1:9" ht="18" customHeight="1" x14ac:dyDescent="0.3">
      <c r="A25" s="592" t="s">
        <v>159</v>
      </c>
      <c r="B25" s="621" t="s">
        <v>246</v>
      </c>
      <c r="C25" s="621" t="s">
        <v>247</v>
      </c>
      <c r="D25" s="622">
        <v>4.5</v>
      </c>
      <c r="E25" s="622">
        <f>IFERROR(TotalDebt_Active/EBITDA_Active,0)</f>
        <v>1.5965986040212523</v>
      </c>
      <c r="F25" s="622">
        <f>IFERROR(D25-E25,0)</f>
        <v>2.9034013959787477</v>
      </c>
      <c r="G25" s="642" t="str">
        <f>IFERROR(IF(E25&lt;=D25,IF((D25-E25)/MAX(ABS(D25),1)&gt;0.1,"Compliant","Near Breach"),"Breached"),"Pending Input")</f>
        <v>Compliant</v>
      </c>
      <c r="H25" s="645" t="str">
        <f t="shared" si="0"/>
        <v>Low</v>
      </c>
      <c r="I25" s="639"/>
    </row>
    <row r="26" spans="1:9" ht="18" customHeight="1" x14ac:dyDescent="0.3">
      <c r="A26" s="592" t="s">
        <v>159</v>
      </c>
      <c r="B26" s="623" t="s">
        <v>243</v>
      </c>
      <c r="C26" s="623" t="s">
        <v>247</v>
      </c>
      <c r="D26" s="624">
        <v>2.5</v>
      </c>
      <c r="E26" s="624">
        <f>IFERROR(TOL_Active/TNW_Active,0)</f>
        <v>1.5449853404131706</v>
      </c>
      <c r="F26" s="624">
        <f>IFERROR(D26-E26,0)</f>
        <v>0.95501465958682941</v>
      </c>
      <c r="G26" s="642" t="str">
        <f>IFERROR(IF(E26&lt;=D26,IF((D26-E26)/MAX(ABS(D26),1)&gt;0.1,"Compliant","Near Breach"),"Breached"),"Pending Input")</f>
        <v>Compliant</v>
      </c>
      <c r="H26" s="645" t="str">
        <f t="shared" si="0"/>
        <v>Low</v>
      </c>
      <c r="I26" s="640"/>
    </row>
    <row r="27" spans="1:9" ht="18" customHeight="1" thickBot="1" x14ac:dyDescent="0.35">
      <c r="A27" s="593" t="s">
        <v>159</v>
      </c>
      <c r="B27" s="625" t="s">
        <v>248</v>
      </c>
      <c r="C27" s="625" t="s">
        <v>249</v>
      </c>
      <c r="D27" s="626">
        <v>2</v>
      </c>
      <c r="E27" s="626">
        <f>IFERROR(EBITDA_Active/IntExp_Active,0)</f>
        <v>7.8231458842705788</v>
      </c>
      <c r="F27" s="626">
        <f>IFERROR(E27-D27,0)</f>
        <v>5.8231458842705788</v>
      </c>
      <c r="G27" s="643" t="str">
        <f>IFERROR(IF(E27&gt;=D27,IF((E27-D27)/MAX(ABS(D27),1)&gt;0.1,"Compliant","Near Breach"),"Breached"),"Pending Input")</f>
        <v>Compliant</v>
      </c>
      <c r="H27" s="646" t="str">
        <f t="shared" si="0"/>
        <v>Low</v>
      </c>
      <c r="I27" s="641"/>
    </row>
    <row r="28" spans="1:9" ht="7.95" customHeight="1" x14ac:dyDescent="0.3">
      <c r="A28" s="210"/>
      <c r="B28" s="73"/>
      <c r="C28" s="73"/>
      <c r="D28" s="73"/>
      <c r="E28" s="73"/>
      <c r="F28" s="73"/>
      <c r="G28" s="73"/>
      <c r="H28" s="73"/>
      <c r="I28" s="211"/>
    </row>
    <row r="29" spans="1:9" ht="19.95" customHeight="1" thickBot="1" x14ac:dyDescent="0.35">
      <c r="A29" s="1373" t="s">
        <v>251</v>
      </c>
      <c r="B29" s="1374"/>
      <c r="C29" s="1374"/>
      <c r="D29" s="1374"/>
      <c r="E29" s="1374"/>
      <c r="F29" s="1374"/>
      <c r="G29" s="1374"/>
      <c r="H29" s="1374"/>
      <c r="I29" s="1375"/>
    </row>
    <row r="30" spans="1:9" ht="19.95" customHeight="1" x14ac:dyDescent="0.3">
      <c r="A30" s="647" t="s">
        <v>252</v>
      </c>
      <c r="B30" s="648">
        <f>COUNTA(B4:B27)</f>
        <v>24</v>
      </c>
      <c r="C30" s="648"/>
      <c r="D30" s="648"/>
      <c r="E30" s="648"/>
      <c r="F30" s="648"/>
      <c r="G30" s="648"/>
      <c r="H30" s="648"/>
      <c r="I30" s="649"/>
    </row>
    <row r="31" spans="1:9" ht="19.95" customHeight="1" x14ac:dyDescent="0.3">
      <c r="A31" s="570" t="s">
        <v>253</v>
      </c>
      <c r="B31" s="571">
        <f>COUNTIF(G4:G27,"Compliant")</f>
        <v>24</v>
      </c>
      <c r="C31" s="568"/>
      <c r="D31" s="568"/>
      <c r="E31" s="568"/>
      <c r="F31" s="568"/>
      <c r="G31" s="568"/>
      <c r="H31" s="568"/>
      <c r="I31" s="569"/>
    </row>
    <row r="32" spans="1:9" ht="19.95" customHeight="1" x14ac:dyDescent="0.3">
      <c r="A32" s="574" t="s">
        <v>472</v>
      </c>
      <c r="B32" s="575">
        <f>COUNTIF(G4:G27,"Near Breach")</f>
        <v>0</v>
      </c>
      <c r="C32" s="572"/>
      <c r="D32" s="572"/>
      <c r="E32" s="572"/>
      <c r="F32" s="572"/>
      <c r="G32" s="572"/>
      <c r="H32" s="572"/>
      <c r="I32" s="573"/>
    </row>
    <row r="33" spans="1:9" ht="19.95" customHeight="1" x14ac:dyDescent="0.3">
      <c r="A33" s="578" t="s">
        <v>473</v>
      </c>
      <c r="B33" s="579">
        <f>COUNTIF(G4:G27,"Breached")</f>
        <v>0</v>
      </c>
      <c r="C33" s="576"/>
      <c r="D33" s="576"/>
      <c r="E33" s="576"/>
      <c r="F33" s="576"/>
      <c r="G33" s="576"/>
      <c r="H33" s="576"/>
      <c r="I33" s="577"/>
    </row>
    <row r="34" spans="1:9" ht="19.95" customHeight="1" x14ac:dyDescent="0.3">
      <c r="A34" s="582" t="s">
        <v>254</v>
      </c>
      <c r="B34" s="583">
        <f>COUNTIFS(G4:G27,"Pending*")</f>
        <v>0</v>
      </c>
      <c r="C34" s="580"/>
      <c r="D34" s="580"/>
      <c r="E34" s="580"/>
      <c r="F34" s="580"/>
      <c r="G34" s="580"/>
      <c r="H34" s="580"/>
      <c r="I34" s="581"/>
    </row>
    <row r="35" spans="1:9" ht="19.95" customHeight="1" thickBot="1" x14ac:dyDescent="0.35">
      <c r="A35" s="586" t="s">
        <v>474</v>
      </c>
      <c r="B35" s="587">
        <f>IFERROR(B31/B30,0)</f>
        <v>1</v>
      </c>
      <c r="C35" s="584"/>
      <c r="D35" s="584"/>
      <c r="E35" s="584"/>
      <c r="F35" s="584"/>
      <c r="G35" s="584"/>
      <c r="H35" s="584"/>
      <c r="I35" s="585"/>
    </row>
    <row r="36" spans="1:9" ht="7.95" customHeight="1" x14ac:dyDescent="0.3">
      <c r="A36" s="210"/>
      <c r="B36" s="73"/>
      <c r="C36" s="73"/>
      <c r="D36" s="73"/>
      <c r="E36" s="73"/>
      <c r="F36" s="73"/>
      <c r="G36" s="73"/>
      <c r="H36" s="73"/>
      <c r="I36" s="211"/>
    </row>
    <row r="37" spans="1:9" ht="36" customHeight="1" thickBot="1" x14ac:dyDescent="0.35">
      <c r="A37" s="1376" t="s">
        <v>748</v>
      </c>
      <c r="B37" s="1377"/>
      <c r="C37" s="1377"/>
      <c r="D37" s="1377"/>
      <c r="E37" s="1377"/>
      <c r="F37" s="1377"/>
      <c r="G37" s="1377"/>
      <c r="H37" s="1377"/>
      <c r="I37" s="1378"/>
    </row>
  </sheetData>
  <mergeCells count="3">
    <mergeCell ref="A1:I1"/>
    <mergeCell ref="A29:I29"/>
    <mergeCell ref="A37:I37"/>
  </mergeCells>
  <conditionalFormatting sqref="G4:G27">
    <cfRule type="cellIs" dxfId="33" priority="1" operator="equal">
      <formula>"Compliant"</formula>
    </cfRule>
    <cfRule type="cellIs" dxfId="32" priority="2" operator="equal">
      <formula>"Near Breach"</formula>
    </cfRule>
    <cfRule type="cellIs" dxfId="31" priority="3" operator="equal">
      <formula>"Breached"</formula>
    </cfRule>
  </conditionalFormatting>
  <pageMargins left="0.75" right="0.75" top="1" bottom="1" header="0.511811023622047" footer="0.511811023622047"/>
  <pageSetup paperSize="9" orientation="portrait" horizontalDpi="300" verticalDpi="300"/>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Z21"/>
  <sheetViews>
    <sheetView showGridLines="0" zoomScaleNormal="100" workbookViewId="0">
      <pane ySplit="3" topLeftCell="A4" activePane="bottomLeft" state="frozen"/>
      <selection pane="bottomLeft" activeCell="D6" sqref="D6"/>
    </sheetView>
  </sheetViews>
  <sheetFormatPr defaultColWidth="8.6640625" defaultRowHeight="14.4" x14ac:dyDescent="0.3"/>
  <cols>
    <col min="1" max="1" width="22.21875" customWidth="1"/>
    <col min="2" max="2" width="11.109375" bestFit="1" customWidth="1"/>
    <col min="3" max="3" width="23.109375" bestFit="1" customWidth="1"/>
    <col min="4" max="4" width="16.6640625" bestFit="1" customWidth="1"/>
    <col min="5" max="5" width="33.33203125" customWidth="1"/>
    <col min="6" max="6" width="46.33203125" customWidth="1"/>
    <col min="7" max="8" width="20" customWidth="1"/>
    <col min="9" max="9" width="18" customWidth="1"/>
    <col min="10" max="10" width="24" customWidth="1"/>
  </cols>
  <sheetData>
    <row r="1" spans="1:26" ht="30" customHeight="1" x14ac:dyDescent="0.3">
      <c r="A1" s="1325" t="s">
        <v>255</v>
      </c>
      <c r="B1" s="1325"/>
      <c r="C1" s="1325"/>
      <c r="D1" s="1325"/>
      <c r="E1" s="1325"/>
      <c r="F1" s="1325"/>
    </row>
    <row r="2" spans="1:26" ht="6" customHeight="1" thickBot="1" x14ac:dyDescent="0.35">
      <c r="A2" s="2"/>
      <c r="B2" s="2"/>
      <c r="C2" s="2"/>
      <c r="D2" s="2"/>
      <c r="E2" s="2"/>
      <c r="F2" s="2"/>
    </row>
    <row r="3" spans="1:26" ht="24" customHeight="1" x14ac:dyDescent="0.3">
      <c r="A3" s="105" t="s">
        <v>52</v>
      </c>
      <c r="B3" s="75" t="s">
        <v>491</v>
      </c>
      <c r="C3" s="75" t="s">
        <v>731</v>
      </c>
      <c r="D3" s="75" t="s">
        <v>492</v>
      </c>
      <c r="E3" s="75" t="s">
        <v>493</v>
      </c>
      <c r="F3" s="106" t="s">
        <v>494</v>
      </c>
    </row>
    <row r="4" spans="1:26" s="2" customFormat="1" ht="41.4" x14ac:dyDescent="0.3">
      <c r="A4" s="109" t="s">
        <v>61</v>
      </c>
      <c r="B4" s="92">
        <f>IFERROR(COUNTIFS('Facility Master'!B:B,"RBL Bank",'Facility Master'!A:A,"&gt;0"),0)</f>
        <v>15</v>
      </c>
      <c r="C4" s="89">
        <f>'Lender Summary'!B44</f>
        <v>1007</v>
      </c>
      <c r="D4" s="213" t="str">
        <f>IFERROR(IF(COUNTIFS('Facility Master'!B:B,"RBL Bank",'Facility Master'!AF:AF,"*Personal*")&gt;0,"Yes","See note"),"")</f>
        <v>Yes</v>
      </c>
      <c r="E4" s="88" t="s">
        <v>495</v>
      </c>
      <c r="F4" s="100" t="s">
        <v>496</v>
      </c>
      <c r="G4"/>
      <c r="H4"/>
      <c r="I4"/>
      <c r="J4"/>
      <c r="K4"/>
      <c r="L4"/>
      <c r="M4"/>
      <c r="N4"/>
      <c r="O4"/>
      <c r="P4"/>
      <c r="Q4"/>
      <c r="R4"/>
      <c r="S4"/>
      <c r="T4"/>
      <c r="U4"/>
      <c r="V4"/>
      <c r="W4"/>
      <c r="X4"/>
      <c r="Y4"/>
      <c r="Z4"/>
    </row>
    <row r="5" spans="1:26" ht="27.6" x14ac:dyDescent="0.3">
      <c r="A5" s="107" t="s">
        <v>123</v>
      </c>
      <c r="B5" s="86">
        <f>IFERROR(COUNTIFS('Facility Master'!B:B,"YES Bank",'Facility Master'!A:A,"&gt;0"),0)</f>
        <v>6</v>
      </c>
      <c r="C5" s="84">
        <f>'Lender Summary'!B45</f>
        <v>695.7</v>
      </c>
      <c r="D5" s="214" t="str">
        <f>IFERROR(IF(COUNTIFS('Facility Master'!B:B,"YES Bank",'Facility Master'!AF:AF,"*Personal*")&gt;0,"Yes","See note"),"")</f>
        <v>Yes</v>
      </c>
      <c r="E5" s="83" t="s">
        <v>495</v>
      </c>
      <c r="F5" s="99" t="s">
        <v>497</v>
      </c>
    </row>
    <row r="6" spans="1:26" ht="27.6" x14ac:dyDescent="0.3">
      <c r="A6" s="109" t="s">
        <v>137</v>
      </c>
      <c r="B6" s="92">
        <f>IFERROR(COUNTIFS('Facility Master'!B:B,"Bajaj Finance",'Facility Master'!A:A,"&gt;0"),0)</f>
        <v>1</v>
      </c>
      <c r="C6" s="89">
        <f>'Lender Summary'!B46</f>
        <v>150</v>
      </c>
      <c r="D6" s="213" t="str">
        <f>IFERROR(IF(COUNTIFS('Facility Master'!B:B,"Bajaj Finance",'Facility Master'!AF:AF,"*Personal*")&gt;0,"Yes","See note"),"")</f>
        <v>See note</v>
      </c>
      <c r="E6" s="88" t="s">
        <v>495</v>
      </c>
      <c r="F6" s="100" t="s">
        <v>498</v>
      </c>
    </row>
    <row r="7" spans="1:26" ht="27.6" x14ac:dyDescent="0.3">
      <c r="A7" s="107" t="s">
        <v>143</v>
      </c>
      <c r="B7" s="86">
        <f>IFERROR(COUNTIFS('Facility Master'!B:B,"ICICI Bank",'Facility Master'!A:A,"&gt;0"),0)</f>
        <v>6</v>
      </c>
      <c r="C7" s="84">
        <f>'Lender Summary'!B47</f>
        <v>200</v>
      </c>
      <c r="D7" s="214" t="str">
        <f>IFERROR(IF(COUNTIFS('Facility Master'!B:B,"ICICI Bank",'Facility Master'!AF:AF,"*Personal*")&gt;0,"Yes","See note"),"")</f>
        <v>See note</v>
      </c>
      <c r="E7" s="83" t="s">
        <v>495</v>
      </c>
      <c r="F7" s="99" t="s">
        <v>499</v>
      </c>
    </row>
    <row r="8" spans="1:26" ht="28.2" thickBot="1" x14ac:dyDescent="0.35">
      <c r="A8" s="215" t="s">
        <v>159</v>
      </c>
      <c r="B8" s="93">
        <f>IFERROR(COUNTIFS('Facility Master'!B:B,"South Indian Bank",'Facility Master'!A:A,"&gt;0"),0)</f>
        <v>6</v>
      </c>
      <c r="C8" s="216">
        <f>'Lender Summary'!B48</f>
        <v>253</v>
      </c>
      <c r="D8" s="217" t="str">
        <f>IFERROR(IF(COUNTIFS('Facility Master'!B:B,"South Indian Bank",'Facility Master'!AF:AF,"*Personal*")&gt;0,"Yes","See note"),"")</f>
        <v>See note</v>
      </c>
      <c r="E8" s="95" t="s">
        <v>495</v>
      </c>
      <c r="F8" s="101" t="s">
        <v>499</v>
      </c>
    </row>
    <row r="9" spans="1:26" ht="61.5" customHeight="1" x14ac:dyDescent="0.3"/>
    <row r="10" spans="1:26" ht="61.5" customHeight="1" x14ac:dyDescent="0.3"/>
    <row r="13" spans="1:26" ht="21.75" customHeight="1" x14ac:dyDescent="0.3"/>
    <row r="14" spans="1:26" ht="24" customHeight="1" x14ac:dyDescent="0.3"/>
    <row r="15" spans="1:26" ht="24" customHeight="1" x14ac:dyDescent="0.3"/>
    <row r="16" spans="1:26" ht="24" customHeight="1" x14ac:dyDescent="0.3"/>
    <row r="17" ht="24" customHeight="1" x14ac:dyDescent="0.3"/>
    <row r="18" ht="24" customHeight="1" x14ac:dyDescent="0.3"/>
    <row r="19" ht="24" customHeight="1" x14ac:dyDescent="0.3"/>
    <row r="20" ht="24" customHeight="1" x14ac:dyDescent="0.3"/>
    <row r="21" ht="24" customHeight="1" x14ac:dyDescent="0.3"/>
  </sheetData>
  <mergeCells count="1">
    <mergeCell ref="A1:F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Z40"/>
  <sheetViews>
    <sheetView showGridLines="0" topLeftCell="B1" zoomScaleNormal="100" workbookViewId="0">
      <pane ySplit="3" topLeftCell="A4" activePane="bottomLeft" state="frozen"/>
      <selection pane="bottomLeft" activeCell="G6" sqref="G6"/>
    </sheetView>
  </sheetViews>
  <sheetFormatPr defaultColWidth="8.6640625" defaultRowHeight="14.4" x14ac:dyDescent="0.3"/>
  <cols>
    <col min="1" max="1" width="4.6640625" bestFit="1" customWidth="1"/>
    <col min="2" max="2" width="15.109375" bestFit="1" customWidth="1"/>
    <col min="3" max="3" width="29.6640625" customWidth="1"/>
    <col min="4" max="4" width="10" bestFit="1" customWidth="1"/>
    <col min="5" max="5" width="6.44140625" bestFit="1" customWidth="1"/>
    <col min="6" max="6" width="6.77734375" bestFit="1" customWidth="1"/>
    <col min="7" max="7" width="10.33203125" bestFit="1" customWidth="1"/>
    <col min="8" max="8" width="13.33203125" bestFit="1" customWidth="1"/>
    <col min="9" max="9" width="13.5546875" bestFit="1" customWidth="1"/>
    <col min="10" max="10" width="12" customWidth="1"/>
    <col min="11" max="11" width="28" customWidth="1"/>
  </cols>
  <sheetData>
    <row r="1" spans="1:26" ht="30" customHeight="1" x14ac:dyDescent="0.3">
      <c r="A1" s="1379" t="s">
        <v>256</v>
      </c>
      <c r="B1" s="1379"/>
      <c r="C1" s="1379"/>
      <c r="D1" s="1379"/>
      <c r="E1" s="1379"/>
      <c r="F1" s="1379"/>
      <c r="G1" s="1379"/>
      <c r="H1" s="1379"/>
      <c r="I1" s="1379"/>
    </row>
    <row r="2" spans="1:26" ht="6" customHeight="1" thickBot="1" x14ac:dyDescent="0.35">
      <c r="A2" s="2"/>
      <c r="B2" s="2"/>
      <c r="C2" s="2"/>
      <c r="D2" s="2"/>
      <c r="E2" s="2"/>
      <c r="F2" s="2"/>
      <c r="G2" s="2"/>
      <c r="H2" s="2"/>
      <c r="I2" s="2"/>
    </row>
    <row r="3" spans="1:26" ht="24" customHeight="1" x14ac:dyDescent="0.3">
      <c r="A3" s="218" t="s">
        <v>51</v>
      </c>
      <c r="B3" s="219" t="s">
        <v>52</v>
      </c>
      <c r="C3" s="219" t="s">
        <v>53</v>
      </c>
      <c r="D3" s="219" t="s">
        <v>341</v>
      </c>
      <c r="E3" s="219" t="s">
        <v>453</v>
      </c>
      <c r="F3" s="219" t="s">
        <v>344</v>
      </c>
      <c r="G3" s="219" t="s">
        <v>0</v>
      </c>
      <c r="H3" s="219" t="s">
        <v>500</v>
      </c>
      <c r="I3" s="220" t="s">
        <v>257</v>
      </c>
    </row>
    <row r="4" spans="1:26" s="2" customFormat="1" ht="18" customHeight="1" x14ac:dyDescent="0.3">
      <c r="A4" s="221">
        <v>1</v>
      </c>
      <c r="B4" s="212" t="str">
        <f>IFERROR('Facility Master'!B5,"")</f>
        <v>RBL Bank</v>
      </c>
      <c r="C4" s="222" t="str">
        <f>IFERROR('Facility Master'!C5,"")</f>
        <v>Letter of Credit - Main Limit</v>
      </c>
      <c r="D4" s="89">
        <f>IFERROR('Facility Master'!M5,0)</f>
        <v>100</v>
      </c>
      <c r="E4" s="89">
        <f>IFERROR('Facility Master'!O5,0)</f>
        <v>100</v>
      </c>
      <c r="F4" s="90">
        <f>IFERROR('Facility Master'!P5,0)</f>
        <v>1</v>
      </c>
      <c r="G4" s="213" t="str">
        <f t="shared" ref="G4:G37" si="0">IFERROR(IF(F4&gt;0.9,"High (&gt;90%)",IF(F4&gt;0.75,"Elevated (75-90%)",IF(F4&gt;0,"Normal","Unutilised"))),"")</f>
        <v>High (&gt;90%)</v>
      </c>
      <c r="H4" s="223">
        <f>IFERROR(IF('Facility Master'!AD5="","-",'Facility Master'!AD5-AsOfDate),"-")</f>
        <v>229</v>
      </c>
      <c r="I4" s="224" t="str">
        <f>IFERROR(IF('Facility Master'!AD5="","No Validity",IF(H4&lt;=30,"Expiring (&lt;=30d)",IF(H4&lt;=60,"Due for Review (&lt;=60d)","OK"))),"")</f>
        <v>OK</v>
      </c>
      <c r="J4"/>
      <c r="K4"/>
      <c r="L4"/>
      <c r="M4"/>
      <c r="N4"/>
      <c r="O4"/>
      <c r="P4"/>
      <c r="Q4"/>
      <c r="R4"/>
      <c r="S4"/>
      <c r="T4"/>
      <c r="U4"/>
      <c r="V4"/>
      <c r="W4"/>
      <c r="X4"/>
      <c r="Y4"/>
      <c r="Z4"/>
    </row>
    <row r="5" spans="1:26" ht="18" customHeight="1" x14ac:dyDescent="0.3">
      <c r="A5" s="225">
        <v>2</v>
      </c>
      <c r="B5" s="70" t="str">
        <f>IFERROR('Facility Master'!B6,"")</f>
        <v>RBL Bank</v>
      </c>
      <c r="C5" s="226" t="str">
        <f>IFERROR('Facility Master'!C6,"")</f>
        <v>Bank Guarantee</v>
      </c>
      <c r="D5" s="84">
        <f>IFERROR('Facility Master'!M6,0)</f>
        <v>25</v>
      </c>
      <c r="E5" s="84">
        <f>IFERROR('Facility Master'!O6,0)</f>
        <v>25</v>
      </c>
      <c r="F5" s="85">
        <f>IFERROR('Facility Master'!P6,0)</f>
        <v>1</v>
      </c>
      <c r="G5" s="214" t="str">
        <f t="shared" si="0"/>
        <v>High (&gt;90%)</v>
      </c>
      <c r="H5" s="227">
        <f>IFERROR(IF('Facility Master'!AD6="","-",'Facility Master'!AD6-AsOfDate),"-")</f>
        <v>229</v>
      </c>
      <c r="I5" s="228" t="str">
        <f>IFERROR(IF('Facility Master'!AD6="","No Validity",IF(H5&lt;=30,"Expiring (&lt;=30d)",IF(H5&lt;=60,"Due for Review (&lt;=60d)","OK"))),"")</f>
        <v>OK</v>
      </c>
    </row>
    <row r="6" spans="1:26" ht="18" customHeight="1" x14ac:dyDescent="0.3">
      <c r="A6" s="221">
        <v>3</v>
      </c>
      <c r="B6" s="212" t="str">
        <f>IFERROR('Facility Master'!B7,"")</f>
        <v>RBL Bank</v>
      </c>
      <c r="C6" s="222" t="str">
        <f>IFERROR('Facility Master'!C7,"")</f>
        <v>Invoice Discounting (PID)</v>
      </c>
      <c r="D6" s="89">
        <f>IFERROR('Facility Master'!M7,0)</f>
        <v>100</v>
      </c>
      <c r="E6" s="89">
        <f>IFERROR('Facility Master'!O7,0)</f>
        <v>33.333333333333329</v>
      </c>
      <c r="F6" s="90">
        <f>IFERROR('Facility Master'!P7,0)</f>
        <v>0.33333333333333326</v>
      </c>
      <c r="G6" s="213" t="str">
        <f t="shared" si="0"/>
        <v>Normal</v>
      </c>
      <c r="H6" s="223">
        <f>IFERROR(IF('Facility Master'!AD7="","-",'Facility Master'!AD7-AsOfDate),"-")</f>
        <v>229</v>
      </c>
      <c r="I6" s="224" t="str">
        <f>IFERROR(IF('Facility Master'!AD7="","No Validity",IF(H6&lt;=30,"Expiring (&lt;=30d)",IF(H6&lt;=60,"Due for Review (&lt;=60d)","OK"))),"")</f>
        <v>OK</v>
      </c>
    </row>
    <row r="7" spans="1:26" ht="18" customHeight="1" x14ac:dyDescent="0.3">
      <c r="A7" s="225">
        <v>4</v>
      </c>
      <c r="B7" s="70" t="str">
        <f>IFERROR('Facility Master'!B8,"")</f>
        <v>RBL Bank</v>
      </c>
      <c r="C7" s="226" t="str">
        <f>IFERROR('Facility Master'!C8,"")</f>
        <v>SBLC</v>
      </c>
      <c r="D7" s="84">
        <f>IFERROR('Facility Master'!M8,0)</f>
        <v>100</v>
      </c>
      <c r="E7" s="84">
        <f>IFERROR('Facility Master'!O8,0)</f>
        <v>100</v>
      </c>
      <c r="F7" s="85">
        <f>IFERROR('Facility Master'!P8,0)</f>
        <v>1</v>
      </c>
      <c r="G7" s="214" t="str">
        <f t="shared" si="0"/>
        <v>High (&gt;90%)</v>
      </c>
      <c r="H7" s="227">
        <f>IFERROR(IF('Facility Master'!AD8="","-",'Facility Master'!AD8-AsOfDate),"-")</f>
        <v>229</v>
      </c>
      <c r="I7" s="228" t="str">
        <f>IFERROR(IF('Facility Master'!AD8="","No Validity",IF(H7&lt;=30,"Expiring (&lt;=30d)",IF(H7&lt;=60,"Due for Review (&lt;=60d)","OK"))),"")</f>
        <v>OK</v>
      </c>
    </row>
    <row r="8" spans="1:26" ht="18" customHeight="1" x14ac:dyDescent="0.3">
      <c r="A8" s="221">
        <v>5</v>
      </c>
      <c r="B8" s="212" t="str">
        <f>IFERROR('Facility Master'!B9,"")</f>
        <v>RBL Bank</v>
      </c>
      <c r="C8" s="222" t="str">
        <f>IFERROR('Facility Master'!C9,"")</f>
        <v>Pre-Acceptance LCBD</v>
      </c>
      <c r="D8" s="89">
        <f>IFERROR('Facility Master'!M9,0)</f>
        <v>100</v>
      </c>
      <c r="E8" s="89">
        <f>IFERROR('Facility Master'!O9,0)</f>
        <v>33.333333333333329</v>
      </c>
      <c r="F8" s="90">
        <f>IFERROR('Facility Master'!P9,0)</f>
        <v>0.33333333333333326</v>
      </c>
      <c r="G8" s="213" t="str">
        <f t="shared" si="0"/>
        <v>Normal</v>
      </c>
      <c r="H8" s="223">
        <f>IFERROR(IF('Facility Master'!AD9="","-",'Facility Master'!AD9-AsOfDate),"-")</f>
        <v>229</v>
      </c>
      <c r="I8" s="224" t="str">
        <f>IFERROR(IF('Facility Master'!AD9="","No Validity",IF(H8&lt;=30,"Expiring (&lt;=30d)",IF(H8&lt;=60,"Due for Review (&lt;=60d)","OK"))),"")</f>
        <v>OK</v>
      </c>
    </row>
    <row r="9" spans="1:26" ht="18" customHeight="1" x14ac:dyDescent="0.3">
      <c r="A9" s="225">
        <v>6</v>
      </c>
      <c r="B9" s="70" t="str">
        <f>IFERROR('Facility Master'!B10,"")</f>
        <v>RBL Bank</v>
      </c>
      <c r="C9" s="226" t="str">
        <f>IFERROR('Facility Master'!C10,"")</f>
        <v>Cash Credit</v>
      </c>
      <c r="D9" s="84">
        <f>IFERROR('Facility Master'!M10,0)</f>
        <v>100</v>
      </c>
      <c r="E9" s="84">
        <f>IFERROR('Facility Master'!O10,0)</f>
        <v>33.333333333333329</v>
      </c>
      <c r="F9" s="85">
        <f>IFERROR('Facility Master'!P10,0)</f>
        <v>0.33333333333333326</v>
      </c>
      <c r="G9" s="214" t="str">
        <f t="shared" si="0"/>
        <v>Normal</v>
      </c>
      <c r="H9" s="227">
        <f>IFERROR(IF('Facility Master'!AD10="","-",'Facility Master'!AD10-AsOfDate),"-")</f>
        <v>229</v>
      </c>
      <c r="I9" s="228" t="str">
        <f>IFERROR(IF('Facility Master'!AD10="","No Validity",IF(H9&lt;=30,"Expiring (&lt;=30d)",IF(H9&lt;=60,"Due for Review (&lt;=60d)","OK"))),"")</f>
        <v>OK</v>
      </c>
    </row>
    <row r="10" spans="1:26" ht="18" customHeight="1" x14ac:dyDescent="0.3">
      <c r="A10" s="221">
        <v>7</v>
      </c>
      <c r="B10" s="212" t="str">
        <f>IFERROR('Facility Master'!B11,"")</f>
        <v>RBL Bank</v>
      </c>
      <c r="C10" s="222" t="str">
        <f>IFERROR('Facility Master'!C11,"")</f>
        <v>Working Capital Demand Loan (WCDL)</v>
      </c>
      <c r="D10" s="89">
        <f>IFERROR('Facility Master'!M11,0)</f>
        <v>100</v>
      </c>
      <c r="E10" s="89">
        <f>IFERROR('Facility Master'!O11,0)</f>
        <v>0</v>
      </c>
      <c r="F10" s="90">
        <f>IFERROR('Facility Master'!P11,0)</f>
        <v>0</v>
      </c>
      <c r="G10" s="213" t="str">
        <f t="shared" si="0"/>
        <v>Unutilised</v>
      </c>
      <c r="H10" s="223">
        <f>IFERROR(IF('Facility Master'!AD11="","-",'Facility Master'!AD11-AsOfDate),"-")</f>
        <v>229</v>
      </c>
      <c r="I10" s="224" t="str">
        <f>IFERROR(IF('Facility Master'!AD11="","No Validity",IF(H10&lt;=30,"Expiring (&lt;=30d)",IF(H10&lt;=60,"Due for Review (&lt;=60d)","OK"))),"")</f>
        <v>OK</v>
      </c>
    </row>
    <row r="11" spans="1:26" ht="18" customHeight="1" x14ac:dyDescent="0.3">
      <c r="A11" s="225">
        <v>8</v>
      </c>
      <c r="B11" s="70" t="str">
        <f>IFERROR('Facility Master'!B12,"")</f>
        <v>RBL Bank</v>
      </c>
      <c r="C11" s="226" t="str">
        <f>IFERROR('Facility Master'!C12,"")</f>
        <v>Loan Equivalent Risk (LER)</v>
      </c>
      <c r="D11" s="84">
        <f>IFERROR('Facility Master'!M12,0)</f>
        <v>20</v>
      </c>
      <c r="E11" s="84">
        <f>IFERROR('Facility Master'!O12,0)</f>
        <v>20</v>
      </c>
      <c r="F11" s="85">
        <f>IFERROR('Facility Master'!P12,0)</f>
        <v>1</v>
      </c>
      <c r="G11" s="214" t="str">
        <f t="shared" si="0"/>
        <v>High (&gt;90%)</v>
      </c>
      <c r="H11" s="227">
        <f>IFERROR(IF('Facility Master'!AD12="","-",'Facility Master'!AD12-AsOfDate),"-")</f>
        <v>229</v>
      </c>
      <c r="I11" s="228" t="str">
        <f>IFERROR(IF('Facility Master'!AD12="","No Validity",IF(H11&lt;=30,"Expiring (&lt;=30d)",IF(H11&lt;=60,"Due for Review (&lt;=60d)","OK"))),"")</f>
        <v>OK</v>
      </c>
    </row>
    <row r="12" spans="1:26" ht="18" customHeight="1" x14ac:dyDescent="0.3">
      <c r="A12" s="221">
        <v>9</v>
      </c>
      <c r="B12" s="212" t="str">
        <f>IFERROR('Facility Master'!B13,"")</f>
        <v>RBL Bank</v>
      </c>
      <c r="C12" s="222" t="str">
        <f>IFERROR('Facility Master'!C13,"")</f>
        <v>Term Loan</v>
      </c>
      <c r="D12" s="89">
        <f>IFERROR('Facility Master'!M13,0)</f>
        <v>200</v>
      </c>
      <c r="E12" s="89">
        <f>IFERROR('Facility Master'!O13,0)</f>
        <v>183.33333333333334</v>
      </c>
      <c r="F12" s="90">
        <f>IFERROR('Facility Master'!P13,0)</f>
        <v>0.91666666666666674</v>
      </c>
      <c r="G12" s="213" t="str">
        <f t="shared" si="0"/>
        <v>High (&gt;90%)</v>
      </c>
      <c r="H12" s="223">
        <f>IFERROR(IF('Facility Master'!AD13="","-",'Facility Master'!AD13-AsOfDate),"-")</f>
        <v>260</v>
      </c>
      <c r="I12" s="224" t="str">
        <f>IFERROR(IF('Facility Master'!AD13="","No Validity",IF(H12&lt;=30,"Expiring (&lt;=30d)",IF(H12&lt;=60,"Due for Review (&lt;=60d)","OK"))),"")</f>
        <v>OK</v>
      </c>
    </row>
    <row r="13" spans="1:26" ht="18" customHeight="1" x14ac:dyDescent="0.3">
      <c r="A13" s="225">
        <v>10</v>
      </c>
      <c r="B13" s="70" t="str">
        <f>IFERROR('Facility Master'!B14,"")</f>
        <v>RBL Bank</v>
      </c>
      <c r="C13" s="226" t="str">
        <f>IFERROR('Facility Master'!C14,"")</f>
        <v>SBLC for Buyer's Credit (GIFT City)</v>
      </c>
      <c r="D13" s="84">
        <f>IFERROR('Facility Master'!M14,0)</f>
        <v>190</v>
      </c>
      <c r="E13" s="84">
        <f>IFERROR('Facility Master'!O14,0)</f>
        <v>190</v>
      </c>
      <c r="F13" s="85">
        <f>IFERROR('Facility Master'!P14,0)</f>
        <v>1</v>
      </c>
      <c r="G13" s="214" t="str">
        <f t="shared" si="0"/>
        <v>High (&gt;90%)</v>
      </c>
      <c r="H13" s="227">
        <f>IFERROR(IF('Facility Master'!AD14="","-",'Facility Master'!AD14-AsOfDate),"-")</f>
        <v>229</v>
      </c>
      <c r="I13" s="228" t="str">
        <f>IFERROR(IF('Facility Master'!AD14="","No Validity",IF(H13&lt;=30,"Expiring (&lt;=30d)",IF(H13&lt;=60,"Due for Review (&lt;=60d)","OK"))),"")</f>
        <v>OK</v>
      </c>
    </row>
    <row r="14" spans="1:26" ht="18" customHeight="1" x14ac:dyDescent="0.3">
      <c r="A14" s="221">
        <v>11</v>
      </c>
      <c r="B14" s="212" t="str">
        <f>IFERROR('Facility Master'!B15,"")</f>
        <v>RBL Bank</v>
      </c>
      <c r="C14" s="222" t="str">
        <f>IFERROR('Facility Master'!C15,"")</f>
        <v>Capex LC</v>
      </c>
      <c r="D14" s="89">
        <f>IFERROR('Facility Master'!M15,0)</f>
        <v>25</v>
      </c>
      <c r="E14" s="89">
        <f>IFERROR('Facility Master'!O15,0)</f>
        <v>25</v>
      </c>
      <c r="F14" s="90">
        <f>IFERROR('Facility Master'!P15,0)</f>
        <v>1</v>
      </c>
      <c r="G14" s="213" t="str">
        <f t="shared" si="0"/>
        <v>High (&gt;90%)</v>
      </c>
      <c r="H14" s="223">
        <f>IFERROR(IF('Facility Master'!AD15="","-",'Facility Master'!AD15-AsOfDate),"-")</f>
        <v>229</v>
      </c>
      <c r="I14" s="224" t="str">
        <f>IFERROR(IF('Facility Master'!AD15="","No Validity",IF(H14&lt;=30,"Expiring (&lt;=30d)",IF(H14&lt;=60,"Due for Review (&lt;=60d)","OK"))),"")</f>
        <v>OK</v>
      </c>
    </row>
    <row r="15" spans="1:26" ht="18" customHeight="1" x14ac:dyDescent="0.3">
      <c r="A15" s="225">
        <v>12</v>
      </c>
      <c r="B15" s="70" t="str">
        <f>IFERROR('Facility Master'!B16,"")</f>
        <v>RBL Bank</v>
      </c>
      <c r="C15" s="226" t="str">
        <f>IFERROR('Facility Master'!C16,"")</f>
        <v>Overdraft backed by 100% FD (FDOD)</v>
      </c>
      <c r="D15" s="84">
        <f>IFERROR('Facility Master'!M16,0)</f>
        <v>100</v>
      </c>
      <c r="E15" s="84">
        <f>IFERROR('Facility Master'!O16,0)</f>
        <v>100</v>
      </c>
      <c r="F15" s="85">
        <f>IFERROR('Facility Master'!P16,0)</f>
        <v>1</v>
      </c>
      <c r="G15" s="214" t="str">
        <f t="shared" si="0"/>
        <v>High (&gt;90%)</v>
      </c>
      <c r="H15" s="227">
        <f>IFERROR(IF('Facility Master'!AD16="","-",'Facility Master'!AD16-AsOfDate),"-")</f>
        <v>229</v>
      </c>
      <c r="I15" s="228" t="str">
        <f>IFERROR(IF('Facility Master'!AD16="","No Validity",IF(H15&lt;=30,"Expiring (&lt;=30d)",IF(H15&lt;=60,"Due for Review (&lt;=60d)","OK"))),"")</f>
        <v>OK</v>
      </c>
    </row>
    <row r="16" spans="1:26" ht="18" customHeight="1" x14ac:dyDescent="0.3">
      <c r="A16" s="221">
        <v>13</v>
      </c>
      <c r="B16" s="212" t="str">
        <f>IFERROR('Facility Master'!B17,"")</f>
        <v>RBL Bank</v>
      </c>
      <c r="C16" s="222" t="str">
        <f>IFERROR('Facility Master'!C17,"")</f>
        <v>LC backed by 100% FD</v>
      </c>
      <c r="D16" s="89">
        <f>IFERROR('Facility Master'!M17,0)</f>
        <v>50</v>
      </c>
      <c r="E16" s="89">
        <f>IFERROR('Facility Master'!O17,0)</f>
        <v>50</v>
      </c>
      <c r="F16" s="90">
        <f>IFERROR('Facility Master'!P17,0)</f>
        <v>1</v>
      </c>
      <c r="G16" s="213" t="str">
        <f t="shared" si="0"/>
        <v>High (&gt;90%)</v>
      </c>
      <c r="H16" s="223">
        <f>IFERROR(IF('Facility Master'!AD17="","-",'Facility Master'!AD17-AsOfDate),"-")</f>
        <v>229</v>
      </c>
      <c r="I16" s="224" t="str">
        <f>IFERROR(IF('Facility Master'!AD17="","No Validity",IF(H16&lt;=30,"Expiring (&lt;=30d)",IF(H16&lt;=60,"Due for Review (&lt;=60d)","OK"))),"")</f>
        <v>OK</v>
      </c>
    </row>
    <row r="17" spans="1:9" ht="18" customHeight="1" x14ac:dyDescent="0.3">
      <c r="A17" s="225">
        <v>14</v>
      </c>
      <c r="B17" s="70" t="str">
        <f>IFERROR('Facility Master'!B18,"")</f>
        <v>RBL Bank</v>
      </c>
      <c r="C17" s="226" t="str">
        <f>IFERROR('Facility Master'!C18,"")</f>
        <v>Buyer's Credit from GIFT City - WC</v>
      </c>
      <c r="D17" s="84">
        <f>IFERROR('Facility Master'!M18,0)</f>
        <v>100</v>
      </c>
      <c r="E17" s="84">
        <f>IFERROR('Facility Master'!O18,0)</f>
        <v>100</v>
      </c>
      <c r="F17" s="85">
        <f>IFERROR('Facility Master'!P18,0)</f>
        <v>1</v>
      </c>
      <c r="G17" s="214" t="str">
        <f t="shared" si="0"/>
        <v>High (&gt;90%)</v>
      </c>
      <c r="H17" s="227">
        <f>IFERROR(IF('Facility Master'!AD18="","-",'Facility Master'!AD18-AsOfDate),"-")</f>
        <v>229</v>
      </c>
      <c r="I17" s="228" t="str">
        <f>IFERROR(IF('Facility Master'!AD18="","No Validity",IF(H17&lt;=30,"Expiring (&lt;=30d)",IF(H17&lt;=60,"Due for Review (&lt;=60d)","OK"))),"")</f>
        <v>OK</v>
      </c>
    </row>
    <row r="18" spans="1:9" ht="18" customHeight="1" x14ac:dyDescent="0.3">
      <c r="A18" s="221">
        <v>15</v>
      </c>
      <c r="B18" s="212" t="str">
        <f>IFERROR('Facility Master'!B19,"")</f>
        <v>RBL Bank</v>
      </c>
      <c r="C18" s="222" t="str">
        <f>IFERROR('Facility Master'!C19,"")</f>
        <v>Buyer's Credit from GIFT City - CAPEX</v>
      </c>
      <c r="D18" s="89">
        <f>IFERROR('Facility Master'!M19,0)</f>
        <v>172</v>
      </c>
      <c r="E18" s="89">
        <f>IFERROR('Facility Master'!O19,0)</f>
        <v>172</v>
      </c>
      <c r="F18" s="90">
        <f>IFERROR('Facility Master'!P19,0)</f>
        <v>1</v>
      </c>
      <c r="G18" s="213" t="str">
        <f t="shared" si="0"/>
        <v>High (&gt;90%)</v>
      </c>
      <c r="H18" s="223">
        <f>IFERROR(IF('Facility Master'!AD19="","-",'Facility Master'!AD19-AsOfDate),"-")</f>
        <v>229</v>
      </c>
      <c r="I18" s="224" t="str">
        <f>IFERROR(IF('Facility Master'!AD19="","No Validity",IF(H18&lt;=30,"Expiring (&lt;=30d)",IF(H18&lt;=60,"Due for Review (&lt;=60d)","OK"))),"")</f>
        <v>OK</v>
      </c>
    </row>
    <row r="19" spans="1:9" ht="18" customHeight="1" x14ac:dyDescent="0.3">
      <c r="A19" s="225">
        <v>16</v>
      </c>
      <c r="B19" s="70" t="str">
        <f>IFERROR('Facility Master'!B20,"")</f>
        <v>YES Bank</v>
      </c>
      <c r="C19" s="226" t="str">
        <f>IFERROR('Facility Master'!C20,"")</f>
        <v>Purchase Invoice Financing</v>
      </c>
      <c r="D19" s="84">
        <f>IFERROR('Facility Master'!M20,0)</f>
        <v>100</v>
      </c>
      <c r="E19" s="84">
        <f>IFERROR('Facility Master'!O20,0)</f>
        <v>100</v>
      </c>
      <c r="F19" s="85">
        <f>IFERROR('Facility Master'!P20,0)</f>
        <v>1</v>
      </c>
      <c r="G19" s="214" t="str">
        <f t="shared" si="0"/>
        <v>High (&gt;90%)</v>
      </c>
      <c r="H19" s="227">
        <f>IFERROR(IF('Facility Master'!AD20="","-",'Facility Master'!AD20-AsOfDate),"-")</f>
        <v>15</v>
      </c>
      <c r="I19" s="228" t="str">
        <f>IFERROR(IF('Facility Master'!AD20="","No Validity",IF(H19&lt;=30,"Expiring (&lt;=30d)",IF(H19&lt;=60,"Due for Review (&lt;=60d)","OK"))),"")</f>
        <v>Expiring (&lt;=30d)</v>
      </c>
    </row>
    <row r="20" spans="1:9" ht="18" customHeight="1" x14ac:dyDescent="0.3">
      <c r="A20" s="221">
        <v>17</v>
      </c>
      <c r="B20" s="212" t="str">
        <f>IFERROR('Facility Master'!B21,"")</f>
        <v>YES Bank</v>
      </c>
      <c r="C20" s="222" t="str">
        <f>IFERROR('Facility Master'!C21,"")</f>
        <v>Cash Credit</v>
      </c>
      <c r="D20" s="89">
        <f>IFERROR('Facility Master'!M21,0)</f>
        <v>25</v>
      </c>
      <c r="E20" s="89">
        <f>IFERROR('Facility Master'!O21,0)</f>
        <v>25</v>
      </c>
      <c r="F20" s="90">
        <f>IFERROR('Facility Master'!P21,0)</f>
        <v>1</v>
      </c>
      <c r="G20" s="213" t="str">
        <f t="shared" si="0"/>
        <v>High (&gt;90%)</v>
      </c>
      <c r="H20" s="223">
        <f>IFERROR(IF('Facility Master'!AD21="","-",'Facility Master'!AD21-AsOfDate),"-")</f>
        <v>363</v>
      </c>
      <c r="I20" s="224" t="str">
        <f>IFERROR(IF('Facility Master'!AD21="","No Validity",IF(H20&lt;=30,"Expiring (&lt;=30d)",IF(H20&lt;=60,"Due for Review (&lt;=60d)","OK"))),"")</f>
        <v>OK</v>
      </c>
    </row>
    <row r="21" spans="1:9" ht="18" customHeight="1" x14ac:dyDescent="0.3">
      <c r="A21" s="225">
        <v>18</v>
      </c>
      <c r="B21" s="70" t="str">
        <f>IFERROR('Facility Master'!B22,"")</f>
        <v>YES Bank</v>
      </c>
      <c r="C21" s="226" t="str">
        <f>IFERROR('Facility Master'!C22,"")</f>
        <v>Letter of Credit</v>
      </c>
      <c r="D21" s="84">
        <f>IFERROR('Facility Master'!M22,0)</f>
        <v>200</v>
      </c>
      <c r="E21" s="84">
        <f>IFERROR('Facility Master'!O22,0)</f>
        <v>200</v>
      </c>
      <c r="F21" s="85">
        <f>IFERROR('Facility Master'!P22,0)</f>
        <v>1</v>
      </c>
      <c r="G21" s="214" t="str">
        <f t="shared" si="0"/>
        <v>High (&gt;90%)</v>
      </c>
      <c r="H21" s="227">
        <f>IFERROR(IF('Facility Master'!AD22="","-",'Facility Master'!AD22-AsOfDate),"-")</f>
        <v>345</v>
      </c>
      <c r="I21" s="228" t="str">
        <f>IFERROR(IF('Facility Master'!AD22="","No Validity",IF(H21&lt;=30,"Expiring (&lt;=30d)",IF(H21&lt;=60,"Due for Review (&lt;=60d)","OK"))),"")</f>
        <v>OK</v>
      </c>
    </row>
    <row r="22" spans="1:9" ht="18" customHeight="1" x14ac:dyDescent="0.3">
      <c r="A22" s="221">
        <v>19</v>
      </c>
      <c r="B22" s="212" t="str">
        <f>IFERROR('Facility Master'!B23,"")</f>
        <v>YES Bank</v>
      </c>
      <c r="C22" s="222" t="str">
        <f>IFERROR('Facility Master'!C23,"")</f>
        <v>Financial BG / SBLC</v>
      </c>
      <c r="D22" s="89">
        <f>IFERROR('Facility Master'!M23,0)</f>
        <v>200</v>
      </c>
      <c r="E22" s="89">
        <f>IFERROR('Facility Master'!O23,0)</f>
        <v>200</v>
      </c>
      <c r="F22" s="90">
        <f>IFERROR('Facility Master'!P23,0)</f>
        <v>1</v>
      </c>
      <c r="G22" s="213" t="str">
        <f t="shared" si="0"/>
        <v>High (&gt;90%)</v>
      </c>
      <c r="H22" s="223">
        <f>IFERROR(IF('Facility Master'!AD23="","-",'Facility Master'!AD23-AsOfDate),"-")</f>
        <v>363</v>
      </c>
      <c r="I22" s="224" t="str">
        <f>IFERROR(IF('Facility Master'!AD23="","No Validity",IF(H22&lt;=30,"Expiring (&lt;=30d)",IF(H22&lt;=60,"Due for Review (&lt;=60d)","OK"))),"")</f>
        <v>OK</v>
      </c>
    </row>
    <row r="23" spans="1:9" ht="18" customHeight="1" x14ac:dyDescent="0.3">
      <c r="A23" s="225">
        <v>20</v>
      </c>
      <c r="B23" s="70" t="str">
        <f>IFERROR('Facility Master'!B24,"")</f>
        <v>YES Bank</v>
      </c>
      <c r="C23" s="226" t="str">
        <f>IFERROR('Facility Master'!C24,"")</f>
        <v>Working Capital Demand Loan (WCDL)</v>
      </c>
      <c r="D23" s="84">
        <f>IFERROR('Facility Master'!M24,0)</f>
        <v>50</v>
      </c>
      <c r="E23" s="84">
        <f>IFERROR('Facility Master'!O24,0)</f>
        <v>50</v>
      </c>
      <c r="F23" s="85">
        <f>IFERROR('Facility Master'!P24,0)</f>
        <v>1</v>
      </c>
      <c r="G23" s="214" t="str">
        <f t="shared" si="0"/>
        <v>High (&gt;90%)</v>
      </c>
      <c r="H23" s="227">
        <f>IFERROR(IF('Facility Master'!AD24="","-",'Facility Master'!AD24-AsOfDate),"-")</f>
        <v>363</v>
      </c>
      <c r="I23" s="228" t="str">
        <f>IFERROR(IF('Facility Master'!AD24="","No Validity",IF(H23&lt;=30,"Expiring (&lt;=30d)",IF(H23&lt;=60,"Due for Review (&lt;=60d)","OK"))),"")</f>
        <v>OK</v>
      </c>
    </row>
    <row r="24" spans="1:9" ht="18" customHeight="1" x14ac:dyDescent="0.3">
      <c r="A24" s="221">
        <v>21</v>
      </c>
      <c r="B24" s="212" t="str">
        <f>IFERROR('Facility Master'!B25,"")</f>
        <v>YES Bank</v>
      </c>
      <c r="C24" s="222" t="str">
        <f>IFERROR('Facility Master'!C25,"")</f>
        <v>Term Loan (Refinance Canara)</v>
      </c>
      <c r="D24" s="89">
        <f>IFERROR('Facility Master'!M25,0)</f>
        <v>320.7</v>
      </c>
      <c r="E24" s="89">
        <f>IFERROR('Facility Master'!O25,0)</f>
        <v>286.58297872340427</v>
      </c>
      <c r="F24" s="90">
        <f>IFERROR('Facility Master'!P25,0)</f>
        <v>0.89361702127659581</v>
      </c>
      <c r="G24" s="213" t="str">
        <f t="shared" si="0"/>
        <v>Elevated (75-90%)</v>
      </c>
      <c r="H24" s="223">
        <f>IFERROR(IF('Facility Master'!AD25="","-",'Facility Master'!AD25-AsOfDate),"-")</f>
        <v>126</v>
      </c>
      <c r="I24" s="224" t="str">
        <f>IFERROR(IF('Facility Master'!AD25="","No Validity",IF(H24&lt;=30,"Expiring (&lt;=30d)",IF(H24&lt;=60,"Due for Review (&lt;=60d)","OK"))),"")</f>
        <v>OK</v>
      </c>
    </row>
    <row r="25" spans="1:9" ht="18" customHeight="1" x14ac:dyDescent="0.3">
      <c r="A25" s="225">
        <v>22</v>
      </c>
      <c r="B25" s="70" t="str">
        <f>IFERROR('Facility Master'!B26,"")</f>
        <v>Bajaj Finance</v>
      </c>
      <c r="C25" s="226" t="str">
        <f>IFERROR('Facility Master'!C26,"")</f>
        <v>Term Loan</v>
      </c>
      <c r="D25" s="84">
        <f>IFERROR('Facility Master'!M26,0)</f>
        <v>150</v>
      </c>
      <c r="E25" s="84">
        <f>IFERROR('Facility Master'!O26,0)</f>
        <v>150</v>
      </c>
      <c r="F25" s="85">
        <f>IFERROR('Facility Master'!P26,0)</f>
        <v>1</v>
      </c>
      <c r="G25" s="214" t="str">
        <f t="shared" si="0"/>
        <v>High (&gt;90%)</v>
      </c>
      <c r="H25" s="227">
        <f>IFERROR(IF('Facility Master'!AD26="","-",'Facility Master'!AD26-AsOfDate),"-")</f>
        <v>138</v>
      </c>
      <c r="I25" s="228" t="str">
        <f>IFERROR(IF('Facility Master'!AD26="","No Validity",IF(H25&lt;=30,"Expiring (&lt;=30d)",IF(H25&lt;=60,"Due for Review (&lt;=60d)","OK"))),"")</f>
        <v>OK</v>
      </c>
    </row>
    <row r="26" spans="1:9" ht="18" customHeight="1" x14ac:dyDescent="0.3">
      <c r="A26" s="221">
        <v>23</v>
      </c>
      <c r="B26" s="212" t="str">
        <f>IFERROR('Facility Master'!B27,"")</f>
        <v>ICICI Bank</v>
      </c>
      <c r="C26" s="222" t="str">
        <f>IFERROR('Facility Master'!C27,"")</f>
        <v>Cash Credit</v>
      </c>
      <c r="D26" s="89">
        <f>IFERROR('Facility Master'!M27,0)</f>
        <v>50</v>
      </c>
      <c r="E26" s="89">
        <f>IFERROR('Facility Master'!O27,0)</f>
        <v>50</v>
      </c>
      <c r="F26" s="90">
        <f>IFERROR('Facility Master'!P27,0)</f>
        <v>1</v>
      </c>
      <c r="G26" s="213" t="str">
        <f t="shared" si="0"/>
        <v>High (&gt;90%)</v>
      </c>
      <c r="H26" s="223">
        <f>IFERROR(IF('Facility Master'!AD27="","-",'Facility Master'!AD27-AsOfDate),"-")</f>
        <v>141</v>
      </c>
      <c r="I26" s="224" t="str">
        <f>IFERROR(IF('Facility Master'!AD27="","No Validity",IF(H26&lt;=30,"Expiring (&lt;=30d)",IF(H26&lt;=60,"Due for Review (&lt;=60d)","OK"))),"")</f>
        <v>OK</v>
      </c>
    </row>
    <row r="27" spans="1:9" ht="18" customHeight="1" x14ac:dyDescent="0.3">
      <c r="A27" s="225">
        <v>24</v>
      </c>
      <c r="B27" s="70" t="str">
        <f>IFERROR('Facility Master'!B28,"")</f>
        <v>ICICI Bank</v>
      </c>
      <c r="C27" s="226" t="str">
        <f>IFERROR('Facility Master'!C28,"")</f>
        <v>Working Capital Demand Loan (WCDL)</v>
      </c>
      <c r="D27" s="84">
        <f>IFERROR('Facility Master'!M28,0)</f>
        <v>50</v>
      </c>
      <c r="E27" s="84">
        <f>IFERROR('Facility Master'!O28,0)</f>
        <v>0</v>
      </c>
      <c r="F27" s="85">
        <f>IFERROR('Facility Master'!P28,0)</f>
        <v>0</v>
      </c>
      <c r="G27" s="214" t="str">
        <f t="shared" si="0"/>
        <v>Unutilised</v>
      </c>
      <c r="H27" s="227">
        <f>IFERROR(IF('Facility Master'!AD28="","-",'Facility Master'!AD28-AsOfDate),"-")</f>
        <v>141</v>
      </c>
      <c r="I27" s="228" t="str">
        <f>IFERROR(IF('Facility Master'!AD28="","No Validity",IF(H27&lt;=30,"Expiring (&lt;=30d)",IF(H27&lt;=60,"Due for Review (&lt;=60d)","OK"))),"")</f>
        <v>OK</v>
      </c>
    </row>
    <row r="28" spans="1:9" ht="18" customHeight="1" x14ac:dyDescent="0.3">
      <c r="A28" s="221">
        <v>25</v>
      </c>
      <c r="B28" s="212" t="str">
        <f>IFERROR('Facility Master'!B29,"")</f>
        <v>ICICI Bank</v>
      </c>
      <c r="C28" s="222" t="str">
        <f>IFERROR('Facility Master'!C29,"")</f>
        <v>Letter of Credit (Inland/Foreign)</v>
      </c>
      <c r="D28" s="89">
        <f>IFERROR('Facility Master'!M29,0)</f>
        <v>150</v>
      </c>
      <c r="E28" s="89">
        <f>IFERROR('Facility Master'!O29,0)</f>
        <v>150</v>
      </c>
      <c r="F28" s="90">
        <f>IFERROR('Facility Master'!P29,0)</f>
        <v>1</v>
      </c>
      <c r="G28" s="213" t="str">
        <f t="shared" si="0"/>
        <v>High (&gt;90%)</v>
      </c>
      <c r="H28" s="223">
        <f>IFERROR(IF('Facility Master'!AD29="","-",'Facility Master'!AD29-AsOfDate),"-")</f>
        <v>141</v>
      </c>
      <c r="I28" s="224" t="str">
        <f>IFERROR(IF('Facility Master'!AD29="","No Validity",IF(H28&lt;=30,"Expiring (&lt;=30d)",IF(H28&lt;=60,"Due for Review (&lt;=60d)","OK"))),"")</f>
        <v>OK</v>
      </c>
    </row>
    <row r="29" spans="1:9" ht="18" customHeight="1" x14ac:dyDescent="0.3">
      <c r="A29" s="225">
        <v>26</v>
      </c>
      <c r="B29" s="70" t="str">
        <f>IFERROR('Facility Master'!B30,"")</f>
        <v>ICICI Bank</v>
      </c>
      <c r="C29" s="226" t="str">
        <f>IFERROR('Facility Master'!C30,"")</f>
        <v>SBLC for Buyers' Credit</v>
      </c>
      <c r="D29" s="84">
        <f>IFERROR('Facility Master'!M30,0)</f>
        <v>150</v>
      </c>
      <c r="E29" s="84">
        <f>IFERROR('Facility Master'!O30,0)</f>
        <v>150</v>
      </c>
      <c r="F29" s="85">
        <f>IFERROR('Facility Master'!P30,0)</f>
        <v>1</v>
      </c>
      <c r="G29" s="214" t="str">
        <f t="shared" si="0"/>
        <v>High (&gt;90%)</v>
      </c>
      <c r="H29" s="227">
        <f>IFERROR(IF('Facility Master'!AD30="","-",'Facility Master'!AD30-AsOfDate),"-")</f>
        <v>141</v>
      </c>
      <c r="I29" s="228" t="str">
        <f>IFERROR(IF('Facility Master'!AD30="","No Validity",IF(H29&lt;=30,"Expiring (&lt;=30d)",IF(H29&lt;=60,"Due for Review (&lt;=60d)","OK"))),"")</f>
        <v>OK</v>
      </c>
    </row>
    <row r="30" spans="1:9" ht="18" customHeight="1" x14ac:dyDescent="0.3">
      <c r="A30" s="221">
        <v>27</v>
      </c>
      <c r="B30" s="212" t="str">
        <f>IFERROR('Facility Master'!B31,"")</f>
        <v>ICICI Bank</v>
      </c>
      <c r="C30" s="222" t="str">
        <f>IFERROR('Facility Master'!C31,"")</f>
        <v>Bank Guarantee - Performance</v>
      </c>
      <c r="D30" s="89">
        <f>IFERROR('Facility Master'!M31,0)</f>
        <v>25</v>
      </c>
      <c r="E30" s="89">
        <f>IFERROR('Facility Master'!O31,0)</f>
        <v>25</v>
      </c>
      <c r="F30" s="90">
        <f>IFERROR('Facility Master'!P31,0)</f>
        <v>1</v>
      </c>
      <c r="G30" s="213" t="str">
        <f t="shared" si="0"/>
        <v>High (&gt;90%)</v>
      </c>
      <c r="H30" s="223">
        <f>IFERROR(IF('Facility Master'!AD31="","-",'Facility Master'!AD31-AsOfDate),"-")</f>
        <v>141</v>
      </c>
      <c r="I30" s="224" t="str">
        <f>IFERROR(IF('Facility Master'!AD31="","No Validity",IF(H30&lt;=30,"Expiring (&lt;=30d)",IF(H30&lt;=60,"Due for Review (&lt;=60d)","OK"))),"")</f>
        <v>OK</v>
      </c>
    </row>
    <row r="31" spans="1:9" ht="18" customHeight="1" x14ac:dyDescent="0.3">
      <c r="A31" s="225">
        <v>28</v>
      </c>
      <c r="B31" s="70" t="str">
        <f>IFERROR('Facility Master'!B32,"")</f>
        <v>ICICI Bank</v>
      </c>
      <c r="C31" s="226" t="str">
        <f>IFERROR('Facility Master'!C32,"")</f>
        <v>Bank Guarantee - Financial</v>
      </c>
      <c r="D31" s="84">
        <f>IFERROR('Facility Master'!M32,0)</f>
        <v>5</v>
      </c>
      <c r="E31" s="84">
        <f>IFERROR('Facility Master'!O32,0)</f>
        <v>5</v>
      </c>
      <c r="F31" s="85">
        <f>IFERROR('Facility Master'!P32,0)</f>
        <v>1</v>
      </c>
      <c r="G31" s="214" t="str">
        <f t="shared" si="0"/>
        <v>High (&gt;90%)</v>
      </c>
      <c r="H31" s="227">
        <f>IFERROR(IF('Facility Master'!AD32="","-",'Facility Master'!AD32-AsOfDate),"-")</f>
        <v>141</v>
      </c>
      <c r="I31" s="228" t="str">
        <f>IFERROR(IF('Facility Master'!AD32="","No Validity",IF(H31&lt;=30,"Expiring (&lt;=30d)",IF(H31&lt;=60,"Due for Review (&lt;=60d)","OK"))),"")</f>
        <v>OK</v>
      </c>
    </row>
    <row r="32" spans="1:9" ht="18" customHeight="1" x14ac:dyDescent="0.3">
      <c r="A32" s="221">
        <v>29</v>
      </c>
      <c r="B32" s="212" t="str">
        <f>IFERROR('Facility Master'!B33,"")</f>
        <v>South Indian Bank</v>
      </c>
      <c r="C32" s="222" t="str">
        <f>IFERROR('Facility Master'!C33,"")</f>
        <v>CCOL (Cash Credit)</v>
      </c>
      <c r="D32" s="89">
        <f>IFERROR('Facility Master'!M33,0)</f>
        <v>50</v>
      </c>
      <c r="E32" s="89">
        <f>IFERROR('Facility Master'!O33,0)</f>
        <v>50</v>
      </c>
      <c r="F32" s="90">
        <f>IFERROR('Facility Master'!P33,0)</f>
        <v>1</v>
      </c>
      <c r="G32" s="213" t="str">
        <f t="shared" si="0"/>
        <v>High (&gt;90%)</v>
      </c>
      <c r="H32" s="223">
        <f>IFERROR(IF('Facility Master'!AD33="","-",'Facility Master'!AD33-AsOfDate),"-")</f>
        <v>67</v>
      </c>
      <c r="I32" s="224" t="str">
        <f>IFERROR(IF('Facility Master'!AD33="","No Validity",IF(H32&lt;=30,"Expiring (&lt;=30d)",IF(H32&lt;=60,"Due for Review (&lt;=60d)","OK"))),"")</f>
        <v>OK</v>
      </c>
    </row>
    <row r="33" spans="1:9" ht="18" customHeight="1" x14ac:dyDescent="0.3">
      <c r="A33" s="225">
        <v>30</v>
      </c>
      <c r="B33" s="70" t="str">
        <f>IFERROR('Facility Master'!B34,"")</f>
        <v>South Indian Bank</v>
      </c>
      <c r="C33" s="226" t="str">
        <f>IFERROR('Facility Master'!C34,"")</f>
        <v>WCL / WCDL</v>
      </c>
      <c r="D33" s="84">
        <f>IFERROR('Facility Master'!M34,0)</f>
        <v>50</v>
      </c>
      <c r="E33" s="84">
        <f>IFERROR('Facility Master'!O34,0)</f>
        <v>0</v>
      </c>
      <c r="F33" s="85">
        <f>IFERROR('Facility Master'!P34,0)</f>
        <v>0</v>
      </c>
      <c r="G33" s="214" t="str">
        <f t="shared" si="0"/>
        <v>Unutilised</v>
      </c>
      <c r="H33" s="227">
        <f>IFERROR(IF('Facility Master'!AD34="","-",'Facility Master'!AD34-AsOfDate),"-")</f>
        <v>67</v>
      </c>
      <c r="I33" s="228" t="str">
        <f>IFERROR(IF('Facility Master'!AD34="","No Validity",IF(H33&lt;=30,"Expiring (&lt;=30d)",IF(H33&lt;=60,"Due for Review (&lt;=60d)","OK"))),"")</f>
        <v>OK</v>
      </c>
    </row>
    <row r="34" spans="1:9" ht="18" customHeight="1" x14ac:dyDescent="0.3">
      <c r="A34" s="221">
        <v>31</v>
      </c>
      <c r="B34" s="212" t="str">
        <f>IFERROR('Facility Master'!B35,"")</f>
        <v>South Indian Bank</v>
      </c>
      <c r="C34" s="222" t="str">
        <f>IFERROR('Facility Master'!C35,"")</f>
        <v>Inland / Import LC</v>
      </c>
      <c r="D34" s="89">
        <f>IFERROR('Facility Master'!M35,0)</f>
        <v>150</v>
      </c>
      <c r="E34" s="89">
        <f>IFERROR('Facility Master'!O35,0)</f>
        <v>150</v>
      </c>
      <c r="F34" s="90">
        <f>IFERROR('Facility Master'!P35,0)</f>
        <v>1</v>
      </c>
      <c r="G34" s="213" t="str">
        <f t="shared" si="0"/>
        <v>High (&gt;90%)</v>
      </c>
      <c r="H34" s="223">
        <f>IFERROR(IF('Facility Master'!AD35="","-",'Facility Master'!AD35-AsOfDate),"-")</f>
        <v>67</v>
      </c>
      <c r="I34" s="224" t="str">
        <f>IFERROR(IF('Facility Master'!AD35="","No Validity",IF(H34&lt;=30,"Expiring (&lt;=30d)",IF(H34&lt;=60,"Due for Review (&lt;=60d)","OK"))),"")</f>
        <v>OK</v>
      </c>
    </row>
    <row r="35" spans="1:9" ht="18" customHeight="1" x14ac:dyDescent="0.3">
      <c r="A35" s="225">
        <v>32</v>
      </c>
      <c r="B35" s="70" t="str">
        <f>IFERROR('Facility Master'!B36,"")</f>
        <v>South Indian Bank</v>
      </c>
      <c r="C35" s="226" t="str">
        <f>IFERROR('Facility Master'!C36,"")</f>
        <v>Capex LC</v>
      </c>
      <c r="D35" s="84">
        <f>IFERROR('Facility Master'!M36,0)</f>
        <v>50</v>
      </c>
      <c r="E35" s="84">
        <f>IFERROR('Facility Master'!O36,0)</f>
        <v>50</v>
      </c>
      <c r="F35" s="85">
        <f>IFERROR('Facility Master'!P36,0)</f>
        <v>1</v>
      </c>
      <c r="G35" s="214" t="str">
        <f t="shared" si="0"/>
        <v>High (&gt;90%)</v>
      </c>
      <c r="H35" s="227">
        <f>IFERROR(IF('Facility Master'!AD36="","-",'Facility Master'!AD36-AsOfDate),"-")</f>
        <v>67</v>
      </c>
      <c r="I35" s="228" t="str">
        <f>IFERROR(IF('Facility Master'!AD36="","No Validity",IF(H35&lt;=30,"Expiring (&lt;=30d)",IF(H35&lt;=60,"Due for Review (&lt;=60d)","OK"))),"")</f>
        <v>OK</v>
      </c>
    </row>
    <row r="36" spans="1:9" ht="18" customHeight="1" x14ac:dyDescent="0.3">
      <c r="A36" s="221">
        <v>33</v>
      </c>
      <c r="B36" s="212" t="str">
        <f>IFERROR('Facility Master'!B37,"")</f>
        <v>South Indian Bank</v>
      </c>
      <c r="C36" s="222" t="str">
        <f>IFERROR('Facility Master'!C37,"")</f>
        <v>SBLC</v>
      </c>
      <c r="D36" s="89">
        <f>IFERROR('Facility Master'!M37,0)</f>
        <v>150</v>
      </c>
      <c r="E36" s="89">
        <f>IFERROR('Facility Master'!O37,0)</f>
        <v>150</v>
      </c>
      <c r="F36" s="90">
        <f>IFERROR('Facility Master'!P37,0)</f>
        <v>1</v>
      </c>
      <c r="G36" s="213" t="str">
        <f t="shared" si="0"/>
        <v>High (&gt;90%)</v>
      </c>
      <c r="H36" s="223">
        <f>IFERROR(IF('Facility Master'!AD37="","-",'Facility Master'!AD37-AsOfDate),"-")</f>
        <v>67</v>
      </c>
      <c r="I36" s="224" t="str">
        <f>IFERROR(IF('Facility Master'!AD37="","No Validity",IF(H36&lt;=30,"Expiring (&lt;=30d)",IF(H36&lt;=60,"Due for Review (&lt;=60d)","OK"))),"")</f>
        <v>OK</v>
      </c>
    </row>
    <row r="37" spans="1:9" ht="18" customHeight="1" thickBot="1" x14ac:dyDescent="0.35">
      <c r="A37" s="229">
        <v>34</v>
      </c>
      <c r="B37" s="230" t="str">
        <f>IFERROR('Facility Master'!B38,"")</f>
        <v>South Indian Bank</v>
      </c>
      <c r="C37" s="231" t="str">
        <f>IFERROR('Facility Master'!C38,"")</f>
        <v>Forward Contract Limit</v>
      </c>
      <c r="D37" s="232">
        <f>IFERROR('Facility Master'!M38,0)</f>
        <v>3</v>
      </c>
      <c r="E37" s="232">
        <f>IFERROR('Facility Master'!O38,0)</f>
        <v>3</v>
      </c>
      <c r="F37" s="233">
        <f>IFERROR('Facility Master'!P38,0)</f>
        <v>1</v>
      </c>
      <c r="G37" s="234" t="str">
        <f t="shared" si="0"/>
        <v>High (&gt;90%)</v>
      </c>
      <c r="H37" s="235">
        <f>IFERROR(IF('Facility Master'!AD38="","-",'Facility Master'!AD38-AsOfDate),"-")</f>
        <v>67</v>
      </c>
      <c r="I37" s="236" t="str">
        <f>IFERROR(IF('Facility Master'!AD38="","No Validity",IF(H37&lt;=30,"Expiring (&lt;=30d)",IF(H37&lt;=60,"Due for Review (&lt;=60d)","OK"))),"")</f>
        <v>OK</v>
      </c>
    </row>
    <row r="38" spans="1:9" ht="21.75" customHeight="1" x14ac:dyDescent="0.3"/>
    <row r="39" spans="1:9" ht="21.75" customHeight="1" x14ac:dyDescent="0.3"/>
    <row r="40" spans="1:9" ht="15" customHeight="1" x14ac:dyDescent="0.3"/>
  </sheetData>
  <mergeCells count="1">
    <mergeCell ref="A1:I1"/>
  </mergeCells>
  <conditionalFormatting sqref="G4:G37">
    <cfRule type="cellIs" dxfId="30" priority="1" operator="equal">
      <formula>"High*"</formula>
    </cfRule>
    <cfRule type="cellIs" dxfId="29" priority="2" operator="equal">
      <formula>"Elevated*"</formula>
    </cfRule>
    <cfRule type="cellIs" dxfId="28" priority="3" operator="equal">
      <formula>"Normal"</formula>
    </cfRule>
  </conditionalFormatting>
  <conditionalFormatting sqref="I4:I37">
    <cfRule type="cellIs" dxfId="27" priority="4" operator="equal">
      <formula>"Expiring*"</formula>
    </cfRule>
    <cfRule type="cellIs" dxfId="26" priority="5" operator="equal">
      <formula>"Due*"</formula>
    </cfRule>
    <cfRule type="cellIs" dxfId="25" priority="6" operator="equal">
      <formula>"OK"</formula>
    </cfRule>
  </conditionalFormatting>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D7D31"/>
  </sheetPr>
  <dimension ref="A1:Z49"/>
  <sheetViews>
    <sheetView showGridLines="0" zoomScaleNormal="100" workbookViewId="0">
      <pane ySplit="3" topLeftCell="A4" activePane="bottomLeft" state="frozen"/>
      <selection pane="bottomLeft" activeCell="H19" sqref="H19"/>
    </sheetView>
  </sheetViews>
  <sheetFormatPr defaultColWidth="8.6640625" defaultRowHeight="14.4" x14ac:dyDescent="0.3"/>
  <cols>
    <col min="1" max="1" width="22.88671875" bestFit="1" customWidth="1"/>
    <col min="2" max="2" width="15.109375" bestFit="1" customWidth="1"/>
    <col min="3" max="3" width="29.6640625" customWidth="1"/>
    <col min="4" max="4" width="11.88671875" bestFit="1" customWidth="1"/>
    <col min="5" max="5" width="11.33203125" bestFit="1" customWidth="1"/>
    <col min="6" max="6" width="13.33203125" bestFit="1" customWidth="1"/>
    <col min="7" max="7" width="12.44140625" bestFit="1" customWidth="1"/>
    <col min="8" max="8" width="13.109375" bestFit="1" customWidth="1"/>
    <col min="9" max="9" width="18" customWidth="1"/>
    <col min="10" max="10" width="28" customWidth="1"/>
  </cols>
  <sheetData>
    <row r="1" spans="1:26" ht="30" customHeight="1" x14ac:dyDescent="0.3">
      <c r="A1" s="1380" t="s">
        <v>258</v>
      </c>
      <c r="B1" s="1380"/>
      <c r="C1" s="1380"/>
      <c r="D1" s="1380"/>
      <c r="E1" s="1380"/>
      <c r="F1" s="1380"/>
      <c r="G1" s="1380"/>
      <c r="H1" s="1380"/>
    </row>
    <row r="2" spans="1:26" ht="6" customHeight="1" thickBot="1" x14ac:dyDescent="0.35">
      <c r="A2" s="2"/>
      <c r="B2" s="2"/>
      <c r="C2" s="2"/>
      <c r="D2" s="2"/>
      <c r="E2" s="2"/>
      <c r="F2" s="2"/>
      <c r="G2" s="2"/>
      <c r="H2" s="2"/>
    </row>
    <row r="3" spans="1:26" ht="24" customHeight="1" x14ac:dyDescent="0.3">
      <c r="A3" s="237" t="s">
        <v>51</v>
      </c>
      <c r="B3" s="238" t="s">
        <v>52</v>
      </c>
      <c r="C3" s="238" t="s">
        <v>53</v>
      </c>
      <c r="D3" s="238" t="s">
        <v>259</v>
      </c>
      <c r="E3" s="238" t="s">
        <v>260</v>
      </c>
      <c r="F3" s="238" t="s">
        <v>500</v>
      </c>
      <c r="G3" s="238" t="s">
        <v>0</v>
      </c>
      <c r="H3" s="239" t="s">
        <v>501</v>
      </c>
    </row>
    <row r="4" spans="1:26" s="2" customFormat="1" ht="18" customHeight="1" x14ac:dyDescent="0.3">
      <c r="A4" s="240">
        <v>1</v>
      </c>
      <c r="B4" s="241" t="str">
        <f>IFERROR('Facility Master'!B5,"")</f>
        <v>RBL Bank</v>
      </c>
      <c r="C4" s="242" t="str">
        <f>IFERROR('Facility Master'!C5,"")</f>
        <v>Letter of Credit - Main Limit</v>
      </c>
      <c r="D4" s="243">
        <f>IFERROR('Facility Master'!AC5,"")</f>
        <v>46022</v>
      </c>
      <c r="E4" s="243">
        <f>IFERROR('Facility Master'!AD5,"")</f>
        <v>46356</v>
      </c>
      <c r="F4" s="244">
        <f>IFERROR(IF('Facility Master'!AD5="","-",'Facility Master'!AD5-AsOfDate),"-")</f>
        <v>229</v>
      </c>
      <c r="G4" s="245" t="str">
        <f>IFERROR(IF('Facility Master'!AD5="","No Validity Date",IF('Facility Master'!AD5&lt;AsOfDate,"Annual Renewal — Confirm with Ops",IF(F4&lt;=30,"Expiring &lt;=30d",IF(F4&lt;=60,"Due &lt;=60d","Valid")))),"")</f>
        <v>Valid</v>
      </c>
      <c r="H4" s="246" t="str">
        <f t="shared" ref="H4:H37" si="0">IF(G4="Annual Renewal — Confirm with Ops","Update validity from RM letter",IF(LEFT(G4,8)="Expiring","Initiate renewal","-"))</f>
        <v>-</v>
      </c>
      <c r="I4"/>
      <c r="J4"/>
      <c r="K4"/>
      <c r="L4"/>
      <c r="M4"/>
      <c r="N4"/>
      <c r="O4"/>
      <c r="P4"/>
      <c r="Q4"/>
      <c r="R4"/>
      <c r="S4"/>
      <c r="T4"/>
      <c r="U4"/>
      <c r="V4"/>
      <c r="W4"/>
      <c r="X4"/>
      <c r="Y4"/>
      <c r="Z4"/>
    </row>
    <row r="5" spans="1:26" ht="18" customHeight="1" x14ac:dyDescent="0.3">
      <c r="A5" s="247">
        <v>2</v>
      </c>
      <c r="B5" s="248" t="str">
        <f>IFERROR('Facility Master'!B6,"")</f>
        <v>RBL Bank</v>
      </c>
      <c r="C5" s="249" t="str">
        <f>IFERROR('Facility Master'!C6,"")</f>
        <v>Bank Guarantee</v>
      </c>
      <c r="D5" s="250">
        <f>IFERROR('Facility Master'!AC6,"")</f>
        <v>46022</v>
      </c>
      <c r="E5" s="250">
        <f>IFERROR('Facility Master'!AD6,"")</f>
        <v>46356</v>
      </c>
      <c r="F5" s="251">
        <f>IFERROR(IF('Facility Master'!AD6="","-",'Facility Master'!AD6-AsOfDate),"-")</f>
        <v>229</v>
      </c>
      <c r="G5" s="252" t="str">
        <f>IFERROR(IF('Facility Master'!AD6="","No Validity Date",IF('Facility Master'!AD6&lt;AsOfDate,"Annual Renewal — Confirm with Ops",IF(F5&lt;=30,"Expiring &lt;=30d",IF(F5&lt;=60,"Due &lt;=60d","Valid")))),"")</f>
        <v>Valid</v>
      </c>
      <c r="H5" s="253" t="str">
        <f t="shared" si="0"/>
        <v>-</v>
      </c>
    </row>
    <row r="6" spans="1:26" ht="18" customHeight="1" x14ac:dyDescent="0.3">
      <c r="A6" s="240">
        <v>3</v>
      </c>
      <c r="B6" s="241" t="str">
        <f>IFERROR('Facility Master'!B7,"")</f>
        <v>RBL Bank</v>
      </c>
      <c r="C6" s="242" t="str">
        <f>IFERROR('Facility Master'!C7,"")</f>
        <v>Invoice Discounting (PID)</v>
      </c>
      <c r="D6" s="243">
        <f>IFERROR('Facility Master'!AC7,"")</f>
        <v>46022</v>
      </c>
      <c r="E6" s="243">
        <f>IFERROR('Facility Master'!AD7,"")</f>
        <v>46356</v>
      </c>
      <c r="F6" s="244">
        <f>IFERROR(IF('Facility Master'!AD7="","-",'Facility Master'!AD7-AsOfDate),"-")</f>
        <v>229</v>
      </c>
      <c r="G6" s="245" t="str">
        <f>IFERROR(IF('Facility Master'!AD7="","No Validity Date",IF('Facility Master'!AD7&lt;AsOfDate,"Annual Renewal — Confirm with Ops",IF(F6&lt;=30,"Expiring &lt;=30d",IF(F6&lt;=60,"Due &lt;=60d","Valid")))),"")</f>
        <v>Valid</v>
      </c>
      <c r="H6" s="246" t="str">
        <f t="shared" si="0"/>
        <v>-</v>
      </c>
    </row>
    <row r="7" spans="1:26" ht="18" customHeight="1" x14ac:dyDescent="0.3">
      <c r="A7" s="247">
        <v>4</v>
      </c>
      <c r="B7" s="248" t="str">
        <f>IFERROR('Facility Master'!B8,"")</f>
        <v>RBL Bank</v>
      </c>
      <c r="C7" s="249" t="str">
        <f>IFERROR('Facility Master'!C8,"")</f>
        <v>SBLC</v>
      </c>
      <c r="D7" s="250">
        <f>IFERROR('Facility Master'!AC8,"")</f>
        <v>45729</v>
      </c>
      <c r="E7" s="250">
        <f>IFERROR('Facility Master'!AD8,"")</f>
        <v>46356</v>
      </c>
      <c r="F7" s="251">
        <f>IFERROR(IF('Facility Master'!AD8="","-",'Facility Master'!AD8-AsOfDate),"-")</f>
        <v>229</v>
      </c>
      <c r="G7" s="252" t="str">
        <f>IFERROR(IF('Facility Master'!AD8="","No Validity Date",IF('Facility Master'!AD8&lt;AsOfDate,"Annual Renewal — Confirm with Ops",IF(F7&lt;=30,"Expiring &lt;=30d",IF(F7&lt;=60,"Due &lt;=60d","Valid")))),"")</f>
        <v>Valid</v>
      </c>
      <c r="H7" s="253" t="str">
        <f t="shared" si="0"/>
        <v>-</v>
      </c>
    </row>
    <row r="8" spans="1:26" ht="18" customHeight="1" x14ac:dyDescent="0.3">
      <c r="A8" s="240">
        <v>5</v>
      </c>
      <c r="B8" s="241" t="str">
        <f>IFERROR('Facility Master'!B9,"")</f>
        <v>RBL Bank</v>
      </c>
      <c r="C8" s="242" t="str">
        <f>IFERROR('Facility Master'!C9,"")</f>
        <v>Pre-Acceptance LCBD</v>
      </c>
      <c r="D8" s="243">
        <f>IFERROR('Facility Master'!AC9,"")</f>
        <v>46022</v>
      </c>
      <c r="E8" s="243">
        <f>IFERROR('Facility Master'!AD9,"")</f>
        <v>46356</v>
      </c>
      <c r="F8" s="244">
        <f>IFERROR(IF('Facility Master'!AD9="","-",'Facility Master'!AD9-AsOfDate),"-")</f>
        <v>229</v>
      </c>
      <c r="G8" s="245" t="str">
        <f>IFERROR(IF('Facility Master'!AD9="","No Validity Date",IF('Facility Master'!AD9&lt;AsOfDate,"Annual Renewal — Confirm with Ops",IF(F8&lt;=30,"Expiring &lt;=30d",IF(F8&lt;=60,"Due &lt;=60d","Valid")))),"")</f>
        <v>Valid</v>
      </c>
      <c r="H8" s="246" t="str">
        <f t="shared" si="0"/>
        <v>-</v>
      </c>
    </row>
    <row r="9" spans="1:26" ht="18" customHeight="1" x14ac:dyDescent="0.3">
      <c r="A9" s="247">
        <v>6</v>
      </c>
      <c r="B9" s="248" t="str">
        <f>IFERROR('Facility Master'!B10,"")</f>
        <v>RBL Bank</v>
      </c>
      <c r="C9" s="249" t="str">
        <f>IFERROR('Facility Master'!C10,"")</f>
        <v>Cash Credit</v>
      </c>
      <c r="D9" s="250">
        <f>IFERROR('Facility Master'!AC10,"")</f>
        <v>45716</v>
      </c>
      <c r="E9" s="250">
        <f>IFERROR('Facility Master'!AD10,"")</f>
        <v>46356</v>
      </c>
      <c r="F9" s="251">
        <f>IFERROR(IF('Facility Master'!AD10="","-",'Facility Master'!AD10-AsOfDate),"-")</f>
        <v>229</v>
      </c>
      <c r="G9" s="252" t="str">
        <f>IFERROR(IF('Facility Master'!AD10="","No Validity Date",IF('Facility Master'!AD10&lt;AsOfDate,"Annual Renewal — Confirm with Ops",IF(F9&lt;=30,"Expiring &lt;=30d",IF(F9&lt;=60,"Due &lt;=60d","Valid")))),"")</f>
        <v>Valid</v>
      </c>
      <c r="H9" s="253" t="str">
        <f t="shared" si="0"/>
        <v>-</v>
      </c>
    </row>
    <row r="10" spans="1:26" ht="18" customHeight="1" x14ac:dyDescent="0.3">
      <c r="A10" s="240">
        <v>7</v>
      </c>
      <c r="B10" s="241" t="str">
        <f>IFERROR('Facility Master'!B11,"")</f>
        <v>RBL Bank</v>
      </c>
      <c r="C10" s="242" t="str">
        <f>IFERROR('Facility Master'!C11,"")</f>
        <v>Working Capital Demand Loan (WCDL)</v>
      </c>
      <c r="D10" s="243">
        <f>IFERROR('Facility Master'!AC11,"")</f>
        <v>46022</v>
      </c>
      <c r="E10" s="243">
        <f>IFERROR('Facility Master'!AD11,"")</f>
        <v>46356</v>
      </c>
      <c r="F10" s="244">
        <f>IFERROR(IF('Facility Master'!AD11="","-",'Facility Master'!AD11-AsOfDate),"-")</f>
        <v>229</v>
      </c>
      <c r="G10" s="245" t="str">
        <f>IFERROR(IF('Facility Master'!AD11="","No Validity Date",IF('Facility Master'!AD11&lt;AsOfDate,"Annual Renewal — Confirm with Ops",IF(F10&lt;=30,"Expiring &lt;=30d",IF(F10&lt;=60,"Due &lt;=60d","Valid")))),"")</f>
        <v>Valid</v>
      </c>
      <c r="H10" s="246" t="str">
        <f t="shared" si="0"/>
        <v>-</v>
      </c>
    </row>
    <row r="11" spans="1:26" ht="18" customHeight="1" x14ac:dyDescent="0.3">
      <c r="A11" s="247">
        <v>8</v>
      </c>
      <c r="B11" s="248" t="str">
        <f>IFERROR('Facility Master'!B12,"")</f>
        <v>RBL Bank</v>
      </c>
      <c r="C11" s="249" t="str">
        <f>IFERROR('Facility Master'!C12,"")</f>
        <v>Loan Equivalent Risk (LER)</v>
      </c>
      <c r="D11" s="250">
        <f>IFERROR('Facility Master'!AC12,"")</f>
        <v>46022</v>
      </c>
      <c r="E11" s="250">
        <f>IFERROR('Facility Master'!AD12,"")</f>
        <v>46356</v>
      </c>
      <c r="F11" s="251">
        <f>IFERROR(IF('Facility Master'!AD12="","-",'Facility Master'!AD12-AsOfDate),"-")</f>
        <v>229</v>
      </c>
      <c r="G11" s="252" t="str">
        <f>IFERROR(IF('Facility Master'!AD12="","No Validity Date",IF('Facility Master'!AD12&lt;AsOfDate,"Annual Renewal — Confirm with Ops",IF(F11&lt;=30,"Expiring &lt;=30d",IF(F11&lt;=60,"Due &lt;=60d","Valid")))),"")</f>
        <v>Valid</v>
      </c>
      <c r="H11" s="253" t="str">
        <f t="shared" si="0"/>
        <v>-</v>
      </c>
    </row>
    <row r="12" spans="1:26" ht="18" customHeight="1" x14ac:dyDescent="0.3">
      <c r="A12" s="240">
        <v>9</v>
      </c>
      <c r="B12" s="241" t="str">
        <f>IFERROR('Facility Master'!B13,"")</f>
        <v>RBL Bank</v>
      </c>
      <c r="C12" s="242" t="str">
        <f>IFERROR('Facility Master'!C13,"")</f>
        <v>Term Loan</v>
      </c>
      <c r="D12" s="243">
        <f>IFERROR('Facility Master'!AC13,"")</f>
        <v>45315</v>
      </c>
      <c r="E12" s="243">
        <f>IFERROR('Facility Master'!AD13,"")</f>
        <v>46387</v>
      </c>
      <c r="F12" s="244">
        <f>IFERROR(IF('Facility Master'!AD13="","-",'Facility Master'!AD13-AsOfDate),"-")</f>
        <v>260</v>
      </c>
      <c r="G12" s="245" t="str">
        <f>IFERROR(IF('Facility Master'!AD13="","No Validity Date",IF('Facility Master'!AD13&lt;AsOfDate,"Annual Renewal — Confirm with Ops",IF(F12&lt;=30,"Expiring &lt;=30d",IF(F12&lt;=60,"Due &lt;=60d","Valid")))),"")</f>
        <v>Valid</v>
      </c>
      <c r="H12" s="246" t="str">
        <f t="shared" si="0"/>
        <v>-</v>
      </c>
    </row>
    <row r="13" spans="1:26" ht="18" customHeight="1" x14ac:dyDescent="0.3">
      <c r="A13" s="247">
        <v>10</v>
      </c>
      <c r="B13" s="248" t="str">
        <f>IFERROR('Facility Master'!B14,"")</f>
        <v>RBL Bank</v>
      </c>
      <c r="C13" s="249" t="str">
        <f>IFERROR('Facility Master'!C14,"")</f>
        <v>SBLC for Buyer's Credit (GIFT City)</v>
      </c>
      <c r="D13" s="250">
        <f>IFERROR('Facility Master'!AC14,"")</f>
        <v>46022</v>
      </c>
      <c r="E13" s="250">
        <f>IFERROR('Facility Master'!AD14,"")</f>
        <v>46356</v>
      </c>
      <c r="F13" s="251">
        <f>IFERROR(IF('Facility Master'!AD14="","-",'Facility Master'!AD14-AsOfDate),"-")</f>
        <v>229</v>
      </c>
      <c r="G13" s="252" t="str">
        <f>IFERROR(IF('Facility Master'!AD14="","No Validity Date",IF('Facility Master'!AD14&lt;AsOfDate,"Annual Renewal — Confirm with Ops",IF(F13&lt;=30,"Expiring &lt;=30d",IF(F13&lt;=60,"Due &lt;=60d","Valid")))),"")</f>
        <v>Valid</v>
      </c>
      <c r="H13" s="253" t="str">
        <f t="shared" si="0"/>
        <v>-</v>
      </c>
    </row>
    <row r="14" spans="1:26" ht="18" customHeight="1" x14ac:dyDescent="0.3">
      <c r="A14" s="240">
        <v>11</v>
      </c>
      <c r="B14" s="241" t="str">
        <f>IFERROR('Facility Master'!B15,"")</f>
        <v>RBL Bank</v>
      </c>
      <c r="C14" s="242" t="str">
        <f>IFERROR('Facility Master'!C15,"")</f>
        <v>Capex LC</v>
      </c>
      <c r="D14" s="243">
        <f>IFERROR('Facility Master'!AC15,"")</f>
        <v>46022</v>
      </c>
      <c r="E14" s="243">
        <f>IFERROR('Facility Master'!AD15,"")</f>
        <v>46356</v>
      </c>
      <c r="F14" s="244">
        <f>IFERROR(IF('Facility Master'!AD15="","-",'Facility Master'!AD15-AsOfDate),"-")</f>
        <v>229</v>
      </c>
      <c r="G14" s="245" t="str">
        <f>IFERROR(IF('Facility Master'!AD15="","No Validity Date",IF('Facility Master'!AD15&lt;AsOfDate,"Annual Renewal — Confirm with Ops",IF(F14&lt;=30,"Expiring &lt;=30d",IF(F14&lt;=60,"Due &lt;=60d","Valid")))),"")</f>
        <v>Valid</v>
      </c>
      <c r="H14" s="246" t="str">
        <f t="shared" si="0"/>
        <v>-</v>
      </c>
    </row>
    <row r="15" spans="1:26" ht="18" customHeight="1" x14ac:dyDescent="0.3">
      <c r="A15" s="247">
        <v>12</v>
      </c>
      <c r="B15" s="248" t="str">
        <f>IFERROR('Facility Master'!B16,"")</f>
        <v>RBL Bank</v>
      </c>
      <c r="C15" s="249" t="str">
        <f>IFERROR('Facility Master'!C16,"")</f>
        <v>Overdraft backed by 100% FD (FDOD)</v>
      </c>
      <c r="D15" s="250">
        <f>IFERROR('Facility Master'!AC16,"")</f>
        <v>45315</v>
      </c>
      <c r="E15" s="250">
        <f>IFERROR('Facility Master'!AD16,"")</f>
        <v>46356</v>
      </c>
      <c r="F15" s="251">
        <f>IFERROR(IF('Facility Master'!AD16="","-",'Facility Master'!AD16-AsOfDate),"-")</f>
        <v>229</v>
      </c>
      <c r="G15" s="252" t="str">
        <f>IFERROR(IF('Facility Master'!AD16="","No Validity Date",IF('Facility Master'!AD16&lt;AsOfDate,"Annual Renewal — Confirm with Ops",IF(F15&lt;=30,"Expiring &lt;=30d",IF(F15&lt;=60,"Due &lt;=60d","Valid")))),"")</f>
        <v>Valid</v>
      </c>
      <c r="H15" s="253" t="str">
        <f t="shared" si="0"/>
        <v>-</v>
      </c>
    </row>
    <row r="16" spans="1:26" ht="18" customHeight="1" x14ac:dyDescent="0.3">
      <c r="A16" s="240">
        <v>13</v>
      </c>
      <c r="B16" s="241" t="str">
        <f>IFERROR('Facility Master'!B17,"")</f>
        <v>RBL Bank</v>
      </c>
      <c r="C16" s="242" t="str">
        <f>IFERROR('Facility Master'!C17,"")</f>
        <v>LC backed by 100% FD</v>
      </c>
      <c r="D16" s="243">
        <f>IFERROR('Facility Master'!AC17,"")</f>
        <v>45315</v>
      </c>
      <c r="E16" s="243">
        <f>IFERROR('Facility Master'!AD17,"")</f>
        <v>46356</v>
      </c>
      <c r="F16" s="244">
        <f>IFERROR(IF('Facility Master'!AD17="","-",'Facility Master'!AD17-AsOfDate),"-")</f>
        <v>229</v>
      </c>
      <c r="G16" s="245" t="str">
        <f>IFERROR(IF('Facility Master'!AD17="","No Validity Date",IF('Facility Master'!AD17&lt;AsOfDate,"Annual Renewal — Confirm with Ops",IF(F16&lt;=30,"Expiring &lt;=30d",IF(F16&lt;=60,"Due &lt;=60d","Valid")))),"")</f>
        <v>Valid</v>
      </c>
      <c r="H16" s="246" t="str">
        <f t="shared" si="0"/>
        <v>-</v>
      </c>
    </row>
    <row r="17" spans="1:8" ht="18" customHeight="1" x14ac:dyDescent="0.3">
      <c r="A17" s="247">
        <v>14</v>
      </c>
      <c r="B17" s="248" t="str">
        <f>IFERROR('Facility Master'!B18,"")</f>
        <v>RBL Bank</v>
      </c>
      <c r="C17" s="249" t="str">
        <f>IFERROR('Facility Master'!C18,"")</f>
        <v>Buyer's Credit from GIFT City - WC</v>
      </c>
      <c r="D17" s="250">
        <f>IFERROR('Facility Master'!AC18,"")</f>
        <v>45729</v>
      </c>
      <c r="E17" s="250">
        <f>IFERROR('Facility Master'!AD18,"")</f>
        <v>46356</v>
      </c>
      <c r="F17" s="251">
        <f>IFERROR(IF('Facility Master'!AD18="","-",'Facility Master'!AD18-AsOfDate),"-")</f>
        <v>229</v>
      </c>
      <c r="G17" s="252" t="str">
        <f>IFERROR(IF('Facility Master'!AD18="","No Validity Date",IF('Facility Master'!AD18&lt;AsOfDate,"Annual Renewal — Confirm with Ops",IF(F17&lt;=30,"Expiring &lt;=30d",IF(F17&lt;=60,"Due &lt;=60d","Valid")))),"")</f>
        <v>Valid</v>
      </c>
      <c r="H17" s="253" t="str">
        <f t="shared" si="0"/>
        <v>-</v>
      </c>
    </row>
    <row r="18" spans="1:8" ht="18" customHeight="1" x14ac:dyDescent="0.3">
      <c r="A18" s="240">
        <v>15</v>
      </c>
      <c r="B18" s="241" t="str">
        <f>IFERROR('Facility Master'!B19,"")</f>
        <v>RBL Bank</v>
      </c>
      <c r="C18" s="242" t="str">
        <f>IFERROR('Facility Master'!C19,"")</f>
        <v>Buyer's Credit from GIFT City - CAPEX</v>
      </c>
      <c r="D18" s="243">
        <f>IFERROR('Facility Master'!AC19,"")</f>
        <v>45743</v>
      </c>
      <c r="E18" s="243">
        <f>IFERROR('Facility Master'!AD19,"")</f>
        <v>46356</v>
      </c>
      <c r="F18" s="244">
        <f>IFERROR(IF('Facility Master'!AD19="","-",'Facility Master'!AD19-AsOfDate),"-")</f>
        <v>229</v>
      </c>
      <c r="G18" s="245" t="str">
        <f>IFERROR(IF('Facility Master'!AD19="","No Validity Date",IF('Facility Master'!AD19&lt;AsOfDate,"Annual Renewal — Confirm with Ops",IF(F18&lt;=30,"Expiring &lt;=30d",IF(F18&lt;=60,"Due &lt;=60d","Valid")))),"")</f>
        <v>Valid</v>
      </c>
      <c r="H18" s="246" t="str">
        <f t="shared" si="0"/>
        <v>-</v>
      </c>
    </row>
    <row r="19" spans="1:8" ht="18" customHeight="1" x14ac:dyDescent="0.3">
      <c r="A19" s="247">
        <v>16</v>
      </c>
      <c r="B19" s="248" t="str">
        <f>IFERROR('Facility Master'!B20,"")</f>
        <v>YES Bank</v>
      </c>
      <c r="C19" s="249" t="str">
        <f>IFERROR('Facility Master'!C20,"")</f>
        <v>Purchase Invoice Financing</v>
      </c>
      <c r="D19" s="250">
        <f>IFERROR('Facility Master'!AC20,"")</f>
        <v>46100</v>
      </c>
      <c r="E19" s="250">
        <f>IFERROR('Facility Master'!AD20,"")</f>
        <v>46142</v>
      </c>
      <c r="F19" s="251">
        <f>IFERROR(IF('Facility Master'!AD20="","-",'Facility Master'!AD20-AsOfDate),"-")</f>
        <v>15</v>
      </c>
      <c r="G19" s="252" t="str">
        <f>IFERROR(IF('Facility Master'!AD20="","No Validity Date",IF('Facility Master'!AD20&lt;AsOfDate,"Annual Renewal — Confirm with Ops",IF(F19&lt;=30,"Expiring &lt;=30d",IF(F19&lt;=60,"Due &lt;=60d","Valid")))),"")</f>
        <v>Expiring &lt;=30d</v>
      </c>
      <c r="H19" s="253" t="str">
        <f t="shared" si="0"/>
        <v>Initiate renewal</v>
      </c>
    </row>
    <row r="20" spans="1:8" ht="18" customHeight="1" x14ac:dyDescent="0.3">
      <c r="A20" s="240">
        <v>17</v>
      </c>
      <c r="B20" s="241" t="str">
        <f>IFERROR('Facility Master'!B21,"")</f>
        <v>YES Bank</v>
      </c>
      <c r="C20" s="242" t="str">
        <f>IFERROR('Facility Master'!C21,"")</f>
        <v>Cash Credit</v>
      </c>
      <c r="D20" s="243">
        <f>IFERROR('Facility Master'!AC21,"")</f>
        <v>46100</v>
      </c>
      <c r="E20" s="243">
        <f>IFERROR('Facility Master'!AD21,"")</f>
        <v>46490</v>
      </c>
      <c r="F20" s="244">
        <f>IFERROR(IF('Facility Master'!AD21="","-",'Facility Master'!AD21-AsOfDate),"-")</f>
        <v>363</v>
      </c>
      <c r="G20" s="245" t="str">
        <f>IFERROR(IF('Facility Master'!AD21="","No Validity Date",IF('Facility Master'!AD21&lt;AsOfDate,"Annual Renewal — Confirm with Ops",IF(F20&lt;=30,"Expiring &lt;=30d",IF(F20&lt;=60,"Due &lt;=60d","Valid")))),"")</f>
        <v>Valid</v>
      </c>
      <c r="H20" s="246" t="str">
        <f t="shared" si="0"/>
        <v>-</v>
      </c>
    </row>
    <row r="21" spans="1:8" ht="18" customHeight="1" x14ac:dyDescent="0.3">
      <c r="A21" s="247">
        <v>18</v>
      </c>
      <c r="B21" s="248" t="str">
        <f>IFERROR('Facility Master'!B22,"")</f>
        <v>YES Bank</v>
      </c>
      <c r="C21" s="249" t="str">
        <f>IFERROR('Facility Master'!C22,"")</f>
        <v>Letter of Credit</v>
      </c>
      <c r="D21" s="250">
        <f>IFERROR('Facility Master'!AC22,"")</f>
        <v>46100</v>
      </c>
      <c r="E21" s="250">
        <f>IFERROR('Facility Master'!AD22,"")</f>
        <v>46472</v>
      </c>
      <c r="F21" s="251">
        <f>IFERROR(IF('Facility Master'!AD22="","-",'Facility Master'!AD22-AsOfDate),"-")</f>
        <v>345</v>
      </c>
      <c r="G21" s="252" t="str">
        <f>IFERROR(IF('Facility Master'!AD22="","No Validity Date",IF('Facility Master'!AD22&lt;AsOfDate,"Annual Renewal — Confirm with Ops",IF(F21&lt;=30,"Expiring &lt;=30d",IF(F21&lt;=60,"Due &lt;=60d","Valid")))),"")</f>
        <v>Valid</v>
      </c>
      <c r="H21" s="253" t="str">
        <f t="shared" si="0"/>
        <v>-</v>
      </c>
    </row>
    <row r="22" spans="1:8" ht="18" customHeight="1" x14ac:dyDescent="0.3">
      <c r="A22" s="240">
        <v>19</v>
      </c>
      <c r="B22" s="241" t="str">
        <f>IFERROR('Facility Master'!B23,"")</f>
        <v>YES Bank</v>
      </c>
      <c r="C22" s="242" t="str">
        <f>IFERROR('Facility Master'!C23,"")</f>
        <v>Financial BG / SBLC</v>
      </c>
      <c r="D22" s="243">
        <f>IFERROR('Facility Master'!AC23,"")</f>
        <v>46100</v>
      </c>
      <c r="E22" s="243">
        <f>IFERROR('Facility Master'!AD23,"")</f>
        <v>46490</v>
      </c>
      <c r="F22" s="244">
        <f>IFERROR(IF('Facility Master'!AD23="","-",'Facility Master'!AD23-AsOfDate),"-")</f>
        <v>363</v>
      </c>
      <c r="G22" s="245" t="str">
        <f>IFERROR(IF('Facility Master'!AD23="","No Validity Date",IF('Facility Master'!AD23&lt;AsOfDate,"Annual Renewal — Confirm with Ops",IF(F22&lt;=30,"Expiring &lt;=30d",IF(F22&lt;=60,"Due &lt;=60d","Valid")))),"")</f>
        <v>Valid</v>
      </c>
      <c r="H22" s="246" t="str">
        <f t="shared" si="0"/>
        <v>-</v>
      </c>
    </row>
    <row r="23" spans="1:8" ht="18" customHeight="1" x14ac:dyDescent="0.3">
      <c r="A23" s="247">
        <v>20</v>
      </c>
      <c r="B23" s="248" t="str">
        <f>IFERROR('Facility Master'!B24,"")</f>
        <v>YES Bank</v>
      </c>
      <c r="C23" s="249" t="str">
        <f>IFERROR('Facility Master'!C24,"")</f>
        <v>Working Capital Demand Loan (WCDL)</v>
      </c>
      <c r="D23" s="250">
        <f>IFERROR('Facility Master'!AC24,"")</f>
        <v>46100</v>
      </c>
      <c r="E23" s="250">
        <f>IFERROR('Facility Master'!AD24,"")</f>
        <v>46490</v>
      </c>
      <c r="F23" s="251">
        <f>IFERROR(IF('Facility Master'!AD24="","-",'Facility Master'!AD24-AsOfDate),"-")</f>
        <v>363</v>
      </c>
      <c r="G23" s="252" t="str">
        <f>IFERROR(IF('Facility Master'!AD24="","No Validity Date",IF('Facility Master'!AD24&lt;AsOfDate,"Annual Renewal — Confirm with Ops",IF(F23&lt;=30,"Expiring &lt;=30d",IF(F23&lt;=60,"Due &lt;=60d","Valid")))),"")</f>
        <v>Valid</v>
      </c>
      <c r="H23" s="253" t="str">
        <f t="shared" si="0"/>
        <v>-</v>
      </c>
    </row>
    <row r="24" spans="1:8" ht="18" customHeight="1" x14ac:dyDescent="0.3">
      <c r="A24" s="240">
        <v>21</v>
      </c>
      <c r="B24" s="241" t="str">
        <f>IFERROR('Facility Master'!B25,"")</f>
        <v>YES Bank</v>
      </c>
      <c r="C24" s="242" t="str">
        <f>IFERROR('Facility Master'!C25,"")</f>
        <v>Term Loan (Refinance Canara)</v>
      </c>
      <c r="D24" s="243">
        <f>IFERROR('Facility Master'!AC25,"")</f>
        <v>45744</v>
      </c>
      <c r="E24" s="243">
        <f>IFERROR('Facility Master'!AD25,"")</f>
        <v>46253</v>
      </c>
      <c r="F24" s="244">
        <f>IFERROR(IF('Facility Master'!AD25="","-",'Facility Master'!AD25-AsOfDate),"-")</f>
        <v>126</v>
      </c>
      <c r="G24" s="245" t="str">
        <f>IFERROR(IF('Facility Master'!AD25="","No Validity Date",IF('Facility Master'!AD25&lt;AsOfDate,"Annual Renewal — Confirm with Ops",IF(F24&lt;=30,"Expiring &lt;=30d",IF(F24&lt;=60,"Due &lt;=60d","Valid")))),"")</f>
        <v>Valid</v>
      </c>
      <c r="H24" s="246" t="str">
        <f t="shared" si="0"/>
        <v>-</v>
      </c>
    </row>
    <row r="25" spans="1:8" ht="18" customHeight="1" x14ac:dyDescent="0.3">
      <c r="A25" s="247">
        <v>22</v>
      </c>
      <c r="B25" s="248" t="str">
        <f>IFERROR('Facility Master'!B26,"")</f>
        <v>Bajaj Finance</v>
      </c>
      <c r="C25" s="249" t="str">
        <f>IFERROR('Facility Master'!C26,"")</f>
        <v>Term Loan</v>
      </c>
      <c r="D25" s="250">
        <f>IFERROR('Facility Master'!AC26,"")</f>
        <v>45887</v>
      </c>
      <c r="E25" s="250">
        <f>IFERROR('Facility Master'!AD26,"")</f>
        <v>46265</v>
      </c>
      <c r="F25" s="251">
        <f>IFERROR(IF('Facility Master'!AD26="","-",'Facility Master'!AD26-AsOfDate),"-")</f>
        <v>138</v>
      </c>
      <c r="G25" s="252" t="str">
        <f>IFERROR(IF('Facility Master'!AD26="","No Validity Date",IF('Facility Master'!AD26&lt;AsOfDate,"Annual Renewal — Confirm with Ops",IF(F25&lt;=30,"Expiring &lt;=30d",IF(F25&lt;=60,"Due &lt;=60d","Valid")))),"")</f>
        <v>Valid</v>
      </c>
      <c r="H25" s="253" t="str">
        <f t="shared" si="0"/>
        <v>-</v>
      </c>
    </row>
    <row r="26" spans="1:8" ht="18" customHeight="1" x14ac:dyDescent="0.3">
      <c r="A26" s="240">
        <v>23</v>
      </c>
      <c r="B26" s="241" t="str">
        <f>IFERROR('Facility Master'!B27,"")</f>
        <v>ICICI Bank</v>
      </c>
      <c r="C26" s="242" t="str">
        <f>IFERROR('Facility Master'!C27,"")</f>
        <v>Cash Credit</v>
      </c>
      <c r="D26" s="243">
        <f>IFERROR('Facility Master'!AC27,"")</f>
        <v>45916</v>
      </c>
      <c r="E26" s="243">
        <f>IFERROR('Facility Master'!AD27,"")</f>
        <v>46268</v>
      </c>
      <c r="F26" s="244">
        <f>IFERROR(IF('Facility Master'!AD27="","-",'Facility Master'!AD27-AsOfDate),"-")</f>
        <v>141</v>
      </c>
      <c r="G26" s="245" t="str">
        <f>IFERROR(IF('Facility Master'!AD27="","No Validity Date",IF('Facility Master'!AD27&lt;AsOfDate,"Annual Renewal — Confirm with Ops",IF(F26&lt;=30,"Expiring &lt;=30d",IF(F26&lt;=60,"Due &lt;=60d","Valid")))),"")</f>
        <v>Valid</v>
      </c>
      <c r="H26" s="246" t="str">
        <f t="shared" si="0"/>
        <v>-</v>
      </c>
    </row>
    <row r="27" spans="1:8" ht="18" customHeight="1" x14ac:dyDescent="0.3">
      <c r="A27" s="247">
        <v>24</v>
      </c>
      <c r="B27" s="248" t="str">
        <f>IFERROR('Facility Master'!B28,"")</f>
        <v>ICICI Bank</v>
      </c>
      <c r="C27" s="249" t="str">
        <f>IFERROR('Facility Master'!C28,"")</f>
        <v>Working Capital Demand Loan (WCDL)</v>
      </c>
      <c r="D27" s="250">
        <f>IFERROR('Facility Master'!AC28,"")</f>
        <v>45972</v>
      </c>
      <c r="E27" s="250">
        <f>IFERROR('Facility Master'!AD28,"")</f>
        <v>46268</v>
      </c>
      <c r="F27" s="251">
        <f>IFERROR(IF('Facility Master'!AD28="","-",'Facility Master'!AD28-AsOfDate),"-")</f>
        <v>141</v>
      </c>
      <c r="G27" s="252" t="str">
        <f>IFERROR(IF('Facility Master'!AD28="","No Validity Date",IF('Facility Master'!AD28&lt;AsOfDate,"Annual Renewal — Confirm with Ops",IF(F27&lt;=30,"Expiring &lt;=30d",IF(F27&lt;=60,"Due &lt;=60d","Valid")))),"")</f>
        <v>Valid</v>
      </c>
      <c r="H27" s="253" t="str">
        <f t="shared" si="0"/>
        <v>-</v>
      </c>
    </row>
    <row r="28" spans="1:8" ht="18" customHeight="1" x14ac:dyDescent="0.3">
      <c r="A28" s="240">
        <v>25</v>
      </c>
      <c r="B28" s="241" t="str">
        <f>IFERROR('Facility Master'!B29,"")</f>
        <v>ICICI Bank</v>
      </c>
      <c r="C28" s="242" t="str">
        <f>IFERROR('Facility Master'!C29,"")</f>
        <v>Letter of Credit (Inland/Foreign)</v>
      </c>
      <c r="D28" s="243">
        <f>IFERROR('Facility Master'!AC29,"")</f>
        <v>45916</v>
      </c>
      <c r="E28" s="243">
        <f>IFERROR('Facility Master'!AD29,"")</f>
        <v>46268</v>
      </c>
      <c r="F28" s="244">
        <f>IFERROR(IF('Facility Master'!AD29="","-",'Facility Master'!AD29-AsOfDate),"-")</f>
        <v>141</v>
      </c>
      <c r="G28" s="245" t="str">
        <f>IFERROR(IF('Facility Master'!AD29="","No Validity Date",IF('Facility Master'!AD29&lt;AsOfDate,"Annual Renewal — Confirm with Ops",IF(F28&lt;=30,"Expiring &lt;=30d",IF(F28&lt;=60,"Due &lt;=60d","Valid")))),"")</f>
        <v>Valid</v>
      </c>
      <c r="H28" s="246" t="str">
        <f t="shared" si="0"/>
        <v>-</v>
      </c>
    </row>
    <row r="29" spans="1:8" ht="18" customHeight="1" x14ac:dyDescent="0.3">
      <c r="A29" s="247">
        <v>26</v>
      </c>
      <c r="B29" s="248" t="str">
        <f>IFERROR('Facility Master'!B30,"")</f>
        <v>ICICI Bank</v>
      </c>
      <c r="C29" s="249" t="str">
        <f>IFERROR('Facility Master'!C30,"")</f>
        <v>SBLC for Buyers' Credit</v>
      </c>
      <c r="D29" s="250">
        <f>IFERROR('Facility Master'!AC30,"")</f>
        <v>45916</v>
      </c>
      <c r="E29" s="250">
        <f>IFERROR('Facility Master'!AD30,"")</f>
        <v>46268</v>
      </c>
      <c r="F29" s="251">
        <f>IFERROR(IF('Facility Master'!AD30="","-",'Facility Master'!AD30-AsOfDate),"-")</f>
        <v>141</v>
      </c>
      <c r="G29" s="252" t="str">
        <f>IFERROR(IF('Facility Master'!AD30="","No Validity Date",IF('Facility Master'!AD30&lt;AsOfDate,"Annual Renewal — Confirm with Ops",IF(F29&lt;=30,"Expiring &lt;=30d",IF(F29&lt;=60,"Due &lt;=60d","Valid")))),"")</f>
        <v>Valid</v>
      </c>
      <c r="H29" s="253" t="str">
        <f t="shared" si="0"/>
        <v>-</v>
      </c>
    </row>
    <row r="30" spans="1:8" ht="18" customHeight="1" x14ac:dyDescent="0.3">
      <c r="A30" s="240">
        <v>27</v>
      </c>
      <c r="B30" s="241" t="str">
        <f>IFERROR('Facility Master'!B31,"")</f>
        <v>ICICI Bank</v>
      </c>
      <c r="C30" s="242" t="str">
        <f>IFERROR('Facility Master'!C31,"")</f>
        <v>Bank Guarantee - Performance</v>
      </c>
      <c r="D30" s="243">
        <f>IFERROR('Facility Master'!AC31,"")</f>
        <v>45916</v>
      </c>
      <c r="E30" s="243">
        <f>IFERROR('Facility Master'!AD31,"")</f>
        <v>46268</v>
      </c>
      <c r="F30" s="244">
        <f>IFERROR(IF('Facility Master'!AD31="","-",'Facility Master'!AD31-AsOfDate),"-")</f>
        <v>141</v>
      </c>
      <c r="G30" s="245" t="str">
        <f>IFERROR(IF('Facility Master'!AD31="","No Validity Date",IF('Facility Master'!AD31&lt;AsOfDate,"Annual Renewal — Confirm with Ops",IF(F30&lt;=30,"Expiring &lt;=30d",IF(F30&lt;=60,"Due &lt;=60d","Valid")))),"")</f>
        <v>Valid</v>
      </c>
      <c r="H30" s="246" t="str">
        <f t="shared" si="0"/>
        <v>-</v>
      </c>
    </row>
    <row r="31" spans="1:8" ht="18" customHeight="1" x14ac:dyDescent="0.3">
      <c r="A31" s="247">
        <v>28</v>
      </c>
      <c r="B31" s="248" t="str">
        <f>IFERROR('Facility Master'!B32,"")</f>
        <v>ICICI Bank</v>
      </c>
      <c r="C31" s="249" t="str">
        <f>IFERROR('Facility Master'!C32,"")</f>
        <v>Bank Guarantee - Financial</v>
      </c>
      <c r="D31" s="250">
        <f>IFERROR('Facility Master'!AC32,"")</f>
        <v>45916</v>
      </c>
      <c r="E31" s="250">
        <f>IFERROR('Facility Master'!AD32,"")</f>
        <v>46268</v>
      </c>
      <c r="F31" s="251">
        <f>IFERROR(IF('Facility Master'!AD32="","-",'Facility Master'!AD32-AsOfDate),"-")</f>
        <v>141</v>
      </c>
      <c r="G31" s="252" t="str">
        <f>IFERROR(IF('Facility Master'!AD32="","No Validity Date",IF('Facility Master'!AD32&lt;AsOfDate,"Annual Renewal — Confirm with Ops",IF(F31&lt;=30,"Expiring &lt;=30d",IF(F31&lt;=60,"Due &lt;=60d","Valid")))),"")</f>
        <v>Valid</v>
      </c>
      <c r="H31" s="253" t="str">
        <f t="shared" si="0"/>
        <v>-</v>
      </c>
    </row>
    <row r="32" spans="1:8" ht="18" customHeight="1" x14ac:dyDescent="0.3">
      <c r="A32" s="240">
        <v>29</v>
      </c>
      <c r="B32" s="241" t="str">
        <f>IFERROR('Facility Master'!B33,"")</f>
        <v>South Indian Bank</v>
      </c>
      <c r="C32" s="242" t="str">
        <f>IFERROR('Facility Master'!C33,"")</f>
        <v>CCOL (Cash Credit)</v>
      </c>
      <c r="D32" s="243">
        <f>IFERROR('Facility Master'!AC33,"")</f>
        <v>45829</v>
      </c>
      <c r="E32" s="243">
        <f>IFERROR('Facility Master'!AD33,"")</f>
        <v>46194</v>
      </c>
      <c r="F32" s="244">
        <f>IFERROR(IF('Facility Master'!AD33="","-",'Facility Master'!AD33-AsOfDate),"-")</f>
        <v>67</v>
      </c>
      <c r="G32" s="245" t="str">
        <f>IFERROR(IF('Facility Master'!AD33="","No Validity Date",IF('Facility Master'!AD33&lt;AsOfDate,"Annual Renewal — Confirm with Ops",IF(F32&lt;=30,"Expiring &lt;=30d",IF(F32&lt;=60,"Due &lt;=60d","Valid")))),"")</f>
        <v>Valid</v>
      </c>
      <c r="H32" s="246" t="str">
        <f t="shared" si="0"/>
        <v>-</v>
      </c>
    </row>
    <row r="33" spans="1:8" ht="18" customHeight="1" x14ac:dyDescent="0.3">
      <c r="A33" s="247">
        <v>30</v>
      </c>
      <c r="B33" s="248" t="str">
        <f>IFERROR('Facility Master'!B34,"")</f>
        <v>South Indian Bank</v>
      </c>
      <c r="C33" s="249" t="str">
        <f>IFERROR('Facility Master'!C34,"")</f>
        <v>WCL / WCDL</v>
      </c>
      <c r="D33" s="250">
        <f>IFERROR('Facility Master'!AC34,"")</f>
        <v>45829</v>
      </c>
      <c r="E33" s="250">
        <f>IFERROR('Facility Master'!AD34,"")</f>
        <v>46194</v>
      </c>
      <c r="F33" s="251">
        <f>IFERROR(IF('Facility Master'!AD34="","-",'Facility Master'!AD34-AsOfDate),"-")</f>
        <v>67</v>
      </c>
      <c r="G33" s="252" t="str">
        <f>IFERROR(IF('Facility Master'!AD34="","No Validity Date",IF('Facility Master'!AD34&lt;AsOfDate,"Annual Renewal — Confirm with Ops",IF(F33&lt;=30,"Expiring &lt;=30d",IF(F33&lt;=60,"Due &lt;=60d","Valid")))),"")</f>
        <v>Valid</v>
      </c>
      <c r="H33" s="253" t="str">
        <f t="shared" si="0"/>
        <v>-</v>
      </c>
    </row>
    <row r="34" spans="1:8" ht="18" customHeight="1" x14ac:dyDescent="0.3">
      <c r="A34" s="240">
        <v>31</v>
      </c>
      <c r="B34" s="241" t="str">
        <f>IFERROR('Facility Master'!B35,"")</f>
        <v>South Indian Bank</v>
      </c>
      <c r="C34" s="242" t="str">
        <f>IFERROR('Facility Master'!C35,"")</f>
        <v>Inland / Import LC</v>
      </c>
      <c r="D34" s="243">
        <f>IFERROR('Facility Master'!AC35,"")</f>
        <v>45829</v>
      </c>
      <c r="E34" s="243">
        <f>IFERROR('Facility Master'!AD35,"")</f>
        <v>46194</v>
      </c>
      <c r="F34" s="244">
        <f>IFERROR(IF('Facility Master'!AD35="","-",'Facility Master'!AD35-AsOfDate),"-")</f>
        <v>67</v>
      </c>
      <c r="G34" s="245" t="str">
        <f>IFERROR(IF('Facility Master'!AD35="","No Validity Date",IF('Facility Master'!AD35&lt;AsOfDate,"Annual Renewal — Confirm with Ops",IF(F34&lt;=30,"Expiring &lt;=30d",IF(F34&lt;=60,"Due &lt;=60d","Valid")))),"")</f>
        <v>Valid</v>
      </c>
      <c r="H34" s="246" t="str">
        <f t="shared" si="0"/>
        <v>-</v>
      </c>
    </row>
    <row r="35" spans="1:8" ht="18" customHeight="1" x14ac:dyDescent="0.3">
      <c r="A35" s="247">
        <v>32</v>
      </c>
      <c r="B35" s="248" t="str">
        <f>IFERROR('Facility Master'!B36,"")</f>
        <v>South Indian Bank</v>
      </c>
      <c r="C35" s="249" t="str">
        <f>IFERROR('Facility Master'!C36,"")</f>
        <v>Capex LC</v>
      </c>
      <c r="D35" s="250">
        <f>IFERROR('Facility Master'!AC36,"")</f>
        <v>45829</v>
      </c>
      <c r="E35" s="250">
        <f>IFERROR('Facility Master'!AD36,"")</f>
        <v>46194</v>
      </c>
      <c r="F35" s="251">
        <f>IFERROR(IF('Facility Master'!AD36="","-",'Facility Master'!AD36-AsOfDate),"-")</f>
        <v>67</v>
      </c>
      <c r="G35" s="252" t="str">
        <f>IFERROR(IF('Facility Master'!AD36="","No Validity Date",IF('Facility Master'!AD36&lt;AsOfDate,"Annual Renewal — Confirm with Ops",IF(F35&lt;=30,"Expiring &lt;=30d",IF(F35&lt;=60,"Due &lt;=60d","Valid")))),"")</f>
        <v>Valid</v>
      </c>
      <c r="H35" s="253" t="str">
        <f t="shared" si="0"/>
        <v>-</v>
      </c>
    </row>
    <row r="36" spans="1:8" ht="18" customHeight="1" x14ac:dyDescent="0.3">
      <c r="A36" s="240">
        <v>33</v>
      </c>
      <c r="B36" s="241" t="str">
        <f>IFERROR('Facility Master'!B37,"")</f>
        <v>South Indian Bank</v>
      </c>
      <c r="C36" s="242" t="str">
        <f>IFERROR('Facility Master'!C37,"")</f>
        <v>SBLC</v>
      </c>
      <c r="D36" s="243">
        <f>IFERROR('Facility Master'!AC37,"")</f>
        <v>45829</v>
      </c>
      <c r="E36" s="243">
        <f>IFERROR('Facility Master'!AD37,"")</f>
        <v>46194</v>
      </c>
      <c r="F36" s="244">
        <f>IFERROR(IF('Facility Master'!AD37="","-",'Facility Master'!AD37-AsOfDate),"-")</f>
        <v>67</v>
      </c>
      <c r="G36" s="245" t="str">
        <f>IFERROR(IF('Facility Master'!AD37="","No Validity Date",IF('Facility Master'!AD37&lt;AsOfDate,"Annual Renewal — Confirm with Ops",IF(F36&lt;=30,"Expiring &lt;=30d",IF(F36&lt;=60,"Due &lt;=60d","Valid")))),"")</f>
        <v>Valid</v>
      </c>
      <c r="H36" s="246" t="str">
        <f t="shared" si="0"/>
        <v>-</v>
      </c>
    </row>
    <row r="37" spans="1:8" ht="18" customHeight="1" thickBot="1" x14ac:dyDescent="0.35">
      <c r="A37" s="254">
        <v>34</v>
      </c>
      <c r="B37" s="255" t="str">
        <f>IFERROR('Facility Master'!B38,"")</f>
        <v>South Indian Bank</v>
      </c>
      <c r="C37" s="256" t="str">
        <f>IFERROR('Facility Master'!C38,"")</f>
        <v>Forward Contract Limit</v>
      </c>
      <c r="D37" s="257">
        <f>IFERROR('Facility Master'!AC38,"")</f>
        <v>45829</v>
      </c>
      <c r="E37" s="257">
        <f>IFERROR('Facility Master'!AD38,"")</f>
        <v>46194</v>
      </c>
      <c r="F37" s="258">
        <f>IFERROR(IF('Facility Master'!AD38="","-",'Facility Master'!AD38-AsOfDate),"-")</f>
        <v>67</v>
      </c>
      <c r="G37" s="259" t="str">
        <f>IFERROR(IF('Facility Master'!AD38="","No Validity Date",IF('Facility Master'!AD38&lt;AsOfDate,"Annual Renewal — Confirm with Ops",IF(F37&lt;=30,"Expiring &lt;=30d",IF(F37&lt;=60,"Due &lt;=60d","Valid")))),"")</f>
        <v>Valid</v>
      </c>
      <c r="H37" s="260" t="str">
        <f t="shared" si="0"/>
        <v>-</v>
      </c>
    </row>
    <row r="38" spans="1:8" ht="7.95" customHeight="1" x14ac:dyDescent="0.3">
      <c r="A38" s="72"/>
      <c r="B38" s="73"/>
      <c r="C38" s="73"/>
      <c r="D38" s="73"/>
      <c r="E38" s="73"/>
      <c r="F38" s="73"/>
      <c r="G38" s="73"/>
      <c r="H38" s="74"/>
    </row>
    <row r="39" spans="1:8" ht="7.95" customHeight="1" thickBot="1" x14ac:dyDescent="0.35">
      <c r="A39" s="1381" t="s">
        <v>502</v>
      </c>
      <c r="B39" s="1382"/>
      <c r="C39" s="1382"/>
      <c r="D39" s="1382"/>
      <c r="E39" s="1382"/>
      <c r="F39" s="1382"/>
      <c r="G39" s="1382"/>
      <c r="H39" s="1383"/>
    </row>
    <row r="40" spans="1:8" ht="22.05" customHeight="1" x14ac:dyDescent="0.3">
      <c r="A40" s="261" t="s">
        <v>503</v>
      </c>
      <c r="B40" s="262">
        <f>COUNTIF(G4:G37,"Valid")</f>
        <v>33</v>
      </c>
      <c r="C40" s="262"/>
      <c r="D40" s="262"/>
      <c r="E40" s="262"/>
      <c r="F40" s="262"/>
      <c r="G40" s="262"/>
      <c r="H40" s="263"/>
    </row>
    <row r="41" spans="1:8" ht="19.95" customHeight="1" x14ac:dyDescent="0.3">
      <c r="A41" s="264" t="s">
        <v>504</v>
      </c>
      <c r="B41" s="125">
        <f>COUNTIF(G4:G37,"Due*")</f>
        <v>0</v>
      </c>
      <c r="C41" s="265"/>
      <c r="D41" s="265"/>
      <c r="E41" s="265"/>
      <c r="F41" s="265"/>
      <c r="G41" s="265"/>
      <c r="H41" s="266"/>
    </row>
    <row r="42" spans="1:8" ht="19.95" customHeight="1" x14ac:dyDescent="0.3">
      <c r="A42" s="247" t="s">
        <v>505</v>
      </c>
      <c r="B42" s="121">
        <f>COUNTIF(G4:G37,"Expiring*")</f>
        <v>1</v>
      </c>
      <c r="C42" s="248"/>
      <c r="D42" s="248"/>
      <c r="E42" s="248"/>
      <c r="F42" s="248"/>
      <c r="G42" s="248"/>
      <c r="H42" s="267"/>
    </row>
    <row r="43" spans="1:8" ht="19.95" customHeight="1" x14ac:dyDescent="0.3">
      <c r="A43" s="264" t="s">
        <v>506</v>
      </c>
      <c r="B43" s="125">
        <f>COUNTIF(G4:G37,"Annual*")</f>
        <v>0</v>
      </c>
      <c r="C43" s="265"/>
      <c r="D43" s="265"/>
      <c r="E43" s="265"/>
      <c r="F43" s="265"/>
      <c r="G43" s="265"/>
      <c r="H43" s="266"/>
    </row>
    <row r="44" spans="1:8" ht="19.95" customHeight="1" x14ac:dyDescent="0.3">
      <c r="A44" s="247" t="s">
        <v>507</v>
      </c>
      <c r="B44" s="121">
        <f>COUNTIF(G4:G37,"No Validity*")</f>
        <v>0</v>
      </c>
      <c r="C44" s="248"/>
      <c r="D44" s="248"/>
      <c r="E44" s="248"/>
      <c r="F44" s="248"/>
      <c r="G44" s="248"/>
      <c r="H44" s="267"/>
    </row>
    <row r="45" spans="1:8" ht="19.95" customHeight="1" thickBot="1" x14ac:dyDescent="0.35">
      <c r="A45" s="268"/>
      <c r="B45" s="269"/>
      <c r="C45" s="270"/>
      <c r="D45" s="270"/>
      <c r="E45" s="270"/>
      <c r="F45" s="270"/>
      <c r="G45" s="270"/>
      <c r="H45" s="271"/>
    </row>
    <row r="46" spans="1:8" ht="55.95" customHeight="1" thickBot="1" x14ac:dyDescent="0.35">
      <c r="A46" s="1384" t="s">
        <v>508</v>
      </c>
      <c r="B46" s="1385"/>
      <c r="C46" s="1385"/>
      <c r="D46" s="1385"/>
      <c r="E46" s="1385"/>
      <c r="F46" s="1385"/>
      <c r="G46" s="1385"/>
      <c r="H46" s="1386"/>
    </row>
    <row r="48" spans="1:8" ht="21.75" customHeight="1" x14ac:dyDescent="0.3"/>
    <row r="49" ht="84.75" customHeight="1" x14ac:dyDescent="0.3"/>
  </sheetData>
  <mergeCells count="3">
    <mergeCell ref="A1:H1"/>
    <mergeCell ref="A39:H39"/>
    <mergeCell ref="A46:H46"/>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030A0"/>
  </sheetPr>
  <dimension ref="A1:Z54"/>
  <sheetViews>
    <sheetView showGridLines="0" zoomScaleNormal="100" workbookViewId="0">
      <selection activeCell="C14" sqref="C14"/>
    </sheetView>
  </sheetViews>
  <sheetFormatPr defaultColWidth="8.6640625" defaultRowHeight="14.4" x14ac:dyDescent="0.3"/>
  <cols>
    <col min="1" max="1" width="29" bestFit="1" customWidth="1"/>
    <col min="2" max="2" width="23.21875" bestFit="1" customWidth="1"/>
    <col min="3" max="3" width="6" bestFit="1" customWidth="1"/>
    <col min="4" max="4" width="6.44140625" bestFit="1" customWidth="1"/>
    <col min="5" max="5" width="12" bestFit="1" customWidth="1"/>
    <col min="6" max="6" width="20.33203125" customWidth="1"/>
  </cols>
  <sheetData>
    <row r="1" spans="1:26" ht="25.95" customHeight="1" x14ac:dyDescent="0.3">
      <c r="A1" s="1363" t="s">
        <v>475</v>
      </c>
      <c r="B1" s="1363"/>
      <c r="C1" s="1363"/>
      <c r="D1" s="1363"/>
      <c r="E1" s="1363"/>
      <c r="F1" s="1363"/>
    </row>
    <row r="2" spans="1:26" ht="7.95" customHeight="1" thickBot="1" x14ac:dyDescent="0.35">
      <c r="A2" s="2"/>
      <c r="B2" s="2"/>
      <c r="C2" s="2"/>
      <c r="D2" s="2"/>
      <c r="E2" s="2"/>
      <c r="F2" s="2"/>
    </row>
    <row r="3" spans="1:26" ht="22.05" customHeight="1" x14ac:dyDescent="0.3">
      <c r="A3" s="281" t="s">
        <v>476</v>
      </c>
      <c r="B3" s="51"/>
      <c r="C3" s="272" t="s">
        <v>262</v>
      </c>
      <c r="D3" s="273" t="s">
        <v>263</v>
      </c>
      <c r="E3" s="274" t="s">
        <v>264</v>
      </c>
      <c r="F3" s="52"/>
    </row>
    <row r="4" spans="1:26" ht="22.05" customHeight="1" x14ac:dyDescent="0.3">
      <c r="A4" s="53" t="s">
        <v>477</v>
      </c>
      <c r="B4" s="54"/>
      <c r="C4" s="278">
        <v>0</v>
      </c>
      <c r="D4" s="278">
        <v>0.01</v>
      </c>
      <c r="E4" s="278">
        <v>0.02</v>
      </c>
      <c r="F4" s="55"/>
    </row>
    <row r="5" spans="1:26" ht="19.95" customHeight="1" x14ac:dyDescent="0.3">
      <c r="A5" s="53" t="s">
        <v>478</v>
      </c>
      <c r="B5" s="54"/>
      <c r="C5" s="278">
        <v>0</v>
      </c>
      <c r="D5" s="278">
        <v>2.5000000000000001E-3</v>
      </c>
      <c r="E5" s="278">
        <v>5.0000000000000001E-3</v>
      </c>
      <c r="F5" s="55"/>
    </row>
    <row r="6" spans="1:26" ht="19.95" customHeight="1" x14ac:dyDescent="0.3">
      <c r="A6" s="53" t="s">
        <v>479</v>
      </c>
      <c r="B6" s="54"/>
      <c r="C6" s="279">
        <v>0</v>
      </c>
      <c r="D6" s="279">
        <v>0.1</v>
      </c>
      <c r="E6" s="279">
        <v>0.2</v>
      </c>
      <c r="F6" s="55"/>
    </row>
    <row r="7" spans="1:26" ht="18" customHeight="1" x14ac:dyDescent="0.3">
      <c r="A7" s="45" t="s">
        <v>480</v>
      </c>
      <c r="B7" s="43"/>
      <c r="C7" s="280">
        <v>0</v>
      </c>
      <c r="D7" s="280">
        <v>-0.15</v>
      </c>
      <c r="E7" s="280">
        <v>-0.3</v>
      </c>
      <c r="F7" s="56"/>
    </row>
    <row r="8" spans="1:26" ht="18" customHeight="1" x14ac:dyDescent="0.3">
      <c r="A8" s="46" t="s">
        <v>481</v>
      </c>
      <c r="B8" s="39"/>
      <c r="C8" s="280">
        <v>0</v>
      </c>
      <c r="D8" s="280">
        <v>0.1</v>
      </c>
      <c r="E8" s="280">
        <v>0.25</v>
      </c>
      <c r="F8" s="57"/>
    </row>
    <row r="9" spans="1:26" ht="18" customHeight="1" x14ac:dyDescent="0.3">
      <c r="A9" s="45"/>
      <c r="B9" s="43"/>
      <c r="C9" s="43"/>
      <c r="D9" s="43"/>
      <c r="E9" s="43"/>
      <c r="F9" s="56"/>
    </row>
    <row r="10" spans="1:26" ht="18" customHeight="1" x14ac:dyDescent="0.3">
      <c r="A10" s="46"/>
      <c r="B10" s="39"/>
      <c r="C10" s="39"/>
      <c r="D10" s="39"/>
      <c r="E10" s="39"/>
      <c r="F10" s="57"/>
    </row>
    <row r="11" spans="1:26" ht="18" customHeight="1" x14ac:dyDescent="0.3">
      <c r="A11" s="282" t="s">
        <v>482</v>
      </c>
      <c r="B11" s="43"/>
      <c r="C11" s="275" t="s">
        <v>262</v>
      </c>
      <c r="D11" s="276" t="s">
        <v>263</v>
      </c>
      <c r="E11" s="277" t="s">
        <v>264</v>
      </c>
      <c r="F11" s="56"/>
    </row>
    <row r="12" spans="1:26" s="2" customFormat="1" ht="18" customHeight="1" x14ac:dyDescent="0.3">
      <c r="A12" s="46" t="s">
        <v>483</v>
      </c>
      <c r="B12" s="39"/>
      <c r="C12" s="38" cm="1">
        <f t="array" ref="C12">IFERROR(SUMPRODUCT(('Facility Master'!J5:J38=1)*'Facility Master'!O5:O38*(1+C6)*('Facility Master'!T5:T38+C4+C5)),0)</f>
        <v>95.213722695035457</v>
      </c>
      <c r="D12" s="38" cm="1">
        <f t="array" ref="D12">IFERROR(SUMPRODUCT(('Facility Master'!J5:J38=1)*'Facility Master'!O5:O38*(1+D6)*('Facility Master'!T5:T38+D4+D5)),0)</f>
        <v>122.15519425531916</v>
      </c>
      <c r="E12" s="38" cm="1">
        <f t="array" ref="E12">IFERROR(SUMPRODUCT(('Facility Master'!J5:J38=1)*'Facility Master'!O5:O38*(1+E6)*('Facility Master'!T5:T38+E4+E5)),0)</f>
        <v>152.26395659574473</v>
      </c>
      <c r="F12" s="57"/>
      <c r="G12"/>
      <c r="H12"/>
      <c r="I12"/>
      <c r="J12"/>
      <c r="K12"/>
      <c r="L12"/>
      <c r="M12"/>
      <c r="N12"/>
      <c r="O12"/>
      <c r="P12"/>
      <c r="Q12"/>
      <c r="R12"/>
      <c r="S12"/>
      <c r="T12"/>
      <c r="U12"/>
      <c r="V12"/>
      <c r="W12"/>
      <c r="X12"/>
      <c r="Y12"/>
      <c r="Z12"/>
    </row>
    <row r="13" spans="1:26" s="2" customFormat="1" ht="18" customHeight="1" x14ac:dyDescent="0.3">
      <c r="A13" s="45" t="s">
        <v>484</v>
      </c>
      <c r="B13" s="43"/>
      <c r="C13" s="50">
        <f>IFERROR((EBITDA_Active*(1+C7)-TaxPaid_Active)/(C12+SchedTLRep_Active),0)</f>
        <v>2.3080807609626537</v>
      </c>
      <c r="D13" s="50">
        <f>IFERROR((EBITDA_Active*(1+D7)-TaxPaid_Active)/(D12+SchedTLRep_Active),0)</f>
        <v>1.5743556872984374</v>
      </c>
      <c r="E13" s="50">
        <f>IFERROR((EBITDA_Active*(1+E7)-TaxPaid_Active)/(E12+SchedTLRep_Active),0)</f>
        <v>1.031331365082542</v>
      </c>
      <c r="F13" s="56"/>
      <c r="G13"/>
      <c r="H13"/>
      <c r="I13"/>
      <c r="J13"/>
      <c r="K13"/>
      <c r="L13"/>
      <c r="M13"/>
      <c r="N13"/>
      <c r="O13"/>
      <c r="P13"/>
      <c r="Q13"/>
      <c r="R13"/>
      <c r="S13"/>
      <c r="T13"/>
      <c r="U13"/>
      <c r="V13"/>
      <c r="W13"/>
      <c r="X13"/>
      <c r="Y13"/>
      <c r="Z13"/>
    </row>
    <row r="14" spans="1:26" ht="18" customHeight="1" x14ac:dyDescent="0.3">
      <c r="A14" s="46" t="s">
        <v>485</v>
      </c>
      <c r="B14" s="39"/>
      <c r="C14" s="49">
        <f>IFERROR(TotalDebt_Active*(1+C8)/(EBITDA_Active*(1+C7)),0)</f>
        <v>1.5965986040212523</v>
      </c>
      <c r="D14" s="49">
        <f>IFERROR(TotalDebt_Active*(1+D8)/(EBITDA_Active*(1+D7)),0)</f>
        <v>2.0661864287333853</v>
      </c>
      <c r="E14" s="49">
        <f>IFERROR(TotalDebt_Active*(1+E8)/(EBITDA_Active*(1+E7)),0)</f>
        <v>2.8510689357522359</v>
      </c>
      <c r="F14" s="57"/>
    </row>
    <row r="15" spans="1:26" ht="18" customHeight="1" x14ac:dyDescent="0.3">
      <c r="A15" s="45" t="s">
        <v>486</v>
      </c>
      <c r="B15" s="43"/>
      <c r="C15" s="50">
        <f>IFERROR(EBITDA_Active*(1+C7)/C12,0)</f>
        <v>4.0326119925990467</v>
      </c>
      <c r="D15" s="50">
        <f>IFERROR(EBITDA_Active*(1+D7)/D12,0)</f>
        <v>2.6717324792415744</v>
      </c>
      <c r="E15" s="50">
        <f>IFERROR(EBITDA_Active*(1+E7)/E12,0)</f>
        <v>1.7651715219352921</v>
      </c>
      <c r="F15" s="56"/>
    </row>
    <row r="16" spans="1:26" ht="18" customHeight="1" x14ac:dyDescent="0.3">
      <c r="A16" s="46"/>
      <c r="B16" s="39"/>
      <c r="C16" s="39"/>
      <c r="D16" s="39"/>
      <c r="E16" s="39"/>
      <c r="F16" s="57"/>
    </row>
    <row r="17" spans="1:26" ht="18" customHeight="1" x14ac:dyDescent="0.3">
      <c r="A17" s="45"/>
      <c r="B17" s="43"/>
      <c r="C17" s="43"/>
      <c r="D17" s="43"/>
      <c r="E17" s="43"/>
      <c r="F17" s="56"/>
    </row>
    <row r="18" spans="1:26" ht="18" customHeight="1" x14ac:dyDescent="0.3">
      <c r="A18" s="1387" t="s">
        <v>487</v>
      </c>
      <c r="B18" s="1388"/>
      <c r="C18" s="1388"/>
      <c r="D18" s="1388"/>
      <c r="E18" s="1388"/>
      <c r="F18" s="1389"/>
    </row>
    <row r="19" spans="1:26" x14ac:dyDescent="0.3">
      <c r="A19" s="1390" t="s">
        <v>488</v>
      </c>
      <c r="B19" s="1391"/>
      <c r="C19" s="1391"/>
      <c r="D19" s="1391"/>
      <c r="E19" s="1391"/>
      <c r="F19" s="1392"/>
    </row>
    <row r="20" spans="1:26" s="2" customFormat="1" ht="18" customHeight="1" x14ac:dyDescent="0.3">
      <c r="A20" s="46"/>
      <c r="B20" s="39"/>
      <c r="C20" s="39"/>
      <c r="D20" s="39"/>
      <c r="E20" s="39"/>
      <c r="F20" s="57"/>
      <c r="G20"/>
      <c r="H20"/>
      <c r="I20"/>
      <c r="J20"/>
      <c r="K20"/>
      <c r="L20"/>
      <c r="M20"/>
      <c r="N20"/>
      <c r="O20"/>
      <c r="P20"/>
      <c r="Q20"/>
      <c r="R20"/>
      <c r="S20"/>
      <c r="T20"/>
      <c r="U20"/>
      <c r="V20"/>
      <c r="W20"/>
      <c r="X20"/>
      <c r="Y20"/>
      <c r="Z20"/>
    </row>
    <row r="21" spans="1:26" s="2" customFormat="1" ht="18" customHeight="1" x14ac:dyDescent="0.3">
      <c r="A21" s="45"/>
      <c r="B21" s="43"/>
      <c r="C21" s="43"/>
      <c r="D21" s="43"/>
      <c r="E21" s="43"/>
      <c r="F21" s="56"/>
      <c r="G21"/>
      <c r="H21"/>
      <c r="I21"/>
      <c r="J21"/>
      <c r="K21"/>
      <c r="L21"/>
      <c r="M21"/>
      <c r="N21"/>
      <c r="O21"/>
      <c r="P21"/>
      <c r="Q21"/>
      <c r="R21"/>
      <c r="S21"/>
      <c r="T21"/>
      <c r="U21"/>
      <c r="V21"/>
      <c r="W21"/>
      <c r="X21"/>
      <c r="Y21"/>
      <c r="Z21"/>
    </row>
    <row r="22" spans="1:26" ht="18" customHeight="1" x14ac:dyDescent="0.3">
      <c r="A22" s="1387" t="s">
        <v>489</v>
      </c>
      <c r="B22" s="1388"/>
      <c r="C22" s="1388"/>
      <c r="D22" s="1388"/>
      <c r="E22" s="1388"/>
      <c r="F22" s="1389"/>
    </row>
    <row r="23" spans="1:26" ht="18" customHeight="1" x14ac:dyDescent="0.3">
      <c r="A23" s="283" t="s">
        <v>31</v>
      </c>
      <c r="B23" s="209" t="s">
        <v>490</v>
      </c>
      <c r="C23" s="43"/>
      <c r="D23" s="43"/>
      <c r="E23" s="43"/>
      <c r="F23" s="56"/>
    </row>
    <row r="24" spans="1:26" ht="18" customHeight="1" x14ac:dyDescent="0.3">
      <c r="A24" s="46" t="s">
        <v>85</v>
      </c>
      <c r="B24" s="38" cm="1">
        <f t="array" ref="B24">IFERROR(SUMPRODUCT(('Facility Master'!R5:R38="1Y MCLR (RBL Bank)")*('Facility Master'!J5:J38=1)*'Facility Master'!O5:O38)*0.01,0)</f>
        <v>2.833333333333333</v>
      </c>
      <c r="C24" s="39"/>
      <c r="D24" s="39"/>
      <c r="E24" s="39"/>
      <c r="F24" s="57"/>
    </row>
    <row r="25" spans="1:26" ht="18" customHeight="1" x14ac:dyDescent="0.3">
      <c r="A25" s="45" t="s">
        <v>127</v>
      </c>
      <c r="B25" s="42" cm="1">
        <f t="array" ref="B25">IFERROR(SUMPRODUCT(('Facility Master'!R5:R38="3M MCLR (YBL)")*('Facility Master'!J5:J38=1)*'Facility Master'!O5:O38)*0.01,0)</f>
        <v>1.25</v>
      </c>
      <c r="C25" s="43"/>
      <c r="D25" s="43"/>
      <c r="E25" s="43"/>
      <c r="F25" s="56"/>
    </row>
    <row r="26" spans="1:26" ht="18" customHeight="1" x14ac:dyDescent="0.3">
      <c r="A26" s="46" t="s">
        <v>144</v>
      </c>
      <c r="B26" s="38" cm="1">
        <f t="array" ref="B26">IFERROR(SUMPRODUCT(('Facility Master'!R5:R38="6M I-MCLR (ICICI)")*('Facility Master'!J5:J38=1)*'Facility Master'!O5:O38)*0.01,0)</f>
        <v>0.5</v>
      </c>
      <c r="C26" s="39"/>
      <c r="D26" s="39"/>
      <c r="E26" s="39"/>
      <c r="F26" s="57"/>
    </row>
    <row r="27" spans="1:26" ht="18" customHeight="1" x14ac:dyDescent="0.3">
      <c r="A27" s="45" t="s">
        <v>161</v>
      </c>
      <c r="B27" s="42" cm="1">
        <f t="array" ref="B27">IFERROR(SUMPRODUCT(('Facility Master'!R5:R38="12M MCLR (SIB)")*('Facility Master'!J5:J38=1)*'Facility Master'!O5:O38)*0.01,0)</f>
        <v>0.5</v>
      </c>
      <c r="C27" s="43"/>
      <c r="D27" s="43"/>
      <c r="E27" s="43"/>
      <c r="F27" s="56"/>
    </row>
    <row r="28" spans="1:26" s="2" customFormat="1" ht="18" customHeight="1" x14ac:dyDescent="0.3">
      <c r="A28" s="46" t="s">
        <v>265</v>
      </c>
      <c r="B28" s="38" cm="1">
        <f t="array" ref="B28">IFERROR(SUMPRODUCT(('Facility Master'!R5:R38="Bajaj Floating Reference Rate (BFRR)")*('Facility Master'!J5:J38=1)*'Facility Master'!O5:O38)*0.01,0)</f>
        <v>1.5</v>
      </c>
      <c r="C28" s="39"/>
      <c r="D28" s="39"/>
      <c r="E28" s="39"/>
      <c r="F28" s="57"/>
      <c r="G28"/>
      <c r="H28"/>
      <c r="I28"/>
      <c r="J28"/>
      <c r="K28"/>
      <c r="L28"/>
      <c r="M28"/>
      <c r="N28"/>
      <c r="O28"/>
      <c r="P28"/>
      <c r="Q28"/>
      <c r="R28"/>
      <c r="S28"/>
      <c r="T28"/>
      <c r="U28"/>
      <c r="V28"/>
      <c r="W28"/>
      <c r="X28"/>
      <c r="Y28"/>
      <c r="Z28"/>
    </row>
    <row r="29" spans="1:26" ht="18" customHeight="1" thickBot="1" x14ac:dyDescent="0.35">
      <c r="A29" s="47" t="s">
        <v>35</v>
      </c>
      <c r="B29" s="58" cm="1">
        <f t="array" ref="B29">IFERROR(SUMPRODUCT(('Facility Master'!R5:R38="Term SOFR (USD)")*('Facility Master'!J5:J38=1)*'Facility Master'!O5:O38)*0.01,0)</f>
        <v>2.72</v>
      </c>
      <c r="C29" s="48"/>
      <c r="D29" s="48"/>
      <c r="E29" s="48"/>
      <c r="F29" s="59"/>
    </row>
    <row r="30" spans="1:26" ht="7.95" customHeight="1" x14ac:dyDescent="0.3"/>
    <row r="31" spans="1:26" ht="75" customHeight="1" x14ac:dyDescent="0.3"/>
    <row r="32" spans="1:26" ht="75" customHeight="1" x14ac:dyDescent="0.3"/>
    <row r="33" spans="1:26" ht="75" customHeight="1" x14ac:dyDescent="0.3"/>
    <row r="34" spans="1:26" ht="75" customHeight="1" x14ac:dyDescent="0.3"/>
    <row r="35" spans="1:26" ht="75" customHeight="1" x14ac:dyDescent="0.3"/>
    <row r="36" spans="1:26" s="2" customFormat="1" ht="7.95" customHeight="1" x14ac:dyDescent="0.3">
      <c r="A36"/>
      <c r="B36"/>
      <c r="C36"/>
      <c r="D36"/>
      <c r="E36"/>
      <c r="F36"/>
      <c r="G36"/>
      <c r="H36"/>
      <c r="I36"/>
      <c r="J36"/>
      <c r="K36"/>
      <c r="L36"/>
      <c r="M36"/>
      <c r="N36"/>
      <c r="O36"/>
      <c r="P36"/>
      <c r="Q36"/>
      <c r="R36"/>
      <c r="S36"/>
      <c r="T36"/>
      <c r="U36"/>
      <c r="V36"/>
      <c r="W36"/>
      <c r="X36"/>
      <c r="Y36"/>
      <c r="Z36"/>
    </row>
    <row r="37" spans="1:26" s="2" customFormat="1" ht="7.95" customHeight="1" x14ac:dyDescent="0.3">
      <c r="A37"/>
      <c r="B37"/>
      <c r="C37"/>
      <c r="D37"/>
      <c r="E37"/>
      <c r="F37"/>
      <c r="G37"/>
      <c r="H37"/>
      <c r="I37"/>
      <c r="J37"/>
      <c r="K37"/>
      <c r="L37"/>
      <c r="M37"/>
      <c r="N37"/>
      <c r="O37"/>
      <c r="P37"/>
      <c r="Q37"/>
      <c r="R37"/>
      <c r="S37"/>
      <c r="T37"/>
      <c r="U37"/>
      <c r="V37"/>
      <c r="W37"/>
      <c r="X37"/>
      <c r="Y37"/>
      <c r="Z37"/>
    </row>
    <row r="38" spans="1:26" ht="25.95" customHeight="1" x14ac:dyDescent="0.3"/>
    <row r="40" spans="1:26" s="2" customFormat="1" ht="7.95" customHeight="1" x14ac:dyDescent="0.3">
      <c r="A40"/>
      <c r="B40"/>
      <c r="C40"/>
      <c r="D40"/>
      <c r="E40"/>
      <c r="F40"/>
      <c r="G40"/>
      <c r="H40"/>
      <c r="I40"/>
      <c r="J40"/>
      <c r="K40"/>
      <c r="L40"/>
      <c r="M40"/>
      <c r="N40"/>
      <c r="O40"/>
      <c r="P40"/>
      <c r="Q40"/>
      <c r="R40"/>
      <c r="S40"/>
      <c r="T40"/>
      <c r="U40"/>
      <c r="V40"/>
      <c r="W40"/>
      <c r="X40"/>
      <c r="Y40"/>
      <c r="Z40"/>
    </row>
    <row r="52" spans="1:26" s="2" customFormat="1" ht="7.95" customHeight="1" x14ac:dyDescent="0.3">
      <c r="A52"/>
      <c r="B52"/>
      <c r="C52"/>
      <c r="D52"/>
      <c r="E52"/>
      <c r="F52"/>
      <c r="G52"/>
      <c r="H52"/>
      <c r="I52"/>
      <c r="J52"/>
      <c r="K52"/>
      <c r="L52"/>
      <c r="M52"/>
      <c r="N52"/>
      <c r="O52"/>
      <c r="P52"/>
      <c r="Q52"/>
      <c r="R52"/>
      <c r="S52"/>
      <c r="T52"/>
      <c r="U52"/>
      <c r="V52"/>
      <c r="W52"/>
      <c r="X52"/>
      <c r="Y52"/>
      <c r="Z52"/>
    </row>
    <row r="53" spans="1:26" s="2" customFormat="1" ht="7.95" customHeight="1" x14ac:dyDescent="0.3">
      <c r="A53"/>
      <c r="B53"/>
      <c r="C53"/>
      <c r="D53"/>
      <c r="E53"/>
      <c r="F53"/>
      <c r="G53"/>
      <c r="H53"/>
      <c r="I53"/>
      <c r="J53"/>
      <c r="K53"/>
      <c r="L53"/>
      <c r="M53"/>
      <c r="N53"/>
      <c r="O53"/>
      <c r="P53"/>
      <c r="Q53"/>
      <c r="R53"/>
      <c r="S53"/>
      <c r="T53"/>
      <c r="U53"/>
      <c r="V53"/>
      <c r="W53"/>
      <c r="X53"/>
      <c r="Y53"/>
      <c r="Z53"/>
    </row>
    <row r="54" spans="1:26" ht="25.95" customHeight="1" x14ac:dyDescent="0.3"/>
  </sheetData>
  <mergeCells count="4">
    <mergeCell ref="A1:F1"/>
    <mergeCell ref="A18:F18"/>
    <mergeCell ref="A19:F19"/>
    <mergeCell ref="A22:F22"/>
  </mergeCells>
  <conditionalFormatting sqref="C13:E13">
    <cfRule type="cellIs" dxfId="24" priority="1" operator="lessThan">
      <formula>1.25</formula>
    </cfRule>
    <cfRule type="cellIs" dxfId="23" priority="2" operator="between">
      <formula>1.25</formula>
      <formula>1.75</formula>
    </cfRule>
    <cfRule type="cellIs" dxfId="22" priority="3" operator="greaterThanOrEqual">
      <formula>2</formula>
    </cfRule>
  </conditionalFormatting>
  <conditionalFormatting sqref="C14:E14">
    <cfRule type="cellIs" dxfId="21" priority="7" operator="greaterThan">
      <formula>3</formula>
    </cfRule>
    <cfRule type="cellIs" dxfId="20" priority="8" operator="between">
      <formula>2</formula>
      <formula>3</formula>
    </cfRule>
    <cfRule type="cellIs" dxfId="19" priority="9" operator="lessThan">
      <formula>2</formula>
    </cfRule>
  </conditionalFormatting>
  <conditionalFormatting sqref="C15:E15">
    <cfRule type="cellIs" dxfId="18" priority="4" operator="lessThan">
      <formula>1.5</formula>
    </cfRule>
    <cfRule type="cellIs" dxfId="17" priority="5" operator="between">
      <formula>1.5</formula>
      <formula>3</formula>
    </cfRule>
    <cfRule type="cellIs" dxfId="16" priority="6" operator="greaterThanOrEqual">
      <formula>3</formula>
    </cfRule>
  </conditionalFormatting>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Z44"/>
  <sheetViews>
    <sheetView showGridLines="0" topLeftCell="A34" zoomScaleNormal="100" workbookViewId="0">
      <selection activeCell="B42" sqref="B42"/>
    </sheetView>
  </sheetViews>
  <sheetFormatPr defaultColWidth="8.6640625" defaultRowHeight="14.4" x14ac:dyDescent="0.3"/>
  <cols>
    <col min="1" max="1" width="7.77734375" customWidth="1"/>
    <col min="2" max="2" width="24.109375" customWidth="1"/>
    <col min="3" max="3" width="42.5546875" customWidth="1"/>
    <col min="4" max="4" width="11.109375" customWidth="1"/>
    <col min="5" max="5" width="31.44140625" customWidth="1"/>
    <col min="6" max="6" width="14.44140625" customWidth="1"/>
    <col min="7" max="7" width="18.5546875" customWidth="1"/>
    <col min="8" max="8" width="21.33203125" customWidth="1"/>
    <col min="9" max="9" width="8" customWidth="1"/>
    <col min="10" max="11" width="10" customWidth="1"/>
    <col min="12" max="12" width="8" customWidth="1"/>
    <col min="13" max="13" width="31.21875" bestFit="1" customWidth="1"/>
    <col min="14" max="14" width="14" customWidth="1"/>
  </cols>
  <sheetData>
    <row r="1" spans="1:26" ht="36" customHeight="1" thickBot="1" x14ac:dyDescent="0.35">
      <c r="A1" s="1393" t="s">
        <v>50</v>
      </c>
      <c r="B1" s="1393"/>
      <c r="C1" s="1393"/>
      <c r="D1" s="1393"/>
      <c r="E1" s="1393"/>
      <c r="F1" s="1393"/>
      <c r="G1" s="1393"/>
      <c r="H1" s="1393"/>
    </row>
    <row r="2" spans="1:26" ht="6" customHeight="1" thickBot="1" x14ac:dyDescent="0.35">
      <c r="A2" s="3"/>
      <c r="B2" s="3"/>
      <c r="C2" s="3"/>
      <c r="D2" s="3"/>
      <c r="E2" s="3"/>
      <c r="F2" s="3"/>
      <c r="G2" s="3"/>
      <c r="H2" s="3"/>
    </row>
    <row r="3" spans="1:26" ht="22.05" customHeight="1" thickBot="1" x14ac:dyDescent="0.35">
      <c r="A3" s="779" t="s">
        <v>173</v>
      </c>
      <c r="B3" s="778" t="s">
        <v>52</v>
      </c>
      <c r="C3" s="793" t="s">
        <v>53</v>
      </c>
      <c r="D3" s="654" t="s">
        <v>732</v>
      </c>
      <c r="E3" s="653" t="s">
        <v>733</v>
      </c>
      <c r="F3" s="654" t="s">
        <v>429</v>
      </c>
      <c r="G3" s="654" t="s">
        <v>734</v>
      </c>
      <c r="H3" s="655" t="s">
        <v>55</v>
      </c>
    </row>
    <row r="4" spans="1:26" s="2" customFormat="1" ht="18" customHeight="1" x14ac:dyDescent="0.3">
      <c r="A4" s="780">
        <v>1</v>
      </c>
      <c r="B4" s="718" t="str">
        <f>IFERROR('Facility Master'!B5,"")</f>
        <v>RBL Bank</v>
      </c>
      <c r="C4" s="794" t="str">
        <f>IFERROR('Facility Master'!C5,"")</f>
        <v>Letter of Credit - Main Limit</v>
      </c>
      <c r="D4" s="720" t="str">
        <f>IFERROR('Facility Master'!K5,"")</f>
        <v>INR</v>
      </c>
      <c r="E4" s="719" t="str">
        <f>IFERROR('Facility Master'!R5,"")</f>
        <v>Fixed commission</v>
      </c>
      <c r="F4" s="721">
        <f>IFERROR('Facility Master'!S5*10000,0)</f>
        <v>0</v>
      </c>
      <c r="G4" s="722">
        <f>IFERROR('Facility Master'!T5,0)</f>
        <v>0</v>
      </c>
      <c r="H4" s="723" t="str">
        <f>IFERROR('Facility Master'!U5,"")</f>
        <v>Fixed</v>
      </c>
      <c r="I4"/>
      <c r="J4"/>
      <c r="K4"/>
      <c r="L4"/>
      <c r="M4"/>
      <c r="N4"/>
      <c r="O4"/>
      <c r="P4"/>
      <c r="Q4"/>
      <c r="R4"/>
      <c r="S4"/>
      <c r="T4"/>
      <c r="U4"/>
      <c r="V4"/>
      <c r="W4"/>
      <c r="X4"/>
      <c r="Y4"/>
      <c r="Z4"/>
    </row>
    <row r="5" spans="1:26" ht="18" customHeight="1" x14ac:dyDescent="0.3">
      <c r="A5" s="781">
        <v>2</v>
      </c>
      <c r="B5" s="712" t="str">
        <f>IFERROR('Facility Master'!B6,"")</f>
        <v>RBL Bank</v>
      </c>
      <c r="C5" s="795" t="str">
        <f>IFERROR('Facility Master'!C6,"")</f>
        <v>Bank Guarantee</v>
      </c>
      <c r="D5" s="714" t="str">
        <f>IFERROR('Facility Master'!K6,"")</f>
        <v>INR</v>
      </c>
      <c r="E5" s="713" t="str">
        <f>IFERROR('Facility Master'!R6,"")</f>
        <v>Fixed commission</v>
      </c>
      <c r="F5" s="715">
        <f>IFERROR('Facility Master'!S6*10000,0)</f>
        <v>0</v>
      </c>
      <c r="G5" s="716">
        <f>IFERROR('Facility Master'!T6,0)</f>
        <v>0</v>
      </c>
      <c r="H5" s="717" t="str">
        <f>IFERROR('Facility Master'!U6,"")</f>
        <v>Fixed</v>
      </c>
    </row>
    <row r="6" spans="1:26" ht="18" customHeight="1" x14ac:dyDescent="0.3">
      <c r="A6" s="782">
        <v>3</v>
      </c>
      <c r="B6" s="666" t="str">
        <f>IFERROR('Facility Master'!B7,"")</f>
        <v>RBL Bank</v>
      </c>
      <c r="C6" s="796" t="str">
        <f>IFERROR('Facility Master'!C7,"")</f>
        <v>Invoice Discounting (PID)</v>
      </c>
      <c r="D6" s="662" t="str">
        <f>IFERROR('Facility Master'!K7,"")</f>
        <v>INR</v>
      </c>
      <c r="E6" s="667" t="str">
        <f>IFERROR('Facility Master'!R7,"")</f>
        <v>1Y MCLR (RBL Bank)</v>
      </c>
      <c r="F6" s="663">
        <f>IFERROR('Facility Master'!S7*10000,0)</f>
        <v>50</v>
      </c>
      <c r="G6" s="664">
        <f>IFERROR('Facility Master'!T7,0)</f>
        <v>9.5000000000000001E-2</v>
      </c>
      <c r="H6" s="665" t="str">
        <f>IFERROR('Facility Master'!U7,"")</f>
        <v>Floating (Indicative)</v>
      </c>
    </row>
    <row r="7" spans="1:26" ht="18" customHeight="1" x14ac:dyDescent="0.3">
      <c r="A7" s="782">
        <v>4</v>
      </c>
      <c r="B7" s="660" t="str">
        <f>IFERROR('Facility Master'!B8,"")</f>
        <v>RBL Bank</v>
      </c>
      <c r="C7" s="797" t="str">
        <f>IFERROR('Facility Master'!C8,"")</f>
        <v>SBLC</v>
      </c>
      <c r="D7" s="656" t="str">
        <f>IFERROR('Facility Master'!K8,"")</f>
        <v>INR</v>
      </c>
      <c r="E7" s="661" t="str">
        <f>IFERROR('Facility Master'!R8,"")</f>
        <v>To be decided</v>
      </c>
      <c r="F7" s="657">
        <f>IFERROR('Facility Master'!S8*10000,0)</f>
        <v>50</v>
      </c>
      <c r="G7" s="658">
        <f>IFERROR('Facility Master'!T8,0)</f>
        <v>5.0000000000000001E-3</v>
      </c>
      <c r="H7" s="668" t="str">
        <f>IFERROR('Facility Master'!U8,"")</f>
        <v>TBD</v>
      </c>
    </row>
    <row r="8" spans="1:26" ht="18" customHeight="1" x14ac:dyDescent="0.3">
      <c r="A8" s="782">
        <v>5</v>
      </c>
      <c r="B8" s="666" t="str">
        <f>IFERROR('Facility Master'!B9,"")</f>
        <v>RBL Bank</v>
      </c>
      <c r="C8" s="796" t="str">
        <f>IFERROR('Facility Master'!C9,"")</f>
        <v>Pre-Acceptance LCBD</v>
      </c>
      <c r="D8" s="662" t="str">
        <f>IFERROR('Facility Master'!K9,"")</f>
        <v>INR</v>
      </c>
      <c r="E8" s="667" t="str">
        <f>IFERROR('Facility Master'!R9,"")</f>
        <v>1Y MCLR (RBL Bank)</v>
      </c>
      <c r="F8" s="663">
        <f>IFERROR('Facility Master'!S9*10000,0)</f>
        <v>75</v>
      </c>
      <c r="G8" s="664">
        <f>IFERROR('Facility Master'!T9,0)</f>
        <v>9.7500000000000003E-2</v>
      </c>
      <c r="H8" s="665" t="str">
        <f>IFERROR('Facility Master'!U9,"")</f>
        <v>Floating (Indicative)</v>
      </c>
    </row>
    <row r="9" spans="1:26" ht="18" customHeight="1" x14ac:dyDescent="0.3">
      <c r="A9" s="782">
        <v>6</v>
      </c>
      <c r="B9" s="660" t="str">
        <f>IFERROR('Facility Master'!B10,"")</f>
        <v>RBL Bank</v>
      </c>
      <c r="C9" s="797" t="str">
        <f>IFERROR('Facility Master'!C10,"")</f>
        <v>Cash Credit</v>
      </c>
      <c r="D9" s="656" t="str">
        <f>IFERROR('Facility Master'!K10,"")</f>
        <v>INR</v>
      </c>
      <c r="E9" s="661" t="str">
        <f>IFERROR('Facility Master'!R10,"")</f>
        <v>1Y MCLR (RBL Bank)</v>
      </c>
      <c r="F9" s="657">
        <f>IFERROR('Facility Master'!S10*10000,0)</f>
        <v>5</v>
      </c>
      <c r="G9" s="658">
        <f>IFERROR('Facility Master'!T10,0)</f>
        <v>9.0499999999999997E-2</v>
      </c>
      <c r="H9" s="659" t="str">
        <f>IFERROR('Facility Master'!U10,"")</f>
        <v>Floating</v>
      </c>
    </row>
    <row r="10" spans="1:26" ht="18" customHeight="1" x14ac:dyDescent="0.3">
      <c r="A10" s="782">
        <v>7</v>
      </c>
      <c r="B10" s="666" t="str">
        <f>IFERROR('Facility Master'!B11,"")</f>
        <v>RBL Bank</v>
      </c>
      <c r="C10" s="796" t="str">
        <f>IFERROR('Facility Master'!C11,"")</f>
        <v>Working Capital Demand Loan (WCDL)</v>
      </c>
      <c r="D10" s="662" t="str">
        <f>IFERROR('Facility Master'!K11,"")</f>
        <v>INR</v>
      </c>
      <c r="E10" s="667" t="str">
        <f>IFERROR('Facility Master'!R11,"")</f>
        <v>To be decided</v>
      </c>
      <c r="F10" s="663">
        <f>IFERROR('Facility Master'!S11*10000,0)</f>
        <v>0</v>
      </c>
      <c r="G10" s="664">
        <f>IFERROR('Facility Master'!T11,0)</f>
        <v>0</v>
      </c>
      <c r="H10" s="665" t="str">
        <f>IFERROR('Facility Master'!U11,"")</f>
        <v>TBD</v>
      </c>
    </row>
    <row r="11" spans="1:26" ht="18" customHeight="1" x14ac:dyDescent="0.3">
      <c r="A11" s="782">
        <v>8</v>
      </c>
      <c r="B11" s="660" t="str">
        <f>IFERROR('Facility Master'!B12,"")</f>
        <v>RBL Bank</v>
      </c>
      <c r="C11" s="797" t="str">
        <f>IFERROR('Facility Master'!C12,"")</f>
        <v>Loan Equivalent Risk (LER)</v>
      </c>
      <c r="D11" s="656" t="str">
        <f>IFERROR('Facility Master'!K12,"")</f>
        <v>INR</v>
      </c>
      <c r="E11" s="661" t="str">
        <f>IFERROR('Facility Master'!R12,"")</f>
        <v>Bank treasury</v>
      </c>
      <c r="F11" s="657">
        <f>IFERROR('Facility Master'!S12*10000,0)</f>
        <v>0</v>
      </c>
      <c r="G11" s="658">
        <f>IFERROR('Facility Master'!T12,0)</f>
        <v>0</v>
      </c>
      <c r="H11" s="659" t="str">
        <f>IFERROR('Facility Master'!U12,"")</f>
        <v>Fixed</v>
      </c>
    </row>
    <row r="12" spans="1:26" ht="18" customHeight="1" x14ac:dyDescent="0.3">
      <c r="A12" s="782">
        <v>9</v>
      </c>
      <c r="B12" s="666" t="str">
        <f>IFERROR('Facility Master'!B13,"")</f>
        <v>RBL Bank</v>
      </c>
      <c r="C12" s="796" t="str">
        <f>IFERROR('Facility Master'!C13,"")</f>
        <v>Term Loan</v>
      </c>
      <c r="D12" s="662" t="str">
        <f>IFERROR('Facility Master'!K13,"")</f>
        <v>INR</v>
      </c>
      <c r="E12" s="667" t="str">
        <f>IFERROR('Facility Master'!R13,"")</f>
        <v>1Y MCLR (RBL Bank)</v>
      </c>
      <c r="F12" s="663">
        <f>IFERROR('Facility Master'!S13*10000,0)</f>
        <v>75</v>
      </c>
      <c r="G12" s="664">
        <f>IFERROR('Facility Master'!T13,0)</f>
        <v>9.7500000000000003E-2</v>
      </c>
      <c r="H12" s="669" t="str">
        <f>IFERROR('Facility Master'!U13,"")</f>
        <v>Floating (Indicative)</v>
      </c>
    </row>
    <row r="13" spans="1:26" ht="18" customHeight="1" x14ac:dyDescent="0.3">
      <c r="A13" s="782">
        <v>10</v>
      </c>
      <c r="B13" s="660" t="str">
        <f>IFERROR('Facility Master'!B14,"")</f>
        <v>RBL Bank</v>
      </c>
      <c r="C13" s="797" t="str">
        <f>IFERROR('Facility Master'!C14,"")</f>
        <v>SBLC for Buyer's Credit (GIFT City)</v>
      </c>
      <c r="D13" s="656" t="str">
        <f>IFERROR('Facility Master'!K14,"")</f>
        <v>INR</v>
      </c>
      <c r="E13" s="661" t="str">
        <f>IFERROR('Facility Master'!R14,"")</f>
        <v>Fixed commission</v>
      </c>
      <c r="F13" s="657">
        <f>IFERROR('Facility Master'!S14*10000,0)</f>
        <v>50</v>
      </c>
      <c r="G13" s="658">
        <f>IFERROR('Facility Master'!T14,0)</f>
        <v>5.0000000000000001E-3</v>
      </c>
      <c r="H13" s="659" t="str">
        <f>IFERROR('Facility Master'!U14,"")</f>
        <v>Fixed</v>
      </c>
    </row>
    <row r="14" spans="1:26" ht="18" customHeight="1" x14ac:dyDescent="0.3">
      <c r="A14" s="782">
        <v>11</v>
      </c>
      <c r="B14" s="666" t="str">
        <f>IFERROR('Facility Master'!B15,"")</f>
        <v>RBL Bank</v>
      </c>
      <c r="C14" s="796" t="str">
        <f>IFERROR('Facility Master'!C15,"")</f>
        <v>Capex LC</v>
      </c>
      <c r="D14" s="662" t="str">
        <f>IFERROR('Facility Master'!K15,"")</f>
        <v>INR</v>
      </c>
      <c r="E14" s="667" t="str">
        <f>IFERROR('Facility Master'!R15,"")</f>
        <v>Fixed commission</v>
      </c>
      <c r="F14" s="663">
        <f>IFERROR('Facility Master'!S15*10000,0)</f>
        <v>50</v>
      </c>
      <c r="G14" s="664">
        <f>IFERROR('Facility Master'!T15,0)</f>
        <v>5.0000000000000001E-3</v>
      </c>
      <c r="H14" s="669" t="str">
        <f>IFERROR('Facility Master'!U15,"")</f>
        <v>Fixed</v>
      </c>
    </row>
    <row r="15" spans="1:26" ht="18" customHeight="1" x14ac:dyDescent="0.3">
      <c r="A15" s="782">
        <v>12</v>
      </c>
      <c r="B15" s="660" t="str">
        <f>IFERROR('Facility Master'!B16,"")</f>
        <v>RBL Bank</v>
      </c>
      <c r="C15" s="797" t="str">
        <f>IFERROR('Facility Master'!C16,"")</f>
        <v>Overdraft backed by 100% FD (FDOD)</v>
      </c>
      <c r="D15" s="656" t="str">
        <f>IFERROR('Facility Master'!K16,"")</f>
        <v>INR</v>
      </c>
      <c r="E15" s="661" t="str">
        <f>IFERROR('Facility Master'!R16,"")</f>
        <v>FD rate</v>
      </c>
      <c r="F15" s="657">
        <f>IFERROR('Facility Master'!S16*10000,0)</f>
        <v>25</v>
      </c>
      <c r="G15" s="658">
        <f>IFERROR('Facility Master'!T16,0)</f>
        <v>7.2500000000000009E-2</v>
      </c>
      <c r="H15" s="659" t="str">
        <f>IFERROR('Facility Master'!U16,"")</f>
        <v>Floating</v>
      </c>
    </row>
    <row r="16" spans="1:26" ht="18" customHeight="1" x14ac:dyDescent="0.3">
      <c r="A16" s="782">
        <v>13</v>
      </c>
      <c r="B16" s="666" t="str">
        <f>IFERROR('Facility Master'!B17,"")</f>
        <v>RBL Bank</v>
      </c>
      <c r="C16" s="796" t="str">
        <f>IFERROR('Facility Master'!C17,"")</f>
        <v>LC backed by 100% FD</v>
      </c>
      <c r="D16" s="662" t="str">
        <f>IFERROR('Facility Master'!K17,"")</f>
        <v>INR</v>
      </c>
      <c r="E16" s="667" t="str">
        <f>IFERROR('Facility Master'!R17,"")</f>
        <v>To be decided</v>
      </c>
      <c r="F16" s="663">
        <f>IFERROR('Facility Master'!S17*10000,0)</f>
        <v>0</v>
      </c>
      <c r="G16" s="664">
        <f>IFERROR('Facility Master'!T17,0)</f>
        <v>0</v>
      </c>
      <c r="H16" s="665" t="str">
        <f>IFERROR('Facility Master'!U17,"")</f>
        <v>TBD</v>
      </c>
    </row>
    <row r="17" spans="1:8" ht="18" customHeight="1" x14ac:dyDescent="0.3">
      <c r="A17" s="782">
        <v>14</v>
      </c>
      <c r="B17" s="660" t="str">
        <f>IFERROR('Facility Master'!B18,"")</f>
        <v>RBL Bank</v>
      </c>
      <c r="C17" s="797" t="str">
        <f>IFERROR('Facility Master'!C18,"")</f>
        <v>Buyer's Credit from GIFT City - WC</v>
      </c>
      <c r="D17" s="656" t="str">
        <f>IFERROR('Facility Master'!K18,"")</f>
        <v>USD</v>
      </c>
      <c r="E17" s="661" t="str">
        <f>IFERROR('Facility Master'!R18,"")</f>
        <v>Term SOFR (USD)</v>
      </c>
      <c r="F17" s="657">
        <f>IFERROR('Facility Master'!S18*10000,0)</f>
        <v>0</v>
      </c>
      <c r="G17" s="658">
        <f>IFERROR('Facility Master'!T18,0)</f>
        <v>4.2999999999999997E-2</v>
      </c>
      <c r="H17" s="659" t="str">
        <f>IFERROR('Facility Master'!U18,"")</f>
        <v>Floating</v>
      </c>
    </row>
    <row r="18" spans="1:8" ht="18" customHeight="1" x14ac:dyDescent="0.3">
      <c r="A18" s="783">
        <v>15</v>
      </c>
      <c r="B18" s="748" t="str">
        <f>IFERROR('Facility Master'!B19,"")</f>
        <v>RBL Bank</v>
      </c>
      <c r="C18" s="798" t="str">
        <f>IFERROR('Facility Master'!C19,"")</f>
        <v>Buyer's Credit from GIFT City - CAPEX</v>
      </c>
      <c r="D18" s="750" t="str">
        <f>IFERROR('Facility Master'!K19,"")</f>
        <v>USD</v>
      </c>
      <c r="E18" s="749" t="str">
        <f>IFERROR('Facility Master'!R19,"")</f>
        <v>Term SOFR (USD)</v>
      </c>
      <c r="F18" s="751">
        <f>IFERROR('Facility Master'!S19*10000,0)</f>
        <v>0</v>
      </c>
      <c r="G18" s="752">
        <f>IFERROR('Facility Master'!T19,0)</f>
        <v>4.2999999999999997E-2</v>
      </c>
      <c r="H18" s="753" t="str">
        <f>IFERROR('Facility Master'!U19,"")</f>
        <v>Floating</v>
      </c>
    </row>
    <row r="19" spans="1:8" ht="18" customHeight="1" x14ac:dyDescent="0.3">
      <c r="A19" s="784">
        <v>16</v>
      </c>
      <c r="B19" s="742" t="str">
        <f>IFERROR('Facility Master'!B20,"")</f>
        <v>YES Bank</v>
      </c>
      <c r="C19" s="799" t="str">
        <f>IFERROR('Facility Master'!C20,"")</f>
        <v>Purchase Invoice Financing</v>
      </c>
      <c r="D19" s="744" t="str">
        <f>IFERROR('Facility Master'!K20,"")</f>
        <v>INR</v>
      </c>
      <c r="E19" s="743" t="str">
        <f>IFERROR('Facility Master'!R20,"")</f>
        <v>3M MCLR (YBL)</v>
      </c>
      <c r="F19" s="745">
        <f>IFERROR('Facility Master'!S20*10000,0)</f>
        <v>50</v>
      </c>
      <c r="G19" s="746">
        <f>IFERROR('Facility Master'!T20,0)</f>
        <v>9.5000000000000001E-2</v>
      </c>
      <c r="H19" s="747" t="str">
        <f>IFERROR('Facility Master'!U20,"")</f>
        <v>TBD</v>
      </c>
    </row>
    <row r="20" spans="1:8" ht="18" customHeight="1" x14ac:dyDescent="0.3">
      <c r="A20" s="784">
        <v>17</v>
      </c>
      <c r="B20" s="724" t="str">
        <f>IFERROR('Facility Master'!B21,"")</f>
        <v>YES Bank</v>
      </c>
      <c r="C20" s="800" t="str">
        <f>IFERROR('Facility Master'!C21,"")</f>
        <v>Cash Credit</v>
      </c>
      <c r="D20" s="726" t="str">
        <f>IFERROR('Facility Master'!K21,"")</f>
        <v>INR</v>
      </c>
      <c r="E20" s="725" t="str">
        <f>IFERROR('Facility Master'!R21,"")</f>
        <v>3M MCLR (YBL)</v>
      </c>
      <c r="F20" s="727">
        <f>IFERROR('Facility Master'!S21*10000,0)</f>
        <v>7</v>
      </c>
      <c r="G20" s="728">
        <f>IFERROR('Facility Master'!T21,0)</f>
        <v>9.0700000000000003E-2</v>
      </c>
      <c r="H20" s="729" t="str">
        <f>IFERROR('Facility Master'!U21,"")</f>
        <v>Floating</v>
      </c>
    </row>
    <row r="21" spans="1:8" ht="18" customHeight="1" x14ac:dyDescent="0.3">
      <c r="A21" s="785">
        <v>18</v>
      </c>
      <c r="B21" s="674" t="str">
        <f>IFERROR('Facility Master'!B22,"")</f>
        <v>YES Bank</v>
      </c>
      <c r="C21" s="801" t="str">
        <f>IFERROR('Facility Master'!C22,"")</f>
        <v>Letter of Credit</v>
      </c>
      <c r="D21" s="670" t="str">
        <f>IFERROR('Facility Master'!K22,"")</f>
        <v>INR</v>
      </c>
      <c r="E21" s="675" t="str">
        <f>IFERROR('Facility Master'!R22,"")</f>
        <v>Fixed commission</v>
      </c>
      <c r="F21" s="671">
        <f>IFERROR('Facility Master'!S22*10000,0)</f>
        <v>0</v>
      </c>
      <c r="G21" s="672">
        <f>IFERROR('Facility Master'!T22,0)</f>
        <v>0</v>
      </c>
      <c r="H21" s="682" t="str">
        <f>IFERROR('Facility Master'!U22,"")</f>
        <v>Fixed</v>
      </c>
    </row>
    <row r="22" spans="1:8" ht="18" customHeight="1" x14ac:dyDescent="0.3">
      <c r="A22" s="785">
        <v>19</v>
      </c>
      <c r="B22" s="680" t="str">
        <f>IFERROR('Facility Master'!B23,"")</f>
        <v>YES Bank</v>
      </c>
      <c r="C22" s="802" t="str">
        <f>IFERROR('Facility Master'!C23,"")</f>
        <v>Financial BG / SBLC</v>
      </c>
      <c r="D22" s="676" t="str">
        <f>IFERROR('Facility Master'!K23,"")</f>
        <v>INR</v>
      </c>
      <c r="E22" s="681" t="str">
        <f>IFERROR('Facility Master'!R23,"")</f>
        <v>Fixed commission</v>
      </c>
      <c r="F22" s="677">
        <f>IFERROR('Facility Master'!S23*10000,0)</f>
        <v>50</v>
      </c>
      <c r="G22" s="678">
        <f>IFERROR('Facility Master'!T23,0)</f>
        <v>5.0000000000000001E-3</v>
      </c>
      <c r="H22" s="679" t="str">
        <f>IFERROR('Facility Master'!U23,"")</f>
        <v>Fixed</v>
      </c>
    </row>
    <row r="23" spans="1:8" ht="18" customHeight="1" x14ac:dyDescent="0.3">
      <c r="A23" s="785">
        <v>20</v>
      </c>
      <c r="B23" s="674" t="str">
        <f>IFERROR('Facility Master'!B24,"")</f>
        <v>YES Bank</v>
      </c>
      <c r="C23" s="801" t="str">
        <f>IFERROR('Facility Master'!C24,"")</f>
        <v>Working Capital Demand Loan (WCDL)</v>
      </c>
      <c r="D23" s="670" t="str">
        <f>IFERROR('Facility Master'!K24,"")</f>
        <v>INR</v>
      </c>
      <c r="E23" s="675" t="str">
        <f>IFERROR('Facility Master'!R24,"")</f>
        <v>To be decided</v>
      </c>
      <c r="F23" s="671">
        <f>IFERROR('Facility Master'!S24*10000,0)</f>
        <v>0</v>
      </c>
      <c r="G23" s="672">
        <f>IFERROR('Facility Master'!T24,0)</f>
        <v>0</v>
      </c>
      <c r="H23" s="673" t="str">
        <f>IFERROR('Facility Master'!U24,"")</f>
        <v>TBD</v>
      </c>
    </row>
    <row r="24" spans="1:8" ht="18" customHeight="1" x14ac:dyDescent="0.3">
      <c r="A24" s="785">
        <v>21</v>
      </c>
      <c r="B24" s="680" t="str">
        <f>IFERROR('Facility Master'!B25,"")</f>
        <v>YES Bank</v>
      </c>
      <c r="C24" s="802" t="str">
        <f>IFERROR('Facility Master'!C25,"")</f>
        <v>Term Loan (Refinance Canara)</v>
      </c>
      <c r="D24" s="676" t="str">
        <f>IFERROR('Facility Master'!K25,"")</f>
        <v>INR</v>
      </c>
      <c r="E24" s="681" t="str">
        <f>IFERROR('Facility Master'!R25,"")</f>
        <v>3M T-Bill</v>
      </c>
      <c r="F24" s="677">
        <f>IFERROR('Facility Master'!S25*10000,0)</f>
        <v>252</v>
      </c>
      <c r="G24" s="678">
        <f>IFERROR('Facility Master'!T25,0)</f>
        <v>7.6999999999999999E-2</v>
      </c>
      <c r="H24" s="679" t="str">
        <f>IFERROR('Facility Master'!U25,"")</f>
        <v>Floating</v>
      </c>
    </row>
    <row r="25" spans="1:8" ht="18" customHeight="1" x14ac:dyDescent="0.3">
      <c r="A25" s="786">
        <v>22</v>
      </c>
      <c r="B25" s="754" t="str">
        <f>IFERROR('Facility Master'!B26,"")</f>
        <v>Bajaj Finance</v>
      </c>
      <c r="C25" s="803" t="str">
        <f>IFERROR('Facility Master'!C26,"")</f>
        <v>Term Loan</v>
      </c>
      <c r="D25" s="756" t="str">
        <f>IFERROR('Facility Master'!K26,"")</f>
        <v>INR</v>
      </c>
      <c r="E25" s="755" t="str">
        <f>IFERROR('Facility Master'!R26,"")</f>
        <v>Bajaj Floating Reference Rate (BFRR)</v>
      </c>
      <c r="F25" s="757">
        <f>IFERROR('Facility Master'!S26*10000,0)</f>
        <v>10</v>
      </c>
      <c r="G25" s="758">
        <f>IFERROR('Facility Master'!T26,0)</f>
        <v>8.6000000000000007E-2</v>
      </c>
      <c r="H25" s="759" t="str">
        <f>IFERROR('Facility Master'!U26,"")</f>
        <v>Floating</v>
      </c>
    </row>
    <row r="26" spans="1:8" ht="18" customHeight="1" x14ac:dyDescent="0.3">
      <c r="A26" s="787">
        <v>23</v>
      </c>
      <c r="B26" s="730" t="str">
        <f>IFERROR('Facility Master'!B27,"")</f>
        <v>ICICI Bank</v>
      </c>
      <c r="C26" s="804" t="str">
        <f>IFERROR('Facility Master'!C27,"")</f>
        <v>Cash Credit</v>
      </c>
      <c r="D26" s="732" t="str">
        <f>IFERROR('Facility Master'!K27,"")</f>
        <v>INR</v>
      </c>
      <c r="E26" s="731" t="str">
        <f>IFERROR('Facility Master'!R27,"")</f>
        <v>6M I-MCLR (ICICI)</v>
      </c>
      <c r="F26" s="733">
        <f>IFERROR('Facility Master'!S27*10000,0)</f>
        <v>45</v>
      </c>
      <c r="G26" s="734">
        <f>IFERROR('Facility Master'!T27,0)</f>
        <v>8.7500000000000008E-2</v>
      </c>
      <c r="H26" s="735" t="str">
        <f>IFERROR('Facility Master'!U27,"")</f>
        <v>Floating</v>
      </c>
    </row>
    <row r="27" spans="1:8" ht="18" customHeight="1" x14ac:dyDescent="0.3">
      <c r="A27" s="787">
        <v>24</v>
      </c>
      <c r="B27" s="712" t="str">
        <f>IFERROR('Facility Master'!B28,"")</f>
        <v>ICICI Bank</v>
      </c>
      <c r="C27" s="795" t="str">
        <f>IFERROR('Facility Master'!C28,"")</f>
        <v>Working Capital Demand Loan (WCDL)</v>
      </c>
      <c r="D27" s="714" t="str">
        <f>IFERROR('Facility Master'!K28,"")</f>
        <v>INR</v>
      </c>
      <c r="E27" s="713" t="str">
        <f>IFERROR('Facility Master'!R28,"")</f>
        <v>Repo Rate</v>
      </c>
      <c r="F27" s="715">
        <f>IFERROR('Facility Master'!S28*10000,0)</f>
        <v>0</v>
      </c>
      <c r="G27" s="716">
        <f>IFERROR('Facility Master'!T28,0)</f>
        <v>5.2499999999999998E-2</v>
      </c>
      <c r="H27" s="717" t="str">
        <f>IFERROR('Facility Master'!U28,"")</f>
        <v>Floating</v>
      </c>
    </row>
    <row r="28" spans="1:8" ht="18" customHeight="1" x14ac:dyDescent="0.3">
      <c r="A28" s="788">
        <v>25</v>
      </c>
      <c r="B28" s="666" t="str">
        <f>IFERROR('Facility Master'!B29,"")</f>
        <v>ICICI Bank</v>
      </c>
      <c r="C28" s="796" t="str">
        <f>IFERROR('Facility Master'!C29,"")</f>
        <v>Letter of Credit (Inland/Foreign)</v>
      </c>
      <c r="D28" s="662" t="str">
        <f>IFERROR('Facility Master'!K29,"")</f>
        <v>INR</v>
      </c>
      <c r="E28" s="667" t="str">
        <f>IFERROR('Facility Master'!R29,"")</f>
        <v>Fixed commission</v>
      </c>
      <c r="F28" s="663">
        <f>IFERROR('Facility Master'!S29*10000,0)</f>
        <v>50</v>
      </c>
      <c r="G28" s="664">
        <f>IFERROR('Facility Master'!T29,0)</f>
        <v>5.0000000000000001E-3</v>
      </c>
      <c r="H28" s="669" t="str">
        <f>IFERROR('Facility Master'!U29,"")</f>
        <v>Fixed</v>
      </c>
    </row>
    <row r="29" spans="1:8" ht="18" customHeight="1" x14ac:dyDescent="0.3">
      <c r="A29" s="788">
        <v>26</v>
      </c>
      <c r="B29" s="660" t="str">
        <f>IFERROR('Facility Master'!B30,"")</f>
        <v>ICICI Bank</v>
      </c>
      <c r="C29" s="797" t="str">
        <f>IFERROR('Facility Master'!C30,"")</f>
        <v>SBLC for Buyers' Credit</v>
      </c>
      <c r="D29" s="656" t="str">
        <f>IFERROR('Facility Master'!K30,"")</f>
        <v>INR</v>
      </c>
      <c r="E29" s="661" t="str">
        <f>IFERROR('Facility Master'!R30,"")</f>
        <v>Fixed commission</v>
      </c>
      <c r="F29" s="657">
        <f>IFERROR('Facility Master'!S30*10000,0)</f>
        <v>50</v>
      </c>
      <c r="G29" s="658">
        <f>IFERROR('Facility Master'!T30,0)</f>
        <v>5.0000000000000001E-3</v>
      </c>
      <c r="H29" s="659" t="str">
        <f>IFERROR('Facility Master'!U30,"")</f>
        <v>Fixed</v>
      </c>
    </row>
    <row r="30" spans="1:8" ht="18" customHeight="1" x14ac:dyDescent="0.3">
      <c r="A30" s="788">
        <v>27</v>
      </c>
      <c r="B30" s="666" t="str">
        <f>IFERROR('Facility Master'!B31,"")</f>
        <v>ICICI Bank</v>
      </c>
      <c r="C30" s="796" t="str">
        <f>IFERROR('Facility Master'!C31,"")</f>
        <v>Bank Guarantee - Performance</v>
      </c>
      <c r="D30" s="662" t="str">
        <f>IFERROR('Facility Master'!K31,"")</f>
        <v>INR</v>
      </c>
      <c r="E30" s="667" t="str">
        <f>IFERROR('Facility Master'!R31,"")</f>
        <v>Fixed commission</v>
      </c>
      <c r="F30" s="663">
        <f>IFERROR('Facility Master'!S31*10000,0)</f>
        <v>50</v>
      </c>
      <c r="G30" s="664">
        <f>IFERROR('Facility Master'!T31,0)</f>
        <v>5.0000000000000001E-3</v>
      </c>
      <c r="H30" s="669" t="str">
        <f>IFERROR('Facility Master'!U31,"")</f>
        <v>Fixed</v>
      </c>
    </row>
    <row r="31" spans="1:8" ht="18" customHeight="1" x14ac:dyDescent="0.3">
      <c r="A31" s="789">
        <v>28</v>
      </c>
      <c r="B31" s="766" t="str">
        <f>IFERROR('Facility Master'!B32,"")</f>
        <v>ICICI Bank</v>
      </c>
      <c r="C31" s="805" t="str">
        <f>IFERROR('Facility Master'!C32,"")</f>
        <v>Bank Guarantee - Financial</v>
      </c>
      <c r="D31" s="768" t="str">
        <f>IFERROR('Facility Master'!K32,"")</f>
        <v>INR</v>
      </c>
      <c r="E31" s="767" t="str">
        <f>IFERROR('Facility Master'!R32,"")</f>
        <v>Fixed commission</v>
      </c>
      <c r="F31" s="769">
        <f>IFERROR('Facility Master'!S32*10000,0)</f>
        <v>60</v>
      </c>
      <c r="G31" s="770">
        <f>IFERROR('Facility Master'!T32,0)</f>
        <v>6.0000000000000001E-3</v>
      </c>
      <c r="H31" s="771" t="str">
        <f>IFERROR('Facility Master'!U32,"")</f>
        <v>Fixed</v>
      </c>
    </row>
    <row r="32" spans="1:8" ht="18" customHeight="1" x14ac:dyDescent="0.3">
      <c r="A32" s="790">
        <v>29</v>
      </c>
      <c r="B32" s="760" t="str">
        <f>IFERROR('Facility Master'!B33,"")</f>
        <v>South Indian Bank</v>
      </c>
      <c r="C32" s="806" t="str">
        <f>IFERROR('Facility Master'!C33,"")</f>
        <v>CCOL (Cash Credit)</v>
      </c>
      <c r="D32" s="762" t="str">
        <f>IFERROR('Facility Master'!K33,"")</f>
        <v>INR</v>
      </c>
      <c r="E32" s="761" t="str">
        <f>IFERROR('Facility Master'!R33,"")</f>
        <v>12M MCLR (SIB)</v>
      </c>
      <c r="F32" s="763">
        <f>IFERROR('Facility Master'!S33*10000,0)</f>
        <v>45</v>
      </c>
      <c r="G32" s="764">
        <f>IFERROR('Facility Master'!T33,0)</f>
        <v>0.10200000000000001</v>
      </c>
      <c r="H32" s="765" t="str">
        <f>IFERROR('Facility Master'!U33,"")</f>
        <v>Floating</v>
      </c>
    </row>
    <row r="33" spans="1:8" ht="18" customHeight="1" x14ac:dyDescent="0.3">
      <c r="A33" s="790">
        <v>30</v>
      </c>
      <c r="B33" s="736" t="str">
        <f>IFERROR('Facility Master'!B34,"")</f>
        <v>South Indian Bank</v>
      </c>
      <c r="C33" s="807" t="str">
        <f>IFERROR('Facility Master'!C34,"")</f>
        <v>WCL / WCDL</v>
      </c>
      <c r="D33" s="738" t="str">
        <f>IFERROR('Facility Master'!K34,"")</f>
        <v>INR</v>
      </c>
      <c r="E33" s="737" t="str">
        <f>IFERROR('Facility Master'!R34,"")</f>
        <v>To be decided</v>
      </c>
      <c r="F33" s="739">
        <f>IFERROR('Facility Master'!S34*10000,0)</f>
        <v>0</v>
      </c>
      <c r="G33" s="740">
        <f>IFERROR('Facility Master'!T34,0)</f>
        <v>0</v>
      </c>
      <c r="H33" s="741" t="str">
        <f>IFERROR('Facility Master'!U34,"")</f>
        <v>TBD</v>
      </c>
    </row>
    <row r="34" spans="1:8" ht="18" customHeight="1" x14ac:dyDescent="0.3">
      <c r="A34" s="791">
        <v>31</v>
      </c>
      <c r="B34" s="687" t="str">
        <f>IFERROR('Facility Master'!B35,"")</f>
        <v>South Indian Bank</v>
      </c>
      <c r="C34" s="808" t="str">
        <f>IFERROR('Facility Master'!C35,"")</f>
        <v>Inland / Import LC</v>
      </c>
      <c r="D34" s="683" t="str">
        <f>IFERROR('Facility Master'!K35,"")</f>
        <v>INR</v>
      </c>
      <c r="E34" s="688" t="str">
        <f>IFERROR('Facility Master'!R35,"")</f>
        <v>Fixed commission</v>
      </c>
      <c r="F34" s="684">
        <f>IFERROR('Facility Master'!S35*10000,0)</f>
        <v>65</v>
      </c>
      <c r="G34" s="685">
        <f>IFERROR('Facility Master'!T35,0)</f>
        <v>6.4999999999999997E-3</v>
      </c>
      <c r="H34" s="686" t="str">
        <f>IFERROR('Facility Master'!U35,"")</f>
        <v>Fixed</v>
      </c>
    </row>
    <row r="35" spans="1:8" ht="18" customHeight="1" x14ac:dyDescent="0.3">
      <c r="A35" s="791">
        <v>32</v>
      </c>
      <c r="B35" s="692" t="str">
        <f>IFERROR('Facility Master'!B36,"")</f>
        <v>South Indian Bank</v>
      </c>
      <c r="C35" s="809" t="str">
        <f>IFERROR('Facility Master'!C36,"")</f>
        <v>Capex LC</v>
      </c>
      <c r="D35" s="689" t="str">
        <f>IFERROR('Facility Master'!K36,"")</f>
        <v>INR</v>
      </c>
      <c r="E35" s="693" t="str">
        <f>IFERROR('Facility Master'!R36,"")</f>
        <v>Fixed commission</v>
      </c>
      <c r="F35" s="690">
        <f>IFERROR('Facility Master'!S36*10000,0)</f>
        <v>75</v>
      </c>
      <c r="G35" s="691">
        <f>IFERROR('Facility Master'!T36,0)</f>
        <v>7.4999999999999997E-3</v>
      </c>
      <c r="H35" s="694" t="str">
        <f>IFERROR('Facility Master'!U36,"")</f>
        <v>Fixed</v>
      </c>
    </row>
    <row r="36" spans="1:8" ht="18" customHeight="1" x14ac:dyDescent="0.3">
      <c r="A36" s="791">
        <v>33</v>
      </c>
      <c r="B36" s="687" t="str">
        <f>IFERROR('Facility Master'!B37,"")</f>
        <v>South Indian Bank</v>
      </c>
      <c r="C36" s="808" t="str">
        <f>IFERROR('Facility Master'!C37,"")</f>
        <v>SBLC</v>
      </c>
      <c r="D36" s="683" t="str">
        <f>IFERROR('Facility Master'!K37,"")</f>
        <v>INR</v>
      </c>
      <c r="E36" s="688" t="str">
        <f>IFERROR('Facility Master'!R37,"")</f>
        <v>Fixed commission</v>
      </c>
      <c r="F36" s="684">
        <f>IFERROR('Facility Master'!S37*10000,0)</f>
        <v>65</v>
      </c>
      <c r="G36" s="685">
        <f>IFERROR('Facility Master'!T37,0)</f>
        <v>6.4999999999999997E-3</v>
      </c>
      <c r="H36" s="686" t="str">
        <f>IFERROR('Facility Master'!U37,"")</f>
        <v>Fixed</v>
      </c>
    </row>
    <row r="37" spans="1:8" ht="18" customHeight="1" x14ac:dyDescent="0.3">
      <c r="A37" s="792">
        <v>34</v>
      </c>
      <c r="B37" s="772" t="str">
        <f>IFERROR('Facility Master'!B38,"")</f>
        <v>South Indian Bank</v>
      </c>
      <c r="C37" s="810" t="str">
        <f>IFERROR('Facility Master'!C38,"")</f>
        <v>Forward Contract Limit</v>
      </c>
      <c r="D37" s="774" t="str">
        <f>IFERROR('Facility Master'!K38,"")</f>
        <v>INR</v>
      </c>
      <c r="E37" s="773" t="str">
        <f>IFERROR('Facility Master'!R38,"")</f>
        <v>N/A</v>
      </c>
      <c r="F37" s="775">
        <f>IFERROR('Facility Master'!S38*10000,0)</f>
        <v>0</v>
      </c>
      <c r="G37" s="776">
        <f>IFERROR('Facility Master'!T38,0)</f>
        <v>0</v>
      </c>
      <c r="H37" s="777" t="str">
        <f>IFERROR('Facility Master'!U38,"")</f>
        <v>Fixed</v>
      </c>
    </row>
    <row r="38" spans="1:8" ht="6" customHeight="1" x14ac:dyDescent="0.3">
      <c r="A38" s="709"/>
      <c r="B38" s="710"/>
      <c r="C38" s="710"/>
      <c r="D38" s="710"/>
      <c r="E38" s="710"/>
      <c r="F38" s="710"/>
      <c r="G38" s="710"/>
      <c r="H38" s="711"/>
    </row>
    <row r="39" spans="1:8" ht="22.05" customHeight="1" x14ac:dyDescent="0.3">
      <c r="A39" s="1394" t="s">
        <v>735</v>
      </c>
      <c r="B39" s="1395"/>
      <c r="C39" s="1395"/>
      <c r="D39" s="1395"/>
      <c r="E39" s="1395"/>
      <c r="F39" s="1395"/>
      <c r="G39" s="1395"/>
      <c r="H39" s="1396"/>
    </row>
    <row r="40" spans="1:8" ht="19.95" customHeight="1" x14ac:dyDescent="0.3">
      <c r="A40" s="695" t="s">
        <v>67</v>
      </c>
      <c r="B40" s="696">
        <f>COUNTIF(H4:H37,"Fixed")</f>
        <v>15</v>
      </c>
      <c r="C40" s="697"/>
      <c r="D40" s="697"/>
      <c r="E40" s="697"/>
      <c r="F40" s="697"/>
      <c r="G40" s="697"/>
      <c r="H40" s="698"/>
    </row>
    <row r="41" spans="1:8" ht="19.95" customHeight="1" x14ac:dyDescent="0.3">
      <c r="A41" s="699" t="s">
        <v>86</v>
      </c>
      <c r="B41" s="700">
        <f>COUNTIF(H4:H37,"Floating*")</f>
        <v>13</v>
      </c>
      <c r="C41" s="697"/>
      <c r="D41" s="697"/>
      <c r="E41" s="697"/>
      <c r="F41" s="697"/>
      <c r="G41" s="697"/>
      <c r="H41" s="698"/>
    </row>
    <row r="42" spans="1:8" ht="19.95" customHeight="1" x14ac:dyDescent="0.3">
      <c r="A42" s="701" t="s">
        <v>78</v>
      </c>
      <c r="B42" s="702">
        <f>COUNTIF(H4:H37,"TBD")</f>
        <v>6</v>
      </c>
      <c r="C42" s="697"/>
      <c r="D42" s="697"/>
      <c r="E42" s="697"/>
      <c r="F42" s="697"/>
      <c r="G42" s="697"/>
      <c r="H42" s="698"/>
    </row>
    <row r="43" spans="1:8" ht="19.95" customHeight="1" x14ac:dyDescent="0.3">
      <c r="A43" s="707" t="s">
        <v>509</v>
      </c>
      <c r="B43" s="708">
        <f>COUNTIF(H4:H37,"Indicative*")</f>
        <v>0</v>
      </c>
      <c r="C43" s="697"/>
      <c r="D43" s="697"/>
      <c r="E43" s="697"/>
      <c r="F43" s="697"/>
      <c r="G43" s="697"/>
      <c r="H43" s="698"/>
    </row>
    <row r="44" spans="1:8" ht="19.95" customHeight="1" thickBot="1" x14ac:dyDescent="0.35">
      <c r="A44" s="703" t="s">
        <v>174</v>
      </c>
      <c r="B44" s="704">
        <f>COUNTA(H4:H37)</f>
        <v>34</v>
      </c>
      <c r="C44" s="705"/>
      <c r="D44" s="705"/>
      <c r="E44" s="705"/>
      <c r="F44" s="705"/>
      <c r="G44" s="705"/>
      <c r="H44" s="706"/>
    </row>
  </sheetData>
  <mergeCells count="2">
    <mergeCell ref="A1:H1"/>
    <mergeCell ref="A39:H39"/>
  </mergeCells>
  <conditionalFormatting sqref="H4:H37">
    <cfRule type="containsText" dxfId="10" priority="1" operator="containsText" text="Fixed">
      <formula>NOT(ISERROR(SEARCH("Fixed",H4)))</formula>
    </cfRule>
    <cfRule type="containsText" dxfId="9" priority="2" operator="containsText" text="Floating">
      <formula>NOT(ISERROR(SEARCH("Floating",H4)))</formula>
    </cfRule>
    <cfRule type="containsText" dxfId="8" priority="3" operator="containsText" text="TBD">
      <formula>NOT(ISERROR(SEARCH("TBD",H4)))</formula>
    </cfRule>
    <cfRule type="containsText" dxfId="7" priority="4" operator="containsText" text="Indicative">
      <formula>NOT(ISERROR(SEARCH("Indicative",H4)))</formula>
    </cfRule>
  </conditionalFormatting>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E62F0-47E2-4F8A-8DAB-B2511C9267C0}">
  <sheetPr>
    <tabColor rgb="FF44546A"/>
  </sheetPr>
  <dimension ref="A1:G69"/>
  <sheetViews>
    <sheetView showGridLines="0" workbookViewId="0">
      <pane ySplit="12" topLeftCell="A22" activePane="bottomLeft" state="frozen"/>
      <selection pane="bottomLeft" activeCell="I8" sqref="I8"/>
    </sheetView>
  </sheetViews>
  <sheetFormatPr defaultRowHeight="14.4" x14ac:dyDescent="0.3"/>
  <sheetData>
    <row r="1" spans="1:7" ht="30" customHeight="1" x14ac:dyDescent="0.4">
      <c r="A1" s="1404" t="s">
        <v>736</v>
      </c>
      <c r="B1" s="1404"/>
      <c r="C1" s="1404"/>
      <c r="D1" s="1404"/>
      <c r="E1" s="1404"/>
      <c r="F1" s="1404"/>
      <c r="G1" s="1404"/>
    </row>
    <row r="2" spans="1:7" ht="22.05" customHeight="1" x14ac:dyDescent="0.3">
      <c r="A2" s="1405" t="str">
        <f>IF(B68=0,IF(B67=0,"✓ MODEL INTEGRITY CONFIRMED — ALL CHECKS PASS",B67&amp;" non-critical check(s) for review"),"⚠ CRITICAL: "&amp;B68&amp;" integrity check(s) require attention")</f>
        <v>✓ MODEL INTEGRITY CONFIRMED — ALL CHECKS PASS</v>
      </c>
      <c r="B2" s="1405"/>
      <c r="C2" s="1405"/>
      <c r="D2" s="1405"/>
      <c r="E2" s="1405"/>
      <c r="F2" s="1405"/>
      <c r="G2" s="1405"/>
    </row>
    <row r="3" spans="1:7" ht="15" thickBot="1" x14ac:dyDescent="0.35"/>
    <row r="4" spans="1:7" x14ac:dyDescent="0.3">
      <c r="A4" s="845" t="s">
        <v>737</v>
      </c>
      <c r="B4" s="833" t="s">
        <v>0</v>
      </c>
    </row>
    <row r="5" spans="1:7" x14ac:dyDescent="0.3">
      <c r="A5" s="846" t="s">
        <v>546</v>
      </c>
      <c r="B5" s="849" t="str">
        <f>IF(AND(ABS(Bucket1_DebtTotal-1317.7)&lt;0.5,ABS(Bucket2_NFBTotal-865)&lt;0.5,ABS(Bucket3_SeparateTotal-123)&lt;0.5),"PASS","FAIL")</f>
        <v>PASS</v>
      </c>
    </row>
    <row r="6" spans="1:7" x14ac:dyDescent="0.3">
      <c r="A6" s="847" t="s">
        <v>547</v>
      </c>
      <c r="B6" s="849" t="str">
        <f>IF(ABS('Repayment Schedule'!B64-Bucket1_TL_Total)&lt;0.5,"PASS","FAIL")</f>
        <v>PASS</v>
      </c>
    </row>
    <row r="7" spans="1:7" x14ac:dyDescent="0.3">
      <c r="A7" s="846" t="s">
        <v>548</v>
      </c>
      <c r="B7" s="849" t="str">
        <f>IF(CovenantCount=24,"PASS","FAIL")</f>
        <v>PASS</v>
      </c>
    </row>
    <row r="8" spans="1:7" x14ac:dyDescent="0.3">
      <c r="A8" s="847" t="s">
        <v>549</v>
      </c>
      <c r="B8" s="849" t="str">
        <f>IF(AND(AsOfDate&gt;0,FX_USD_INR&gt;0,DaysInYear&gt;0),"PASS","FAIL")</f>
        <v>PASS</v>
      </c>
    </row>
    <row r="9" spans="1:7" ht="15" thickBot="1" x14ac:dyDescent="0.35">
      <c r="A9" s="848" t="s">
        <v>550</v>
      </c>
      <c r="B9" s="850" t="str">
        <f>IF(COUNTIFS('Facility Master'!J5:J38,"&lt;&gt;")=34,"PASS","FAIL")</f>
        <v>PASS</v>
      </c>
    </row>
    <row r="11" spans="1:7" ht="22.05" customHeight="1" thickBot="1" x14ac:dyDescent="0.35">
      <c r="A11" s="1406" t="s">
        <v>738</v>
      </c>
      <c r="B11" s="1406"/>
      <c r="C11" s="1406"/>
      <c r="D11" s="1406"/>
      <c r="E11" s="1406"/>
      <c r="F11" s="1406"/>
      <c r="G11" s="1406"/>
    </row>
    <row r="12" spans="1:7" x14ac:dyDescent="0.3">
      <c r="A12" s="829" t="s">
        <v>552</v>
      </c>
      <c r="B12" s="823" t="s">
        <v>553</v>
      </c>
      <c r="C12" s="824" t="s">
        <v>288</v>
      </c>
      <c r="D12" s="824" t="s">
        <v>269</v>
      </c>
      <c r="E12" s="822" t="s">
        <v>0</v>
      </c>
      <c r="F12" s="822" t="s">
        <v>461</v>
      </c>
      <c r="G12" s="833" t="s">
        <v>554</v>
      </c>
    </row>
    <row r="13" spans="1:7" x14ac:dyDescent="0.3">
      <c r="A13" s="830" t="s">
        <v>555</v>
      </c>
      <c r="B13" s="811" t="s">
        <v>556</v>
      </c>
      <c r="C13" s="812">
        <v>34</v>
      </c>
      <c r="D13" s="812">
        <f>COUNTIF('Facility Master'!A5:A38,"&gt;0")</f>
        <v>34</v>
      </c>
      <c r="E13" s="813" t="str">
        <f t="shared" ref="E13:E44" si="0">IFERROR(IF(ABS(D13-C13)&lt;0.5,"PASS","FAIL"),"FAIL")</f>
        <v>PASS</v>
      </c>
      <c r="F13" s="814" t="s">
        <v>557</v>
      </c>
      <c r="G13" s="834" t="s">
        <v>558</v>
      </c>
    </row>
    <row r="14" spans="1:7" x14ac:dyDescent="0.3">
      <c r="A14" s="831" t="s">
        <v>559</v>
      </c>
      <c r="B14" s="815" t="s">
        <v>560</v>
      </c>
      <c r="C14" s="816">
        <v>11</v>
      </c>
      <c r="D14" s="816">
        <f>COUNTIF('Facility Master'!F5:F38,TRUE)</f>
        <v>11</v>
      </c>
      <c r="E14" s="817" t="str">
        <f t="shared" si="0"/>
        <v>PASS</v>
      </c>
      <c r="F14" s="818" t="s">
        <v>561</v>
      </c>
      <c r="G14" s="834" t="s">
        <v>558</v>
      </c>
    </row>
    <row r="15" spans="1:7" x14ac:dyDescent="0.3">
      <c r="A15" s="830" t="s">
        <v>562</v>
      </c>
      <c r="B15" s="811" t="s">
        <v>563</v>
      </c>
      <c r="C15" s="812">
        <v>13</v>
      </c>
      <c r="D15" s="812">
        <f>COUNTIF('Facility Master'!J5:J38,1)</f>
        <v>13</v>
      </c>
      <c r="E15" s="813" t="str">
        <f t="shared" si="0"/>
        <v>PASS</v>
      </c>
      <c r="F15" s="814" t="s">
        <v>557</v>
      </c>
      <c r="G15" s="834" t="s">
        <v>558</v>
      </c>
    </row>
    <row r="16" spans="1:7" x14ac:dyDescent="0.3">
      <c r="A16" s="831" t="s">
        <v>564</v>
      </c>
      <c r="B16" s="815" t="s">
        <v>565</v>
      </c>
      <c r="C16" s="816">
        <v>7</v>
      </c>
      <c r="D16" s="816">
        <f>COUNTIF('Facility Master'!J5:J38,2)</f>
        <v>7</v>
      </c>
      <c r="E16" s="817" t="str">
        <f t="shared" si="0"/>
        <v>PASS</v>
      </c>
      <c r="F16" s="814" t="s">
        <v>557</v>
      </c>
      <c r="G16" s="834" t="s">
        <v>558</v>
      </c>
    </row>
    <row r="17" spans="1:7" x14ac:dyDescent="0.3">
      <c r="A17" s="830" t="s">
        <v>566</v>
      </c>
      <c r="B17" s="811" t="s">
        <v>567</v>
      </c>
      <c r="C17" s="812">
        <v>3</v>
      </c>
      <c r="D17" s="812">
        <f>COUNTIF('Facility Master'!J5:J38,3)</f>
        <v>3</v>
      </c>
      <c r="E17" s="813" t="str">
        <f t="shared" si="0"/>
        <v>PASS</v>
      </c>
      <c r="F17" s="814" t="s">
        <v>557</v>
      </c>
      <c r="G17" s="834" t="s">
        <v>558</v>
      </c>
    </row>
    <row r="18" spans="1:7" x14ac:dyDescent="0.3">
      <c r="A18" s="831" t="s">
        <v>568</v>
      </c>
      <c r="B18" s="815" t="s">
        <v>569</v>
      </c>
      <c r="C18" s="816">
        <v>5</v>
      </c>
      <c r="D18" s="816" cm="1">
        <f t="array" ref="D18">SUMPRODUCT(1/COUNTIF('Facility Master'!B5:B38,'Facility Master'!B5:B38&amp;""))</f>
        <v>5.0000000000000009</v>
      </c>
      <c r="E18" s="817" t="str">
        <f t="shared" si="0"/>
        <v>PASS</v>
      </c>
      <c r="F18" s="814" t="s">
        <v>557</v>
      </c>
      <c r="G18" s="834" t="s">
        <v>558</v>
      </c>
    </row>
    <row r="19" spans="1:7" x14ac:dyDescent="0.3">
      <c r="A19" s="830" t="s">
        <v>570</v>
      </c>
      <c r="B19" s="811" t="s">
        <v>571</v>
      </c>
      <c r="C19" s="812">
        <v>0</v>
      </c>
      <c r="D19" s="812" cm="1">
        <f t="array" ref="D19">SUMPRODUCT(('Facility Master'!O5:O38&gt;'Facility Master'!M5:M38)*1)</f>
        <v>0</v>
      </c>
      <c r="E19" s="813" t="str">
        <f t="shared" si="0"/>
        <v>PASS</v>
      </c>
      <c r="F19" s="818" t="s">
        <v>561</v>
      </c>
      <c r="G19" s="834" t="s">
        <v>558</v>
      </c>
    </row>
    <row r="20" spans="1:7" x14ac:dyDescent="0.3">
      <c r="A20" s="831" t="s">
        <v>572</v>
      </c>
      <c r="B20" s="815" t="s">
        <v>573</v>
      </c>
      <c r="C20" s="816">
        <v>0</v>
      </c>
      <c r="D20" s="816" cm="1">
        <f t="array" ref="D20">SUMPRODUCT(('Facility Master'!D5:D38="FB-Term")*('Facility Master'!AB5:AB38&lt;'Facility Master'!Z5:Z38))</f>
        <v>0</v>
      </c>
      <c r="E20" s="817" t="str">
        <f t="shared" si="0"/>
        <v>PASS</v>
      </c>
      <c r="F20" s="814" t="s">
        <v>557</v>
      </c>
      <c r="G20" s="834" t="s">
        <v>558</v>
      </c>
    </row>
    <row r="21" spans="1:7" x14ac:dyDescent="0.3">
      <c r="A21" s="830" t="s">
        <v>574</v>
      </c>
      <c r="B21" s="811" t="s">
        <v>575</v>
      </c>
      <c r="C21" s="812">
        <v>1317.7</v>
      </c>
      <c r="D21" s="812">
        <f>Bucket1_DebtTotal</f>
        <v>1317.7</v>
      </c>
      <c r="E21" s="813" t="str">
        <f t="shared" si="0"/>
        <v>PASS</v>
      </c>
      <c r="F21" s="814" t="s">
        <v>557</v>
      </c>
      <c r="G21" s="835" t="s">
        <v>339</v>
      </c>
    </row>
    <row r="22" spans="1:7" x14ac:dyDescent="0.3">
      <c r="A22" s="831" t="s">
        <v>576</v>
      </c>
      <c r="B22" s="815" t="s">
        <v>577</v>
      </c>
      <c r="C22" s="816">
        <v>670.7</v>
      </c>
      <c r="D22" s="816">
        <f>Bucket1_TL_Total</f>
        <v>670.7</v>
      </c>
      <c r="E22" s="817" t="str">
        <f t="shared" si="0"/>
        <v>PASS</v>
      </c>
      <c r="F22" s="814" t="s">
        <v>557</v>
      </c>
      <c r="G22" s="835" t="s">
        <v>339</v>
      </c>
    </row>
    <row r="23" spans="1:7" x14ac:dyDescent="0.3">
      <c r="A23" s="830" t="s">
        <v>578</v>
      </c>
      <c r="B23" s="811" t="s">
        <v>579</v>
      </c>
      <c r="C23" s="812">
        <v>647</v>
      </c>
      <c r="D23" s="812">
        <f>Bucket1_WCFB_Total</f>
        <v>647</v>
      </c>
      <c r="E23" s="813" t="str">
        <f t="shared" si="0"/>
        <v>PASS</v>
      </c>
      <c r="F23" s="814" t="s">
        <v>557</v>
      </c>
      <c r="G23" s="835" t="s">
        <v>339</v>
      </c>
    </row>
    <row r="24" spans="1:7" x14ac:dyDescent="0.3">
      <c r="A24" s="831" t="s">
        <v>580</v>
      </c>
      <c r="B24" s="815" t="s">
        <v>581</v>
      </c>
      <c r="C24" s="816">
        <v>865</v>
      </c>
      <c r="D24" s="816">
        <f>Bucket2_NFBTotal</f>
        <v>865</v>
      </c>
      <c r="E24" s="817" t="str">
        <f t="shared" si="0"/>
        <v>PASS</v>
      </c>
      <c r="F24" s="814" t="s">
        <v>557</v>
      </c>
      <c r="G24" s="835" t="s">
        <v>339</v>
      </c>
    </row>
    <row r="25" spans="1:7" x14ac:dyDescent="0.3">
      <c r="A25" s="830" t="s">
        <v>582</v>
      </c>
      <c r="B25" s="811" t="s">
        <v>583</v>
      </c>
      <c r="C25" s="812">
        <v>123</v>
      </c>
      <c r="D25" s="812">
        <f>Bucket3_SeparateTotal</f>
        <v>123</v>
      </c>
      <c r="E25" s="813" t="str">
        <f t="shared" si="0"/>
        <v>PASS</v>
      </c>
      <c r="F25" s="814" t="s">
        <v>557</v>
      </c>
      <c r="G25" s="835" t="s">
        <v>339</v>
      </c>
    </row>
    <row r="26" spans="1:7" x14ac:dyDescent="0.3">
      <c r="A26" s="831" t="s">
        <v>584</v>
      </c>
      <c r="B26" s="815" t="s">
        <v>745</v>
      </c>
      <c r="C26" s="816" t="b">
        <v>1</v>
      </c>
      <c r="D26" s="816" t="b">
        <f>('Working Capital Facilities'!G24&lt;='Working Capital Facilities'!G23+0.5)</f>
        <v>1</v>
      </c>
      <c r="E26" s="817" t="str">
        <f>IF(D26=C26,"PASS","FAIL")</f>
        <v>PASS</v>
      </c>
      <c r="F26" s="814" t="s">
        <v>557</v>
      </c>
      <c r="G26" s="835" t="s">
        <v>339</v>
      </c>
    </row>
    <row r="27" spans="1:7" x14ac:dyDescent="0.3">
      <c r="A27" s="830" t="s">
        <v>585</v>
      </c>
      <c r="B27" s="811" t="s">
        <v>746</v>
      </c>
      <c r="C27" s="812">
        <v>0</v>
      </c>
      <c r="D27" s="812" cm="1">
        <f t="array" ref="D27">SUMPRODUCT(('Facility Master'!G5:G38&lt;&gt;"")*('Facility Master'!J5:J38=1)*('Facility Master'!O5:O38&gt;'Facility Master'!H5:H38+0.01))</f>
        <v>0</v>
      </c>
      <c r="E27" s="813" t="str">
        <f>IF(D27=0,"PASS","FAIL")</f>
        <v>PASS</v>
      </c>
      <c r="F27" s="814" t="s">
        <v>557</v>
      </c>
      <c r="G27" s="836" t="s">
        <v>291</v>
      </c>
    </row>
    <row r="28" spans="1:7" x14ac:dyDescent="0.3">
      <c r="A28" s="831" t="s">
        <v>586</v>
      </c>
      <c r="B28" s="815" t="s">
        <v>587</v>
      </c>
      <c r="C28" s="816">
        <v>320.7</v>
      </c>
      <c r="D28" s="816" cm="1">
        <f t="array" ref="D28">IFERROR(SUMPRODUCT('Facility Master'!M5:M38*('Facility Master'!A5:A38=YBL_TL_SNo)),0)</f>
        <v>320.7</v>
      </c>
      <c r="E28" s="817" t="str">
        <f t="shared" si="0"/>
        <v>PASS</v>
      </c>
      <c r="F28" s="814" t="s">
        <v>557</v>
      </c>
      <c r="G28" s="836" t="s">
        <v>291</v>
      </c>
    </row>
    <row r="29" spans="1:7" x14ac:dyDescent="0.3">
      <c r="A29" s="830" t="s">
        <v>588</v>
      </c>
      <c r="B29" s="811" t="s">
        <v>589</v>
      </c>
      <c r="C29" s="812">
        <v>150</v>
      </c>
      <c r="D29" s="812" cm="1">
        <f t="array" ref="D29">IFERROR(SUMPRODUCT('Facility Master'!M5:M38*('Facility Master'!A5:A38=Bajaj_TL_SNo)),0)</f>
        <v>150</v>
      </c>
      <c r="E29" s="813" t="str">
        <f t="shared" si="0"/>
        <v>PASS</v>
      </c>
      <c r="F29" s="814" t="s">
        <v>557</v>
      </c>
      <c r="G29" s="836" t="s">
        <v>291</v>
      </c>
    </row>
    <row r="30" spans="1:7" x14ac:dyDescent="0.3">
      <c r="A30" s="831" t="s">
        <v>590</v>
      </c>
      <c r="B30" s="815" t="s">
        <v>591</v>
      </c>
      <c r="C30" s="816">
        <v>670.7</v>
      </c>
      <c r="D30" s="816">
        <f>'Repayment Schedule'!B64</f>
        <v>670.7</v>
      </c>
      <c r="E30" s="817" t="str">
        <f t="shared" si="0"/>
        <v>PASS</v>
      </c>
      <c r="F30" s="814" t="s">
        <v>557</v>
      </c>
      <c r="G30" s="836" t="s">
        <v>291</v>
      </c>
    </row>
    <row r="31" spans="1:7" x14ac:dyDescent="0.3">
      <c r="A31" s="830" t="s">
        <v>592</v>
      </c>
      <c r="B31" s="811" t="s">
        <v>593</v>
      </c>
      <c r="C31" s="812">
        <v>24</v>
      </c>
      <c r="D31" s="812">
        <f>CovenantCount</f>
        <v>24</v>
      </c>
      <c r="E31" s="813" t="str">
        <f t="shared" si="0"/>
        <v>PASS</v>
      </c>
      <c r="F31" s="814" t="s">
        <v>557</v>
      </c>
      <c r="G31" s="837" t="s">
        <v>594</v>
      </c>
    </row>
    <row r="32" spans="1:7" x14ac:dyDescent="0.3">
      <c r="A32" s="831" t="s">
        <v>595</v>
      </c>
      <c r="B32" s="815" t="s">
        <v>596</v>
      </c>
      <c r="C32" s="816">
        <v>1</v>
      </c>
      <c r="D32" s="816">
        <f>IF(EBITDA_Active&gt;0,1,0)</f>
        <v>1</v>
      </c>
      <c r="E32" s="817" t="str">
        <f t="shared" si="0"/>
        <v>PASS</v>
      </c>
      <c r="F32" s="818" t="s">
        <v>561</v>
      </c>
      <c r="G32" s="838" t="s">
        <v>597</v>
      </c>
    </row>
    <row r="33" spans="1:7" x14ac:dyDescent="0.3">
      <c r="A33" s="830" t="s">
        <v>598</v>
      </c>
      <c r="B33" s="811" t="s">
        <v>599</v>
      </c>
      <c r="C33" s="812">
        <v>1</v>
      </c>
      <c r="D33" s="812">
        <f>IF(TotalDebt_Active&gt;0,1,0)</f>
        <v>1</v>
      </c>
      <c r="E33" s="813" t="str">
        <f t="shared" si="0"/>
        <v>PASS</v>
      </c>
      <c r="F33" s="818" t="s">
        <v>561</v>
      </c>
      <c r="G33" s="838" t="s">
        <v>597</v>
      </c>
    </row>
    <row r="34" spans="1:7" x14ac:dyDescent="0.3">
      <c r="A34" s="831" t="s">
        <v>600</v>
      </c>
      <c r="B34" s="815" t="s">
        <v>601</v>
      </c>
      <c r="C34" s="816">
        <v>1</v>
      </c>
      <c r="D34" s="816">
        <f>IF(TNW_Active&gt;0,1,0)</f>
        <v>1</v>
      </c>
      <c r="E34" s="817" t="str">
        <f t="shared" si="0"/>
        <v>PASS</v>
      </c>
      <c r="F34" s="818" t="s">
        <v>561</v>
      </c>
      <c r="G34" s="838" t="s">
        <v>597</v>
      </c>
    </row>
    <row r="35" spans="1:7" x14ac:dyDescent="0.3">
      <c r="A35" s="830" t="s">
        <v>602</v>
      </c>
      <c r="B35" s="811" t="s">
        <v>603</v>
      </c>
      <c r="C35" s="812">
        <v>1</v>
      </c>
      <c r="D35" s="812">
        <f>IF(AsOfDate&gt;0,1,0)</f>
        <v>1</v>
      </c>
      <c r="E35" s="813" t="str">
        <f t="shared" si="0"/>
        <v>PASS</v>
      </c>
      <c r="F35" s="814" t="s">
        <v>557</v>
      </c>
      <c r="G35" s="838" t="s">
        <v>597</v>
      </c>
    </row>
    <row r="36" spans="1:7" x14ac:dyDescent="0.3">
      <c r="A36" s="831" t="s">
        <v>604</v>
      </c>
      <c r="B36" s="815" t="s">
        <v>605</v>
      </c>
      <c r="C36" s="816">
        <v>1</v>
      </c>
      <c r="D36" s="816">
        <f>IF(FX_USD_INR&gt;0,1,0)</f>
        <v>1</v>
      </c>
      <c r="E36" s="817" t="str">
        <f t="shared" si="0"/>
        <v>PASS</v>
      </c>
      <c r="F36" s="814" t="s">
        <v>557</v>
      </c>
      <c r="G36" s="838" t="s">
        <v>597</v>
      </c>
    </row>
    <row r="37" spans="1:7" x14ac:dyDescent="0.3">
      <c r="A37" s="830" t="s">
        <v>606</v>
      </c>
      <c r="B37" s="811" t="s">
        <v>607</v>
      </c>
      <c r="C37" s="812">
        <v>1</v>
      </c>
      <c r="D37" s="812">
        <f>IF(DaysInYear&gt;0,1,0)</f>
        <v>1</v>
      </c>
      <c r="E37" s="813" t="str">
        <f t="shared" si="0"/>
        <v>PASS</v>
      </c>
      <c r="F37" s="818" t="s">
        <v>561</v>
      </c>
      <c r="G37" s="838" t="s">
        <v>597</v>
      </c>
    </row>
    <row r="38" spans="1:7" x14ac:dyDescent="0.3">
      <c r="A38" s="831" t="s">
        <v>608</v>
      </c>
      <c r="B38" s="815" t="s">
        <v>609</v>
      </c>
      <c r="C38" s="816">
        <v>0</v>
      </c>
      <c r="D38" s="816">
        <f>COUNTIFS('Facility Master'!J5:J38,"")</f>
        <v>0</v>
      </c>
      <c r="E38" s="817" t="str">
        <f t="shared" si="0"/>
        <v>PASS</v>
      </c>
      <c r="F38" s="814" t="s">
        <v>557</v>
      </c>
      <c r="G38" s="839" t="s">
        <v>610</v>
      </c>
    </row>
    <row r="39" spans="1:7" x14ac:dyDescent="0.3">
      <c r="A39" s="830" t="s">
        <v>611</v>
      </c>
      <c r="B39" s="811" t="s">
        <v>612</v>
      </c>
      <c r="C39" s="812">
        <v>34</v>
      </c>
      <c r="D39" s="812">
        <f>COUNTIF('Facility Master'!F5:F38,TRUE)+COUNTIF('Facility Master'!J5:J38,1)+COUNTIF('Facility Master'!J5:J38,2)+COUNTIF('Facility Master'!J5:J38,3)</f>
        <v>34</v>
      </c>
      <c r="E39" s="813" t="str">
        <f t="shared" si="0"/>
        <v>PASS</v>
      </c>
      <c r="F39" s="814" t="s">
        <v>557</v>
      </c>
      <c r="G39" s="839" t="s">
        <v>610</v>
      </c>
    </row>
    <row r="40" spans="1:7" x14ac:dyDescent="0.3">
      <c r="A40" s="831" t="s">
        <v>613</v>
      </c>
      <c r="B40" s="815" t="s">
        <v>614</v>
      </c>
      <c r="C40" s="816">
        <v>0</v>
      </c>
      <c r="D40" s="816" cm="1">
        <f t="array" ref="D40">SUMPRODUCT(('Facility Master'!F5:F38=TRUE)*('Facility Master'!J5:J38&gt;0))</f>
        <v>0</v>
      </c>
      <c r="E40" s="817" t="str">
        <f t="shared" si="0"/>
        <v>PASS</v>
      </c>
      <c r="F40" s="814" t="s">
        <v>557</v>
      </c>
      <c r="G40" s="839" t="s">
        <v>610</v>
      </c>
    </row>
    <row r="41" spans="1:7" x14ac:dyDescent="0.3">
      <c r="A41" s="830" t="s">
        <v>615</v>
      </c>
      <c r="B41" s="811" t="s">
        <v>616</v>
      </c>
      <c r="C41" s="812">
        <v>400</v>
      </c>
      <c r="D41" s="812">
        <f>SUMIFS('Facility Master'!M:M,'Facility Master'!G:G,"RBL-INR-WC")</f>
        <v>400</v>
      </c>
      <c r="E41" s="813" t="str">
        <f t="shared" si="0"/>
        <v>PASS</v>
      </c>
      <c r="F41" s="818" t="s">
        <v>561</v>
      </c>
      <c r="G41" s="840" t="s">
        <v>617</v>
      </c>
    </row>
    <row r="42" spans="1:7" x14ac:dyDescent="0.3">
      <c r="A42" s="831" t="s">
        <v>618</v>
      </c>
      <c r="B42" s="815" t="s">
        <v>619</v>
      </c>
      <c r="C42" s="816">
        <v>100</v>
      </c>
      <c r="D42" s="816">
        <f>SUMIFS('Facility Master'!M:M,'Facility Master'!G:G,"ICICI-FB")</f>
        <v>100</v>
      </c>
      <c r="E42" s="817" t="str">
        <f t="shared" si="0"/>
        <v>PASS</v>
      </c>
      <c r="F42" s="818" t="s">
        <v>561</v>
      </c>
      <c r="G42" s="840" t="s">
        <v>617</v>
      </c>
    </row>
    <row r="43" spans="1:7" x14ac:dyDescent="0.3">
      <c r="A43" s="830" t="s">
        <v>620</v>
      </c>
      <c r="B43" s="811" t="s">
        <v>621</v>
      </c>
      <c r="C43" s="812">
        <v>100</v>
      </c>
      <c r="D43" s="812">
        <f>SUMIFS('Facility Master'!M:M,'Facility Master'!G:G,"SIB-FB")</f>
        <v>100</v>
      </c>
      <c r="E43" s="813" t="str">
        <f t="shared" si="0"/>
        <v>PASS</v>
      </c>
      <c r="F43" s="818" t="s">
        <v>561</v>
      </c>
      <c r="G43" s="840" t="s">
        <v>617</v>
      </c>
    </row>
    <row r="44" spans="1:7" x14ac:dyDescent="0.3">
      <c r="A44" s="831" t="s">
        <v>622</v>
      </c>
      <c r="B44" s="815" t="s">
        <v>623</v>
      </c>
      <c r="C44" s="816">
        <v>100</v>
      </c>
      <c r="D44" s="816">
        <f>RBL_INR_WC_Cap</f>
        <v>100</v>
      </c>
      <c r="E44" s="817" t="str">
        <f t="shared" si="0"/>
        <v>PASS</v>
      </c>
      <c r="F44" s="818" t="s">
        <v>561</v>
      </c>
      <c r="G44" s="840" t="s">
        <v>617</v>
      </c>
    </row>
    <row r="45" spans="1:7" x14ac:dyDescent="0.3">
      <c r="A45" s="830" t="s">
        <v>624</v>
      </c>
      <c r="B45" s="811" t="s">
        <v>625</v>
      </c>
      <c r="C45" s="812">
        <v>100</v>
      </c>
      <c r="D45" s="812">
        <f>RBL_BC_WC_Cap</f>
        <v>100</v>
      </c>
      <c r="E45" s="813" t="str">
        <f t="shared" ref="E45:E62" si="1">IFERROR(IF(ABS(D45-C45)&lt;0.5,"PASS","FAIL"),"FAIL")</f>
        <v>PASS</v>
      </c>
      <c r="F45" s="818" t="s">
        <v>561</v>
      </c>
      <c r="G45" s="840" t="s">
        <v>617</v>
      </c>
    </row>
    <row r="46" spans="1:7" x14ac:dyDescent="0.3">
      <c r="A46" s="831" t="s">
        <v>626</v>
      </c>
      <c r="B46" s="815" t="s">
        <v>627</v>
      </c>
      <c r="C46" s="816">
        <v>172</v>
      </c>
      <c r="D46" s="816">
        <f>RBL_BC_CAPEX_Cap</f>
        <v>172</v>
      </c>
      <c r="E46" s="817" t="str">
        <f t="shared" si="1"/>
        <v>PASS</v>
      </c>
      <c r="F46" s="818" t="s">
        <v>561</v>
      </c>
      <c r="G46" s="840" t="s">
        <v>617</v>
      </c>
    </row>
    <row r="47" spans="1:7" x14ac:dyDescent="0.3">
      <c r="A47" s="830" t="s">
        <v>628</v>
      </c>
      <c r="B47" s="811" t="s">
        <v>629</v>
      </c>
      <c r="C47" s="812">
        <v>50</v>
      </c>
      <c r="D47" s="812">
        <f>ICICI_FB_Cap</f>
        <v>50</v>
      </c>
      <c r="E47" s="813" t="str">
        <f t="shared" si="1"/>
        <v>PASS</v>
      </c>
      <c r="F47" s="818" t="s">
        <v>561</v>
      </c>
      <c r="G47" s="840" t="s">
        <v>617</v>
      </c>
    </row>
    <row r="48" spans="1:7" x14ac:dyDescent="0.3">
      <c r="A48" s="831" t="s">
        <v>630</v>
      </c>
      <c r="B48" s="815" t="s">
        <v>631</v>
      </c>
      <c r="C48" s="816">
        <v>50</v>
      </c>
      <c r="D48" s="816">
        <f>SIB_CCOL_Cap</f>
        <v>50</v>
      </c>
      <c r="E48" s="817" t="str">
        <f t="shared" si="1"/>
        <v>PASS</v>
      </c>
      <c r="F48" s="818" t="s">
        <v>561</v>
      </c>
      <c r="G48" s="840" t="s">
        <v>617</v>
      </c>
    </row>
    <row r="49" spans="1:7" x14ac:dyDescent="0.3">
      <c r="A49" s="830" t="s">
        <v>632</v>
      </c>
      <c r="B49" s="811" t="s">
        <v>633</v>
      </c>
      <c r="C49" s="819">
        <v>47208</v>
      </c>
      <c r="D49" s="819">
        <f>RBL_TL_Maturity</f>
        <v>47208</v>
      </c>
      <c r="E49" s="813" t="str">
        <f t="shared" si="1"/>
        <v>PASS</v>
      </c>
      <c r="F49" s="818" t="s">
        <v>561</v>
      </c>
      <c r="G49" s="841" t="s">
        <v>634</v>
      </c>
    </row>
    <row r="50" spans="1:7" x14ac:dyDescent="0.3">
      <c r="A50" s="831" t="s">
        <v>635</v>
      </c>
      <c r="B50" s="815" t="s">
        <v>636</v>
      </c>
      <c r="C50" s="820">
        <v>45747</v>
      </c>
      <c r="D50" s="820">
        <f>YBL_TL_RepStart</f>
        <v>45747</v>
      </c>
      <c r="E50" s="817" t="str">
        <f t="shared" si="1"/>
        <v>PASS</v>
      </c>
      <c r="F50" s="818" t="s">
        <v>561</v>
      </c>
      <c r="G50" s="841" t="s">
        <v>634</v>
      </c>
    </row>
    <row r="51" spans="1:7" x14ac:dyDescent="0.3">
      <c r="A51" s="830" t="s">
        <v>637</v>
      </c>
      <c r="B51" s="811" t="s">
        <v>638</v>
      </c>
      <c r="C51" s="819">
        <v>49948</v>
      </c>
      <c r="D51" s="819">
        <f>YBL_TL_Maturity</f>
        <v>49948</v>
      </c>
      <c r="E51" s="813" t="str">
        <f t="shared" si="1"/>
        <v>PASS</v>
      </c>
      <c r="F51" s="818" t="s">
        <v>561</v>
      </c>
      <c r="G51" s="841" t="s">
        <v>634</v>
      </c>
    </row>
    <row r="52" spans="1:7" x14ac:dyDescent="0.3">
      <c r="A52" s="831" t="s">
        <v>639</v>
      </c>
      <c r="B52" s="815" t="s">
        <v>640</v>
      </c>
      <c r="C52" s="820">
        <v>48822</v>
      </c>
      <c r="D52" s="820">
        <f>Bajaj_TL_Maturity</f>
        <v>48822</v>
      </c>
      <c r="E52" s="817" t="str">
        <f t="shared" si="1"/>
        <v>PASS</v>
      </c>
      <c r="F52" s="818" t="s">
        <v>561</v>
      </c>
      <c r="G52" s="841" t="s">
        <v>634</v>
      </c>
    </row>
    <row r="53" spans="1:7" x14ac:dyDescent="0.3">
      <c r="A53" s="830" t="s">
        <v>641</v>
      </c>
      <c r="B53" s="811" t="s">
        <v>642</v>
      </c>
      <c r="C53" s="812">
        <v>1</v>
      </c>
      <c r="D53" s="812">
        <f>IF(AND(MCLR_RBL_1Y&gt;=0,MCLR_RBL_1Y&lt;=0.25),1,0)</f>
        <v>1</v>
      </c>
      <c r="E53" s="813" t="str">
        <f t="shared" si="1"/>
        <v>PASS</v>
      </c>
      <c r="F53" s="818" t="s">
        <v>561</v>
      </c>
      <c r="G53" s="842" t="s">
        <v>643</v>
      </c>
    </row>
    <row r="54" spans="1:7" x14ac:dyDescent="0.3">
      <c r="A54" s="831" t="s">
        <v>644</v>
      </c>
      <c r="B54" s="815" t="s">
        <v>645</v>
      </c>
      <c r="C54" s="816">
        <v>1</v>
      </c>
      <c r="D54" s="816">
        <f>IF(AND(MCLR_YBL_3M&gt;=0,MCLR_YBL_3M&lt;=0.25),1,0)</f>
        <v>1</v>
      </c>
      <c r="E54" s="817" t="str">
        <f t="shared" si="1"/>
        <v>PASS</v>
      </c>
      <c r="F54" s="818" t="s">
        <v>561</v>
      </c>
      <c r="G54" s="842" t="s">
        <v>643</v>
      </c>
    </row>
    <row r="55" spans="1:7" x14ac:dyDescent="0.3">
      <c r="A55" s="830" t="s">
        <v>646</v>
      </c>
      <c r="B55" s="811" t="s">
        <v>647</v>
      </c>
      <c r="C55" s="812">
        <v>1</v>
      </c>
      <c r="D55" s="812">
        <f>IF(AND(SOFR_3M&gt;=0,SOFR_3M&lt;=0.25),1,0)</f>
        <v>1</v>
      </c>
      <c r="E55" s="813" t="str">
        <f t="shared" si="1"/>
        <v>PASS</v>
      </c>
      <c r="F55" s="818" t="s">
        <v>561</v>
      </c>
      <c r="G55" s="842" t="s">
        <v>643</v>
      </c>
    </row>
    <row r="56" spans="1:7" x14ac:dyDescent="0.3">
      <c r="A56" s="831" t="s">
        <v>648</v>
      </c>
      <c r="B56" s="815" t="s">
        <v>649</v>
      </c>
      <c r="C56" s="816">
        <v>1</v>
      </c>
      <c r="D56" s="816">
        <f>IF(AND(BFRR_Bajaj&gt;=0,BFRR_Bajaj&lt;=0.25),1,0)</f>
        <v>1</v>
      </c>
      <c r="E56" s="817" t="str">
        <f t="shared" si="1"/>
        <v>PASS</v>
      </c>
      <c r="F56" s="818" t="s">
        <v>561</v>
      </c>
      <c r="G56" s="842" t="s">
        <v>643</v>
      </c>
    </row>
    <row r="57" spans="1:7" x14ac:dyDescent="0.3">
      <c r="A57" s="830" t="s">
        <v>650</v>
      </c>
      <c r="B57" s="811" t="s">
        <v>651</v>
      </c>
      <c r="C57" s="812">
        <v>1</v>
      </c>
      <c r="D57" s="812">
        <f>IF(OR(FinBasis="Actual",FinBasis="Projected"),1,0)</f>
        <v>1</v>
      </c>
      <c r="E57" s="813" t="str">
        <f t="shared" si="1"/>
        <v>PASS</v>
      </c>
      <c r="F57" s="814" t="s">
        <v>557</v>
      </c>
      <c r="G57" s="838" t="s">
        <v>597</v>
      </c>
    </row>
    <row r="58" spans="1:7" x14ac:dyDescent="0.3">
      <c r="A58" s="831" t="s">
        <v>652</v>
      </c>
      <c r="B58" s="815" t="s">
        <v>653</v>
      </c>
      <c r="C58" s="816">
        <v>1</v>
      </c>
      <c r="D58" s="816">
        <f>IF(Bucket1_DebtTotal&gt;0,1,0)</f>
        <v>1</v>
      </c>
      <c r="E58" s="817" t="str">
        <f t="shared" si="1"/>
        <v>PASS</v>
      </c>
      <c r="F58" s="814" t="s">
        <v>557</v>
      </c>
      <c r="G58" s="835" t="s">
        <v>339</v>
      </c>
    </row>
    <row r="59" spans="1:7" x14ac:dyDescent="0.3">
      <c r="A59" s="830" t="s">
        <v>654</v>
      </c>
      <c r="B59" s="811" t="s">
        <v>655</v>
      </c>
      <c r="C59" s="812">
        <v>0</v>
      </c>
      <c r="D59" s="812">
        <f>COUNTA('Facility Master'!A5:A38)-34</f>
        <v>0</v>
      </c>
      <c r="E59" s="813" t="str">
        <f t="shared" si="1"/>
        <v>PASS</v>
      </c>
      <c r="F59" s="814" t="s">
        <v>557</v>
      </c>
      <c r="G59" s="834" t="s">
        <v>558</v>
      </c>
    </row>
    <row r="60" spans="1:7" x14ac:dyDescent="0.3">
      <c r="A60" s="831" t="s">
        <v>656</v>
      </c>
      <c r="B60" s="815" t="s">
        <v>657</v>
      </c>
      <c r="C60" s="816">
        <v>11</v>
      </c>
      <c r="D60" s="816">
        <f>COUNTIF('Facility Master'!J5:J38,0)</f>
        <v>11</v>
      </c>
      <c r="E60" s="817" t="str">
        <f t="shared" si="1"/>
        <v>PASS</v>
      </c>
      <c r="F60" s="818" t="s">
        <v>561</v>
      </c>
      <c r="G60" s="834" t="s">
        <v>558</v>
      </c>
    </row>
    <row r="61" spans="1:7" x14ac:dyDescent="0.3">
      <c r="A61" s="830" t="s">
        <v>658</v>
      </c>
      <c r="B61" s="811" t="s">
        <v>659</v>
      </c>
      <c r="C61" s="812">
        <v>1</v>
      </c>
      <c r="D61" s="812">
        <f>IF(Bucket1_Interest&gt;0,1,0)</f>
        <v>1</v>
      </c>
      <c r="E61" s="813" t="str">
        <f t="shared" si="1"/>
        <v>PASS</v>
      </c>
      <c r="F61" s="821" t="s">
        <v>660</v>
      </c>
      <c r="G61" s="843" t="s">
        <v>661</v>
      </c>
    </row>
    <row r="62" spans="1:7" ht="15" thickBot="1" x14ac:dyDescent="0.35">
      <c r="A62" s="832" t="s">
        <v>662</v>
      </c>
      <c r="B62" s="825" t="s">
        <v>663</v>
      </c>
      <c r="C62" s="826">
        <v>1</v>
      </c>
      <c r="D62" s="826">
        <f>IF(TotalBankingExposure&gt;1000,1,0)</f>
        <v>1</v>
      </c>
      <c r="E62" s="827" t="str">
        <f t="shared" si="1"/>
        <v>PASS</v>
      </c>
      <c r="F62" s="828" t="s">
        <v>660</v>
      </c>
      <c r="G62" s="844" t="s">
        <v>661</v>
      </c>
    </row>
    <row r="63" spans="1:7" ht="15" thickBot="1" x14ac:dyDescent="0.35"/>
    <row r="64" spans="1:7" ht="22.05" customHeight="1" x14ac:dyDescent="0.3">
      <c r="A64" s="1407" t="s">
        <v>664</v>
      </c>
      <c r="B64" s="1408"/>
      <c r="C64" s="1408"/>
      <c r="D64" s="1408"/>
      <c r="E64" s="1408"/>
      <c r="F64" s="1408"/>
      <c r="G64" s="1409"/>
    </row>
    <row r="65" spans="1:7" x14ac:dyDescent="0.3">
      <c r="A65" s="851" t="s">
        <v>665</v>
      </c>
      <c r="B65" s="1412">
        <f>COUNTA(A13:A62)</f>
        <v>50</v>
      </c>
      <c r="C65" s="1412"/>
      <c r="D65" s="1412"/>
      <c r="E65" s="1412"/>
      <c r="F65" s="1412"/>
      <c r="G65" s="1413"/>
    </row>
    <row r="66" spans="1:7" x14ac:dyDescent="0.3">
      <c r="A66" s="852" t="s">
        <v>2</v>
      </c>
      <c r="B66" s="1414">
        <f>COUNTIF(E13:E62,"PASS")</f>
        <v>50</v>
      </c>
      <c r="C66" s="1414"/>
      <c r="D66" s="1414"/>
      <c r="E66" s="1414"/>
      <c r="F66" s="1414"/>
      <c r="G66" s="1415"/>
    </row>
    <row r="67" spans="1:7" x14ac:dyDescent="0.3">
      <c r="A67" s="851" t="s">
        <v>666</v>
      </c>
      <c r="B67" s="1416">
        <f>COUNTIF(E13:E62,"FAIL")</f>
        <v>0</v>
      </c>
      <c r="C67" s="1416"/>
      <c r="D67" s="1416"/>
      <c r="E67" s="1416"/>
      <c r="F67" s="1416"/>
      <c r="G67" s="1417"/>
    </row>
    <row r="68" spans="1:7" x14ac:dyDescent="0.3">
      <c r="A68" s="852" t="s">
        <v>667</v>
      </c>
      <c r="B68" s="1418">
        <f>COUNTIFS(E13:E62,"FAIL",F13:F62,"Critical")</f>
        <v>0</v>
      </c>
      <c r="C68" s="1418"/>
      <c r="D68" s="1418"/>
      <c r="E68" s="1418"/>
      <c r="F68" s="1418"/>
      <c r="G68" s="1419"/>
    </row>
    <row r="69" spans="1:7" ht="15" thickBot="1" x14ac:dyDescent="0.35">
      <c r="A69" s="853" t="s">
        <v>289</v>
      </c>
      <c r="B69" s="1410" t="str">
        <f>IF(B68=0,IF(B67=0,"✓ PASS",B67&amp;" non-critical for review"),"⚠ "&amp;B68&amp;" critical FAIL")</f>
        <v>✓ PASS</v>
      </c>
      <c r="C69" s="1410"/>
      <c r="D69" s="1410"/>
      <c r="E69" s="1410"/>
      <c r="F69" s="1410"/>
      <c r="G69" s="1411"/>
    </row>
  </sheetData>
  <mergeCells count="9">
    <mergeCell ref="A1:G1"/>
    <mergeCell ref="A2:G2"/>
    <mergeCell ref="A11:G11"/>
    <mergeCell ref="A64:G64"/>
    <mergeCell ref="B69:G69"/>
    <mergeCell ref="B65:G65"/>
    <mergeCell ref="B66:G66"/>
    <mergeCell ref="B67:G67"/>
    <mergeCell ref="B68:G68"/>
  </mergeCells>
  <conditionalFormatting sqref="E13:E62">
    <cfRule type="cellIs" dxfId="1" priority="1" operator="equal">
      <formula>"PASS"</formula>
    </cfRule>
    <cfRule type="cellIs" dxfId="0" priority="2" operator="equal">
      <formula>"FAIL"</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19</vt:i4>
      </vt:variant>
      <vt:variant>
        <vt:lpstr>Named Ranges</vt:lpstr>
      </vt:variant>
      <vt:variant>
        <vt:i4>106</vt:i4>
      </vt:variant>
    </vt:vector>
  </HeadingPairs>
  <TitlesOfParts>
    <vt:vector size="125" baseType="lpstr">
      <vt:lpstr>Cover Page</vt:lpstr>
      <vt:lpstr>Data Validation &amp; Checks</vt:lpstr>
      <vt:lpstr>Notes</vt:lpstr>
      <vt:lpstr>Dashboard</vt:lpstr>
      <vt:lpstr>Instructions &amp; Assumptions</vt:lpstr>
      <vt:lpstr>Facility Master</vt:lpstr>
      <vt:lpstr>Lender Summary</vt:lpstr>
      <vt:lpstr>Working Capital Facilities</vt:lpstr>
      <vt:lpstr>Term Loans</vt:lpstr>
      <vt:lpstr>Non-Fund Based Facilities</vt:lpstr>
      <vt:lpstr>Repayment Schedule</vt:lpstr>
      <vt:lpstr>Interest Schedule</vt:lpstr>
      <vt:lpstr>Covenant Tracker</vt:lpstr>
      <vt:lpstr>Security &amp; Charge Matrix</vt:lpstr>
      <vt:lpstr>Utilization Tracker</vt:lpstr>
      <vt:lpstr>Renewal &amp; Review Calendar</vt:lpstr>
      <vt:lpstr>Scenario Analysis</vt:lpstr>
      <vt:lpstr>Debt Pricing Table</vt:lpstr>
      <vt:lpstr>Validation Engine</vt:lpstr>
      <vt:lpstr>AsOfDate</vt:lpstr>
      <vt:lpstr>ATNW_Active</vt:lpstr>
      <vt:lpstr>Bajaj_TL_Maturity</vt:lpstr>
      <vt:lpstr>Bajaj_TL_PrincOS</vt:lpstr>
      <vt:lpstr>Bajaj_TL_PrincRepaid</vt:lpstr>
      <vt:lpstr>Bajaj_TL_SNo</vt:lpstr>
      <vt:lpstr>BFRR_Bajaj</vt:lpstr>
      <vt:lpstr>BMK_12M_MCLR_SIB</vt:lpstr>
      <vt:lpstr>BMK_1Y_MCLR_RBL</vt:lpstr>
      <vt:lpstr>BMK_3M_MCLR_YBL</vt:lpstr>
      <vt:lpstr>BMK_3M_TBILL</vt:lpstr>
      <vt:lpstr>BMK_6M_IMCLR_ICICI</vt:lpstr>
      <vt:lpstr>BMK_BFRR</vt:lpstr>
      <vt:lpstr>BMK_FD_RATE</vt:lpstr>
      <vt:lpstr>BMK_REPO</vt:lpstr>
      <vt:lpstr>BMK_TERM_SOFR</vt:lpstr>
      <vt:lpstr>Bucket1_DebtTotal</vt:lpstr>
      <vt:lpstr>Bucket1_Interest</vt:lpstr>
      <vt:lpstr>Bucket1_TL_Total</vt:lpstr>
      <vt:lpstr>Bucket1_WCFB_Total</vt:lpstr>
      <vt:lpstr>Bucket2_Commission</vt:lpstr>
      <vt:lpstr>Bucket2_NFBTotal</vt:lpstr>
      <vt:lpstr>Bucket3_Cost</vt:lpstr>
      <vt:lpstr>Bucket3_SeparateTotal</vt:lpstr>
      <vt:lpstr>CA_Active</vt:lpstr>
      <vt:lpstr>CL_Active</vt:lpstr>
      <vt:lpstr>CONS_DATES</vt:lpstr>
      <vt:lpstr>CONS_DS</vt:lpstr>
      <vt:lpstr>CONS_INTEREST</vt:lpstr>
      <vt:lpstr>CONS_PRINCIPAL</vt:lpstr>
      <vt:lpstr>CONS_SCHEDULE_START_ROW</vt:lpstr>
      <vt:lpstr>CovenantBreached</vt:lpstr>
      <vt:lpstr>CovenantCompliant</vt:lpstr>
      <vt:lpstr>CovenantCount</vt:lpstr>
      <vt:lpstr>CovenantNearBreach</vt:lpstr>
      <vt:lpstr>CovenantPending</vt:lpstr>
      <vt:lpstr>DaysInYear</vt:lpstr>
      <vt:lpstr>EBITDA_Active</vt:lpstr>
      <vt:lpstr>FA_Active</vt:lpstr>
      <vt:lpstr>FD_Rate_RBL</vt:lpstr>
      <vt:lpstr>FIN_ATNW</vt:lpstr>
      <vt:lpstr>FIN_CA</vt:lpstr>
      <vt:lpstr>FIN_CL</vt:lpstr>
      <vt:lpstr>FIN_EBITDA</vt:lpstr>
      <vt:lpstr>FIN_FA_NET</vt:lpstr>
      <vt:lpstr>FIN_INT_EXP</vt:lpstr>
      <vt:lpstr>FIN_PRINC_REP</vt:lpstr>
      <vt:lpstr>FIN_PROM_SHARE</vt:lpstr>
      <vt:lpstr>FIN_RATING</vt:lpstr>
      <vt:lpstr>FIN_SCHED_REPAY</vt:lpstr>
      <vt:lpstr>FIN_SEC_DEBT</vt:lpstr>
      <vt:lpstr>FIN_TAX_PAID</vt:lpstr>
      <vt:lpstr>FIN_TERM_DEBT</vt:lpstr>
      <vt:lpstr>FIN_TNW</vt:lpstr>
      <vt:lpstr>FIN_TOL</vt:lpstr>
      <vt:lpstr>FIN_TOTAL_DEBT</vt:lpstr>
      <vt:lpstr>FinancialBasis</vt:lpstr>
      <vt:lpstr>FinBasis</vt:lpstr>
      <vt:lpstr>FX_USD_INR</vt:lpstr>
      <vt:lpstr>ICICI_FB_Cap</vt:lpstr>
      <vt:lpstr>IMCLR_ICICI_6M</vt:lpstr>
      <vt:lpstr>IntExp_Active</vt:lpstr>
      <vt:lpstr>LenderFilter</vt:lpstr>
      <vt:lpstr>MCLR_RBL_1Y</vt:lpstr>
      <vt:lpstr>MCLR_SIB_12M</vt:lpstr>
      <vt:lpstr>MCLR_YBL_3M</vt:lpstr>
      <vt:lpstr>PortfolioCompliancePct</vt:lpstr>
      <vt:lpstr>PrinRepaid_Active</vt:lpstr>
      <vt:lpstr>PromStake_Active</vt:lpstr>
      <vt:lpstr>Rating_Active</vt:lpstr>
      <vt:lpstr>RBL_BC_CAPEX_Cap</vt:lpstr>
      <vt:lpstr>RBL_BC_WC_Cap</vt:lpstr>
      <vt:lpstr>RBL_INR_WC_Cap</vt:lpstr>
      <vt:lpstr>RBL_TL_Maturity</vt:lpstr>
      <vt:lpstr>RBL_TL_PrincOS</vt:lpstr>
      <vt:lpstr>RBL_TL_PrincRepaid</vt:lpstr>
      <vt:lpstr>RBL_TL_SNo</vt:lpstr>
      <vt:lpstr>RepoRate</vt:lpstr>
      <vt:lpstr>SchedTLRep_Active</vt:lpstr>
      <vt:lpstr>SecuredDebt_Active</vt:lpstr>
      <vt:lpstr>SIB_CCOL_Cap</vt:lpstr>
      <vt:lpstr>SOFR_3M</vt:lpstr>
      <vt:lpstr>TaxPaid_Active</vt:lpstr>
      <vt:lpstr>TBill_3M</vt:lpstr>
      <vt:lpstr>TermDebt_Active</vt:lpstr>
      <vt:lpstr>TL_21_PRINC_OUTSTD</vt:lpstr>
      <vt:lpstr>TL_21_PRINC_REPAID_TO_DATE</vt:lpstr>
      <vt:lpstr>TL_22_PRINC_OUTSTD</vt:lpstr>
      <vt:lpstr>TL_22_PRINC_REPAID_TO_DATE</vt:lpstr>
      <vt:lpstr>TL_9_PRINC_OUTSTD</vt:lpstr>
      <vt:lpstr>TL_9_PRINC_REPAID_TO_DATE</vt:lpstr>
      <vt:lpstr>TNW_Active</vt:lpstr>
      <vt:lpstr>TOL_Active</vt:lpstr>
      <vt:lpstr>Total_TL_PrincOS</vt:lpstr>
      <vt:lpstr>TotalBankingExposure</vt:lpstr>
      <vt:lpstr>TotalDebt_Active</vt:lpstr>
      <vt:lpstr>TotalIntComm</vt:lpstr>
      <vt:lpstr>UseFullUtil</vt:lpstr>
      <vt:lpstr>UseFullUtilisation</vt:lpstr>
      <vt:lpstr>VVE_Overall_Status</vt:lpstr>
      <vt:lpstr>WtAvgDebtCost</vt:lpstr>
      <vt:lpstr>YBL_TL_Maturity</vt:lpstr>
      <vt:lpstr>YBL_TL_PrincOS</vt:lpstr>
      <vt:lpstr>YBL_TL_PrincRepaid</vt:lpstr>
      <vt:lpstr>YBL_TL_RepStart</vt:lpstr>
      <vt:lpstr>YBL_TL_SNo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Divyanshu  Vatsa</cp:lastModifiedBy>
  <cp:revision>5</cp:revision>
  <dcterms:created xsi:type="dcterms:W3CDTF">2026-04-21T06:05:44Z</dcterms:created>
  <dcterms:modified xsi:type="dcterms:W3CDTF">2026-05-06T10:22:14Z</dcterms:modified>
  <dc:language>en-US</dc:language>
</cp:coreProperties>
</file>