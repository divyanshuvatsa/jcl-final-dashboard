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metadata/core-properties" Target="docProps/core0.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8D155CE3-9796-4FFA-8BCA-175EE02E57C7}" xr6:coauthVersionLast="47" xr6:coauthVersionMax="47" xr10:uidLastSave="{00000000-0000-0000-0000-000000000000}"/>
  <bookViews>
    <workbookView xWindow="-108" yWindow="-108" windowWidth="23256" windowHeight="12456" tabRatio="500" activeTab="4" xr2:uid="{00000000-000D-0000-FFFF-FFFF00000000}"/>
  </bookViews>
  <sheets>
    <sheet name="Cover Page" sheetId="1" r:id="rId1"/>
    <sheet name="Notes" sheetId="3" r:id="rId2"/>
    <sheet name="Dashboard" sheetId="4" r:id="rId3"/>
    <sheet name="Instructions &amp; Assumptions" sheetId="5" r:id="rId4"/>
    <sheet name="Facility Master" sheetId="6" r:id="rId5"/>
    <sheet name="Lender Summary" sheetId="7" r:id="rId6"/>
    <sheet name="Working Capital Facilities" sheetId="8" r:id="rId7"/>
    <sheet name="Term Loans" sheetId="9" r:id="rId8"/>
    <sheet name="Non-Fund Based Facilities" sheetId="10" r:id="rId9"/>
    <sheet name="Repayment Schedule" sheetId="11" r:id="rId10"/>
    <sheet name="Interest Schedule" sheetId="12" r:id="rId11"/>
    <sheet name="Covenant Tracker" sheetId="13" r:id="rId12"/>
    <sheet name="Security &amp; Charge Matrix" sheetId="14" r:id="rId13"/>
    <sheet name="Utilization Tracker" sheetId="15" r:id="rId14"/>
    <sheet name="Renewal &amp; Review Calendar" sheetId="16" r:id="rId15"/>
    <sheet name="Scenario Analysis" sheetId="17" r:id="rId16"/>
    <sheet name="Debt Pricing Table" sheetId="18" r:id="rId17"/>
    <sheet name="Validation Engine" sheetId="19" r:id="rId18"/>
  </sheets>
  <definedNames>
    <definedName name="_xlnm._FilterDatabase" localSheetId="4" hidden="1">'Facility Master'!$A$4:$AF$41</definedName>
    <definedName name="AsOfDate">'Instructions &amp; Assumptions'!$B$4</definedName>
    <definedName name="ATNW_Active">'Instructions &amp; Assumptions'!$B$28</definedName>
    <definedName name="Bajaj_TL_Maturity">'Instructions &amp; Assumptions'!$B$52</definedName>
    <definedName name="Bajaj_TL_PrincOS">'Repayment Schedule'!$D$63</definedName>
    <definedName name="Bajaj_TL_PrincRepaid">'Repayment Schedule'!$C$63</definedName>
    <definedName name="Bajaj_TL_SNo">'Instructions &amp; Assumptions'!$B$57</definedName>
    <definedName name="BFRR_Bajaj">'Instructions &amp; Assumptions'!$B$16</definedName>
    <definedName name="BMK_12M_MCLR_SIB">'Instructions &amp; Assumptions'!$C$18</definedName>
    <definedName name="BMK_1Y_MCLR_RBL">'Instructions &amp; Assumptions'!$C$15</definedName>
    <definedName name="BMK_3M_MCLR_YBL">'Instructions &amp; Assumptions'!$C$16</definedName>
    <definedName name="BMK_3M_TBILL">'Instructions &amp; Assumptions'!$C$13</definedName>
    <definedName name="BMK_6M_IMCLR_ICICI">'Instructions &amp; Assumptions'!$C$17</definedName>
    <definedName name="BMK_BFRR">'Instructions &amp; Assumptions'!$C$19</definedName>
    <definedName name="BMK_FD_RATE">'Instructions &amp; Assumptions'!$C$21</definedName>
    <definedName name="BMK_REPO">'Instructions &amp; Assumptions'!$C$14</definedName>
    <definedName name="BMK_TERM_SOFR">'Instructions &amp; Assumptions'!$C$20</definedName>
    <definedName name="Bucket1_DebtTotal">'Lender Summary'!$D$10</definedName>
    <definedName name="Bucket1_Interest">'Interest Schedule'!$I$40</definedName>
    <definedName name="Bucket1_TL_Total">'Lender Summary'!$B$10</definedName>
    <definedName name="CA_Active">'Instructions &amp; Assumptions'!$B$29</definedName>
    <definedName name="CL_Active">'Instructions &amp; Assumptions'!$B$30</definedName>
    <definedName name="CovenantBreached">'Covenant Tracker'!$B$33</definedName>
    <definedName name="CovenantCompliant">'Covenant Tracker'!$B$31</definedName>
    <definedName name="CovenantCount">'Covenant Tracker'!$B$30</definedName>
    <definedName name="CovenantNearBreach">'Covenant Tracker'!$B$32</definedName>
    <definedName name="CovenantPending">'Covenant Tracker'!$B$34</definedName>
    <definedName name="DaysInYear">'Instructions &amp; Assumptions'!$B$7</definedName>
    <definedName name="EBITDA_Active">'Instructions &amp; Assumptions'!$B$24</definedName>
    <definedName name="FA_Active">'Instructions &amp; Assumptions'!$B$33</definedName>
    <definedName name="FBMainsTotal">'Lender Summary'!$B$10</definedName>
    <definedName name="FD_Rate_RBL">'Instructions &amp; Assumptions'!$B$20</definedName>
    <definedName name="FDBackedTotal">'Lender Summary'!$D$30</definedName>
    <definedName name="FIN_ATNW">'Instructions &amp; Assumptions'!$C$29</definedName>
    <definedName name="FIN_CA">'Instructions &amp; Assumptions'!$C$30</definedName>
    <definedName name="FIN_CL">'Instructions &amp; Assumptions'!$C$31</definedName>
    <definedName name="FIN_EBITDA">'Instructions &amp; Assumptions'!$C$25</definedName>
    <definedName name="FIN_FA_NET">'Instructions &amp; Assumptions'!$C$34</definedName>
    <definedName name="FIN_INT_EXP">'Instructions &amp; Assumptions'!$C$33</definedName>
    <definedName name="FIN_PRINC_REP">'Instructions &amp; Assumptions'!$C$38</definedName>
    <definedName name="FIN_PROM_SHARE">'Instructions &amp; Assumptions'!$C$37</definedName>
    <definedName name="FIN_RATING">'Instructions &amp; Assumptions'!$C$36</definedName>
    <definedName name="FIN_SCHED_REPAY">'Instructions &amp; Assumptions'!$C$40</definedName>
    <definedName name="FIN_SEC_DEBT">'Instructions &amp; Assumptions'!$C$35</definedName>
    <definedName name="FIN_TAX_PAID">'Instructions &amp; Assumptions'!$C$39</definedName>
    <definedName name="FIN_TERM_DEBT">'Instructions &amp; Assumptions'!$C$27</definedName>
    <definedName name="FIN_TNW">'Instructions &amp; Assumptions'!$C$28</definedName>
    <definedName name="FIN_TOL">'Instructions &amp; Assumptions'!$C$32</definedName>
    <definedName name="FIN_TOTAL_DEBT">'Instructions &amp; Assumptions'!$C$26</definedName>
    <definedName name="FinancialBasis">'Instructions &amp; Assumptions'!$C$10</definedName>
    <definedName name="FinBasis">'Instructions &amp; Assumptions'!$B$8</definedName>
    <definedName name="FX_USD_INR">'Instructions &amp; Assumptions'!$B$5</definedName>
    <definedName name="HedgeNotionalTotal">'Lender Summary'!$C$37</definedName>
    <definedName name="IMCLR_ICICI_6M">'Instructions &amp; Assumptions'!$B$14</definedName>
    <definedName name="IntExp_Active">'Instructions &amp; Assumptions'!$B$32</definedName>
    <definedName name="LenderFilter">Dashboard!$H$5</definedName>
    <definedName name="MCLR_RBL_1Y">'Instructions &amp; Assumptions'!$B$12</definedName>
    <definedName name="MCLR_SIB_12M">'Instructions &amp; Assumptions'!$B$15</definedName>
    <definedName name="MCLR_YBL_3M">'Instructions &amp; Assumptions'!$B$13</definedName>
    <definedName name="NFBContingent">'Lender Summary'!$D$20</definedName>
    <definedName name="NFBMainsTotal">'Lender Summary'!$C$10</definedName>
    <definedName name="PortfolioCompliancePct">'Covenant Tracker'!$B$35</definedName>
    <definedName name="PrinRepaid_Active">'Instructions &amp; Assumptions'!$B$37</definedName>
    <definedName name="PromStake_Active">'Instructions &amp; Assumptions'!$B$36</definedName>
    <definedName name="Rating_Active">'Instructions &amp; Assumptions'!$B$35</definedName>
    <definedName name="RBL_TL_Maturity">'Instructions &amp; Assumptions'!$B$49</definedName>
    <definedName name="RBL_TL_PrincOS">'Repayment Schedule'!$D$61</definedName>
    <definedName name="RBL_TL_PrincRepaid">'Repayment Schedule'!$C$61</definedName>
    <definedName name="RBL_TL_SNo">'Instructions &amp; Assumptions'!$B$55</definedName>
    <definedName name="RepoRate">'Instructions &amp; Assumptions'!$B$19</definedName>
    <definedName name="SanctionedDebt">'Lender Summary'!$D$10</definedName>
    <definedName name="SchedTLRep_Active">'Instructions &amp; Assumptions'!$B$39</definedName>
    <definedName name="SecuredDebt_Active">'Instructions &amp; Assumptions'!$B$34</definedName>
    <definedName name="SOFR_3M">'Instructions &amp; Assumptions'!$B$17</definedName>
    <definedName name="TaxPaid_Active">'Instructions &amp; Assumptions'!$B$38</definedName>
    <definedName name="TBill_3M">'Instructions &amp; Assumptions'!$B$18</definedName>
    <definedName name="TermDebt_Active">'Instructions &amp; Assumptions'!$B$26</definedName>
    <definedName name="TNW_Active">'Instructions &amp; Assumptions'!$B$27</definedName>
    <definedName name="TOL_Active">'Instructions &amp; Assumptions'!$B$31</definedName>
    <definedName name="Total_TL_PrincOS">'Repayment Schedule'!$D$64</definedName>
    <definedName name="TotalDebt_Active">'Instructions &amp; Assumptions'!$B$25</definedName>
    <definedName name="TotalIntComm">'Interest Schedule'!$I$43</definedName>
    <definedName name="UseFullUtil">'Instructions &amp; Assumptions'!$B$6</definedName>
    <definedName name="UseFullUtilisation">'Instructions &amp; Assumptions'!$C$8</definedName>
    <definedName name="VVE_Overall_Status">'Validation Engine'!$B$69</definedName>
    <definedName name="WtAvgDebtCost">'Interest Schedule'!$I$44</definedName>
    <definedName name="YBL_TL_Maturity">'Instructions &amp; Assumptions'!$B$51</definedName>
    <definedName name="YBL_TL_PrincOS">'Repayment Schedule'!$D$62</definedName>
    <definedName name="YBL_TL_PrincRepaid">'Repayment Schedule'!$C$62</definedName>
    <definedName name="YBL_TL_RepStart">'Instructions &amp; Assumptions'!$B$50</definedName>
    <definedName name="YBL_TL_SNo">'Instructions &amp; Assumptions'!$B$56</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4" i="16" l="1"/>
  <c r="E5" i="16"/>
  <c r="E6" i="16"/>
  <c r="E7" i="16"/>
  <c r="E8" i="16"/>
  <c r="E9" i="16"/>
  <c r="E10" i="16"/>
  <c r="E11" i="16"/>
  <c r="E13" i="16"/>
  <c r="E14" i="16"/>
  <c r="E15" i="16"/>
  <c r="E16" i="16"/>
  <c r="E17" i="16"/>
  <c r="E18" i="16"/>
  <c r="E19" i="16"/>
  <c r="E20" i="16"/>
  <c r="E21" i="16"/>
  <c r="E22" i="16"/>
  <c r="E23" i="16"/>
  <c r="E26" i="16"/>
  <c r="E27" i="16"/>
  <c r="E28" i="16"/>
  <c r="E29" i="16"/>
  <c r="E30" i="16"/>
  <c r="E31" i="16"/>
  <c r="E32" i="16"/>
  <c r="E33" i="16"/>
  <c r="E34" i="16"/>
  <c r="E35" i="16"/>
  <c r="E36" i="16"/>
  <c r="E37" i="16"/>
  <c r="B52" i="5"/>
  <c r="B50" i="5"/>
  <c r="B4" i="5"/>
  <c r="D10" i="1" s="1"/>
  <c r="M13" i="6"/>
  <c r="E12" i="15" s="1"/>
  <c r="B65" i="19"/>
  <c r="D60" i="19"/>
  <c r="E60" i="19" s="1"/>
  <c r="D59" i="19"/>
  <c r="E59" i="19" s="1"/>
  <c r="D57" i="19"/>
  <c r="E57" i="19" s="1"/>
  <c r="D56" i="19"/>
  <c r="E56" i="19" s="1"/>
  <c r="D55" i="19"/>
  <c r="E55" i="19" s="1"/>
  <c r="D54" i="19"/>
  <c r="E54" i="19" s="1"/>
  <c r="D53" i="19"/>
  <c r="E53" i="19" s="1"/>
  <c r="D38" i="19"/>
  <c r="E38" i="19" s="1"/>
  <c r="D37" i="19"/>
  <c r="E37" i="19" s="1"/>
  <c r="D36" i="19"/>
  <c r="E36" i="19" s="1"/>
  <c r="D18" i="19" a="1"/>
  <c r="D18" i="19" s="1"/>
  <c r="E18" i="19" s="1"/>
  <c r="D17" i="19"/>
  <c r="E17" i="19" s="1"/>
  <c r="D16" i="19"/>
  <c r="E16" i="19" s="1"/>
  <c r="D15" i="19"/>
  <c r="E15" i="19" s="1"/>
  <c r="D13" i="19"/>
  <c r="E13" i="19" s="1"/>
  <c r="H37" i="18"/>
  <c r="F37" i="18"/>
  <c r="E37" i="18"/>
  <c r="D37" i="18"/>
  <c r="C37" i="18"/>
  <c r="B37" i="18"/>
  <c r="H36" i="18"/>
  <c r="F36" i="18"/>
  <c r="E36" i="18"/>
  <c r="D36" i="18"/>
  <c r="C36" i="18"/>
  <c r="B36" i="18"/>
  <c r="H35" i="18"/>
  <c r="F35" i="18"/>
  <c r="E35" i="18"/>
  <c r="D35" i="18"/>
  <c r="C35" i="18"/>
  <c r="B35" i="18"/>
  <c r="H34" i="18"/>
  <c r="F34" i="18"/>
  <c r="E34" i="18"/>
  <c r="D34" i="18"/>
  <c r="C34" i="18"/>
  <c r="B34" i="18"/>
  <c r="H33" i="18"/>
  <c r="F33" i="18"/>
  <c r="E33" i="18"/>
  <c r="D33" i="18"/>
  <c r="C33" i="18"/>
  <c r="B33" i="18"/>
  <c r="H32" i="18"/>
  <c r="F32" i="18"/>
  <c r="E32" i="18"/>
  <c r="D32" i="18"/>
  <c r="C32" i="18"/>
  <c r="B32" i="18"/>
  <c r="H31" i="18"/>
  <c r="F31" i="18"/>
  <c r="E31" i="18"/>
  <c r="D31" i="18"/>
  <c r="C31" i="18"/>
  <c r="B31" i="18"/>
  <c r="H30" i="18"/>
  <c r="F30" i="18"/>
  <c r="E30" i="18"/>
  <c r="D30" i="18"/>
  <c r="C30" i="18"/>
  <c r="B30" i="18"/>
  <c r="H29" i="18"/>
  <c r="F29" i="18"/>
  <c r="E29" i="18"/>
  <c r="D29" i="18"/>
  <c r="C29" i="18"/>
  <c r="B29" i="18"/>
  <c r="H28" i="18"/>
  <c r="F28" i="18"/>
  <c r="E28" i="18"/>
  <c r="D28" i="18"/>
  <c r="C28" i="18"/>
  <c r="B28" i="18"/>
  <c r="H27" i="18"/>
  <c r="F27" i="18"/>
  <c r="E27" i="18"/>
  <c r="D27" i="18"/>
  <c r="C27" i="18"/>
  <c r="B27" i="18"/>
  <c r="H26" i="18"/>
  <c r="F26" i="18"/>
  <c r="E26" i="18"/>
  <c r="D26" i="18"/>
  <c r="C26" i="18"/>
  <c r="B26" i="18"/>
  <c r="H25" i="18"/>
  <c r="F25" i="18"/>
  <c r="E25" i="18"/>
  <c r="D25" i="18"/>
  <c r="C25" i="18"/>
  <c r="B25" i="18"/>
  <c r="H24" i="18"/>
  <c r="F24" i="18"/>
  <c r="E24" i="18"/>
  <c r="D24" i="18"/>
  <c r="C24" i="18"/>
  <c r="B24" i="18"/>
  <c r="H23" i="18"/>
  <c r="F23" i="18"/>
  <c r="E23" i="18"/>
  <c r="D23" i="18"/>
  <c r="C23" i="18"/>
  <c r="B23" i="18"/>
  <c r="H22" i="18"/>
  <c r="F22" i="18"/>
  <c r="E22" i="18"/>
  <c r="D22" i="18"/>
  <c r="C22" i="18"/>
  <c r="B22" i="18"/>
  <c r="H21" i="18"/>
  <c r="F21" i="18"/>
  <c r="E21" i="18"/>
  <c r="D21" i="18"/>
  <c r="C21" i="18"/>
  <c r="B21" i="18"/>
  <c r="H20" i="18"/>
  <c r="F20" i="18"/>
  <c r="E20" i="18"/>
  <c r="D20" i="18"/>
  <c r="C20" i="18"/>
  <c r="B20" i="18"/>
  <c r="H19" i="18"/>
  <c r="F19" i="18"/>
  <c r="E19" i="18"/>
  <c r="D19" i="18"/>
  <c r="C19" i="18"/>
  <c r="B19" i="18"/>
  <c r="H18" i="18"/>
  <c r="F18" i="18"/>
  <c r="E18" i="18"/>
  <c r="D18" i="18"/>
  <c r="C18" i="18"/>
  <c r="B18" i="18"/>
  <c r="H17" i="18"/>
  <c r="F17" i="18"/>
  <c r="E17" i="18"/>
  <c r="D17" i="18"/>
  <c r="C17" i="18"/>
  <c r="B17" i="18"/>
  <c r="H16" i="18"/>
  <c r="F16" i="18"/>
  <c r="E16" i="18"/>
  <c r="D16" i="18"/>
  <c r="C16" i="18"/>
  <c r="B16" i="18"/>
  <c r="H15" i="18"/>
  <c r="F15" i="18"/>
  <c r="E15" i="18"/>
  <c r="D15" i="18"/>
  <c r="C15" i="18"/>
  <c r="B15" i="18"/>
  <c r="H14" i="18"/>
  <c r="F14" i="18"/>
  <c r="E14" i="18"/>
  <c r="D14" i="18"/>
  <c r="C14" i="18"/>
  <c r="B14" i="18"/>
  <c r="H13" i="18"/>
  <c r="F13" i="18"/>
  <c r="E13" i="18"/>
  <c r="D13" i="18"/>
  <c r="C13" i="18"/>
  <c r="B13" i="18"/>
  <c r="H12" i="18"/>
  <c r="F12" i="18"/>
  <c r="E12" i="18"/>
  <c r="D12" i="18"/>
  <c r="C12" i="18"/>
  <c r="B12" i="18"/>
  <c r="H11" i="18"/>
  <c r="F11" i="18"/>
  <c r="E11" i="18"/>
  <c r="D11" i="18"/>
  <c r="C11" i="18"/>
  <c r="B11" i="18"/>
  <c r="H10" i="18"/>
  <c r="F10" i="18"/>
  <c r="E10" i="18"/>
  <c r="D10" i="18"/>
  <c r="C10" i="18"/>
  <c r="B10" i="18"/>
  <c r="H9" i="18"/>
  <c r="F9" i="18"/>
  <c r="E9" i="18"/>
  <c r="D9" i="18"/>
  <c r="C9" i="18"/>
  <c r="B9" i="18"/>
  <c r="H8" i="18"/>
  <c r="F8" i="18"/>
  <c r="E8" i="18"/>
  <c r="D8" i="18"/>
  <c r="C8" i="18"/>
  <c r="B8" i="18"/>
  <c r="H7" i="18"/>
  <c r="F7" i="18"/>
  <c r="E7" i="18"/>
  <c r="D7" i="18"/>
  <c r="C7" i="18"/>
  <c r="B7" i="18"/>
  <c r="H6" i="18"/>
  <c r="F6" i="18"/>
  <c r="E6" i="18"/>
  <c r="D6" i="18"/>
  <c r="C6" i="18"/>
  <c r="B6" i="18"/>
  <c r="H5" i="18"/>
  <c r="F5" i="18"/>
  <c r="E5" i="18"/>
  <c r="D5" i="18"/>
  <c r="C5" i="18"/>
  <c r="B5" i="18"/>
  <c r="H4" i="18"/>
  <c r="F4" i="18"/>
  <c r="E4" i="18"/>
  <c r="D4" i="18"/>
  <c r="C4" i="18"/>
  <c r="B4" i="18"/>
  <c r="D37" i="16"/>
  <c r="C37" i="16"/>
  <c r="B37" i="16"/>
  <c r="D36" i="16"/>
  <c r="C36" i="16"/>
  <c r="B36" i="16"/>
  <c r="D35" i="16"/>
  <c r="C35" i="16"/>
  <c r="B35" i="16"/>
  <c r="D34" i="16"/>
  <c r="C34" i="16"/>
  <c r="B34" i="16"/>
  <c r="D33" i="16"/>
  <c r="C33" i="16"/>
  <c r="B33" i="16"/>
  <c r="D32" i="16"/>
  <c r="C32" i="16"/>
  <c r="B32" i="16"/>
  <c r="D31" i="16"/>
  <c r="C31" i="16"/>
  <c r="B31" i="16"/>
  <c r="D30" i="16"/>
  <c r="C30" i="16"/>
  <c r="B30" i="16"/>
  <c r="D29" i="16"/>
  <c r="C29" i="16"/>
  <c r="B29" i="16"/>
  <c r="D28" i="16"/>
  <c r="C28" i="16"/>
  <c r="B28" i="16"/>
  <c r="D27" i="16"/>
  <c r="C27" i="16"/>
  <c r="B27" i="16"/>
  <c r="D26" i="16"/>
  <c r="C26" i="16"/>
  <c r="B26" i="16"/>
  <c r="D25" i="16"/>
  <c r="C25" i="16"/>
  <c r="B25" i="16"/>
  <c r="D24" i="16"/>
  <c r="C24" i="16"/>
  <c r="B24" i="16"/>
  <c r="D23" i="16"/>
  <c r="C23" i="16"/>
  <c r="B23" i="16"/>
  <c r="D22" i="16"/>
  <c r="C22" i="16"/>
  <c r="B22" i="16"/>
  <c r="D21" i="16"/>
  <c r="C21" i="16"/>
  <c r="B21" i="16"/>
  <c r="D20" i="16"/>
  <c r="C20" i="16"/>
  <c r="B20" i="16"/>
  <c r="D19" i="16"/>
  <c r="C19" i="16"/>
  <c r="B19" i="16"/>
  <c r="D18" i="16"/>
  <c r="C18" i="16"/>
  <c r="B18" i="16"/>
  <c r="D17" i="16"/>
  <c r="C17" i="16"/>
  <c r="B17" i="16"/>
  <c r="D16" i="16"/>
  <c r="C16" i="16"/>
  <c r="B16" i="16"/>
  <c r="D15" i="16"/>
  <c r="C15" i="16"/>
  <c r="B15" i="16"/>
  <c r="D14" i="16"/>
  <c r="C14" i="16"/>
  <c r="B14" i="16"/>
  <c r="D13" i="16"/>
  <c r="C13" i="16"/>
  <c r="B13" i="16"/>
  <c r="D12" i="16"/>
  <c r="C12" i="16"/>
  <c r="B12" i="16"/>
  <c r="D11" i="16"/>
  <c r="C11" i="16"/>
  <c r="B11" i="16"/>
  <c r="D10" i="16"/>
  <c r="C10" i="16"/>
  <c r="B10" i="16"/>
  <c r="D9" i="16"/>
  <c r="C9" i="16"/>
  <c r="B9" i="16"/>
  <c r="D8" i="16"/>
  <c r="C8" i="16"/>
  <c r="B8" i="16"/>
  <c r="D7" i="16"/>
  <c r="C7" i="16"/>
  <c r="B7" i="16"/>
  <c r="D6" i="16"/>
  <c r="C6" i="16"/>
  <c r="B6" i="16"/>
  <c r="D5" i="16"/>
  <c r="C5" i="16"/>
  <c r="B5" i="16"/>
  <c r="D4" i="16"/>
  <c r="C4" i="16"/>
  <c r="B4" i="16"/>
  <c r="C37" i="15"/>
  <c r="B37" i="15"/>
  <c r="C36" i="15"/>
  <c r="B36" i="15"/>
  <c r="C35" i="15"/>
  <c r="B35" i="15"/>
  <c r="C34" i="15"/>
  <c r="B34" i="15"/>
  <c r="C33" i="15"/>
  <c r="B33" i="15"/>
  <c r="C32" i="15"/>
  <c r="B32" i="15"/>
  <c r="C31" i="15"/>
  <c r="B31" i="15"/>
  <c r="C30" i="15"/>
  <c r="B30" i="15"/>
  <c r="C29" i="15"/>
  <c r="B29" i="15"/>
  <c r="C28" i="15"/>
  <c r="B28" i="15"/>
  <c r="C27" i="15"/>
  <c r="B27" i="15"/>
  <c r="C26" i="15"/>
  <c r="B26" i="15"/>
  <c r="C25" i="15"/>
  <c r="B25" i="15"/>
  <c r="C24" i="15"/>
  <c r="B24" i="15"/>
  <c r="C23" i="15"/>
  <c r="B23" i="15"/>
  <c r="C22" i="15"/>
  <c r="B22" i="15"/>
  <c r="C21" i="15"/>
  <c r="B21" i="15"/>
  <c r="C20" i="15"/>
  <c r="B20" i="15"/>
  <c r="C19" i="15"/>
  <c r="B19" i="15"/>
  <c r="D18" i="15"/>
  <c r="C18" i="15"/>
  <c r="B18" i="15"/>
  <c r="D17" i="15"/>
  <c r="C17" i="15"/>
  <c r="B17" i="15"/>
  <c r="C16" i="15"/>
  <c r="B16" i="15"/>
  <c r="C15" i="15"/>
  <c r="B15" i="15"/>
  <c r="C14" i="15"/>
  <c r="B14" i="15"/>
  <c r="C13" i="15"/>
  <c r="B13" i="15"/>
  <c r="C12" i="15"/>
  <c r="B12" i="15"/>
  <c r="C11" i="15"/>
  <c r="B11" i="15"/>
  <c r="C10" i="15"/>
  <c r="B10" i="15"/>
  <c r="C9" i="15"/>
  <c r="B9" i="15"/>
  <c r="C8" i="15"/>
  <c r="B8" i="15"/>
  <c r="C7" i="15"/>
  <c r="B7" i="15"/>
  <c r="C6" i="15"/>
  <c r="B6" i="15"/>
  <c r="C5" i="15"/>
  <c r="B5" i="15"/>
  <c r="C4" i="15"/>
  <c r="B4" i="15"/>
  <c r="D8" i="14"/>
  <c r="B8" i="14"/>
  <c r="D7" i="14"/>
  <c r="B7" i="14"/>
  <c r="D6" i="14"/>
  <c r="B6" i="14"/>
  <c r="D5" i="14"/>
  <c r="B5" i="14"/>
  <c r="D4" i="14"/>
  <c r="B4" i="14"/>
  <c r="B30" i="13"/>
  <c r="D31" i="19" s="1"/>
  <c r="E31" i="19" s="1"/>
  <c r="B7" i="19" s="1"/>
  <c r="K37" i="12"/>
  <c r="J37" i="12"/>
  <c r="E37" i="12"/>
  <c r="D37" i="12"/>
  <c r="C37" i="12"/>
  <c r="B37" i="12"/>
  <c r="K36" i="12"/>
  <c r="J36" i="12"/>
  <c r="E36" i="12"/>
  <c r="D36" i="12"/>
  <c r="C36" i="12"/>
  <c r="B36" i="12"/>
  <c r="K35" i="12"/>
  <c r="J35" i="12"/>
  <c r="E35" i="12"/>
  <c r="D35" i="12"/>
  <c r="C35" i="12"/>
  <c r="B35" i="12"/>
  <c r="K34" i="12"/>
  <c r="J34" i="12"/>
  <c r="E34" i="12"/>
  <c r="D34" i="12"/>
  <c r="C34" i="12"/>
  <c r="B34" i="12"/>
  <c r="K33" i="12"/>
  <c r="J33" i="12"/>
  <c r="E33" i="12"/>
  <c r="D33" i="12"/>
  <c r="C33" i="12"/>
  <c r="B33" i="12"/>
  <c r="K32" i="12"/>
  <c r="J32" i="12"/>
  <c r="E32" i="12"/>
  <c r="D32" i="12"/>
  <c r="C32" i="12"/>
  <c r="B32" i="12"/>
  <c r="K31" i="12"/>
  <c r="J31" i="12"/>
  <c r="E31" i="12"/>
  <c r="D31" i="12"/>
  <c r="C31" i="12"/>
  <c r="B31" i="12"/>
  <c r="K30" i="12"/>
  <c r="J30" i="12"/>
  <c r="E30" i="12"/>
  <c r="D30" i="12"/>
  <c r="C30" i="12"/>
  <c r="B30" i="12"/>
  <c r="K29" i="12"/>
  <c r="J29" i="12"/>
  <c r="E29" i="12"/>
  <c r="D29" i="12"/>
  <c r="C29" i="12"/>
  <c r="B29" i="12"/>
  <c r="K28" i="12"/>
  <c r="J28" i="12"/>
  <c r="E28" i="12"/>
  <c r="D28" i="12"/>
  <c r="C28" i="12"/>
  <c r="B28" i="12"/>
  <c r="K27" i="12"/>
  <c r="J27" i="12"/>
  <c r="E27" i="12"/>
  <c r="D27" i="12"/>
  <c r="C27" i="12"/>
  <c r="B27" i="12"/>
  <c r="K26" i="12"/>
  <c r="J26" i="12"/>
  <c r="E26" i="12"/>
  <c r="D26" i="12"/>
  <c r="C26" i="12"/>
  <c r="B26" i="12"/>
  <c r="J25" i="12"/>
  <c r="E25" i="12"/>
  <c r="D25" i="12"/>
  <c r="C25" i="12"/>
  <c r="B25" i="12"/>
  <c r="J24" i="12"/>
  <c r="E24" i="12"/>
  <c r="D24" i="12"/>
  <c r="C24" i="12"/>
  <c r="B24" i="12"/>
  <c r="K23" i="12"/>
  <c r="J23" i="12"/>
  <c r="E23" i="12"/>
  <c r="D23" i="12"/>
  <c r="C23" i="12"/>
  <c r="B23" i="12"/>
  <c r="K22" i="12"/>
  <c r="J22" i="12"/>
  <c r="E22" i="12"/>
  <c r="D22" i="12"/>
  <c r="C22" i="12"/>
  <c r="B22" i="12"/>
  <c r="K21" i="12"/>
  <c r="J21" i="12"/>
  <c r="E21" i="12"/>
  <c r="D21" i="12"/>
  <c r="C21" i="12"/>
  <c r="B21" i="12"/>
  <c r="K20" i="12"/>
  <c r="J20" i="12"/>
  <c r="E20" i="12"/>
  <c r="D20" i="12"/>
  <c r="C20" i="12"/>
  <c r="B20" i="12"/>
  <c r="K19" i="12"/>
  <c r="J19" i="12"/>
  <c r="E19" i="12"/>
  <c r="D19" i="12"/>
  <c r="C19" i="12"/>
  <c r="B19" i="12"/>
  <c r="K18" i="12"/>
  <c r="J18" i="12"/>
  <c r="F18" i="12"/>
  <c r="E18" i="12"/>
  <c r="D18" i="12"/>
  <c r="C18" i="12"/>
  <c r="B18" i="12"/>
  <c r="K17" i="12"/>
  <c r="J17" i="12"/>
  <c r="F17" i="12"/>
  <c r="E17" i="12"/>
  <c r="D17" i="12"/>
  <c r="C17" i="12"/>
  <c r="B17" i="12"/>
  <c r="K16" i="12"/>
  <c r="J16" i="12"/>
  <c r="E16" i="12"/>
  <c r="D16" i="12"/>
  <c r="C16" i="12"/>
  <c r="B16" i="12"/>
  <c r="K15" i="12"/>
  <c r="J15" i="12"/>
  <c r="E15" i="12"/>
  <c r="D15" i="12"/>
  <c r="C15" i="12"/>
  <c r="B15" i="12"/>
  <c r="K14" i="12"/>
  <c r="J14" i="12"/>
  <c r="E14" i="12"/>
  <c r="D14" i="12"/>
  <c r="C14" i="12"/>
  <c r="B14" i="12"/>
  <c r="K13" i="12"/>
  <c r="J13" i="12"/>
  <c r="E13" i="12"/>
  <c r="D13" i="12"/>
  <c r="C13" i="12"/>
  <c r="B13" i="12"/>
  <c r="K12" i="12"/>
  <c r="J12" i="12"/>
  <c r="E12" i="12"/>
  <c r="D12" i="12"/>
  <c r="C12" i="12"/>
  <c r="B12" i="12"/>
  <c r="K11" i="12"/>
  <c r="J11" i="12"/>
  <c r="E11" i="12"/>
  <c r="D11" i="12"/>
  <c r="C11" i="12"/>
  <c r="B11" i="12"/>
  <c r="K10" i="12"/>
  <c r="J10" i="12"/>
  <c r="E10" i="12"/>
  <c r="D10" i="12"/>
  <c r="C10" i="12"/>
  <c r="B10" i="12"/>
  <c r="K9" i="12"/>
  <c r="J9" i="12"/>
  <c r="E9" i="12"/>
  <c r="D9" i="12"/>
  <c r="C9" i="12"/>
  <c r="B9" i="12"/>
  <c r="K8" i="12"/>
  <c r="J8" i="12"/>
  <c r="E8" i="12"/>
  <c r="D8" i="12"/>
  <c r="C8" i="12"/>
  <c r="B8" i="12"/>
  <c r="K7" i="12"/>
  <c r="J7" i="12"/>
  <c r="E7" i="12"/>
  <c r="D7" i="12"/>
  <c r="C7" i="12"/>
  <c r="B7" i="12"/>
  <c r="K6" i="12"/>
  <c r="J6" i="12"/>
  <c r="E6" i="12"/>
  <c r="D6" i="12"/>
  <c r="C6" i="12"/>
  <c r="B6" i="12"/>
  <c r="K5" i="12"/>
  <c r="J5" i="12"/>
  <c r="E5" i="12"/>
  <c r="D5" i="12"/>
  <c r="C5" i="12"/>
  <c r="B5" i="12"/>
  <c r="K4" i="12"/>
  <c r="J4" i="12"/>
  <c r="E4" i="12"/>
  <c r="D4" i="12"/>
  <c r="C4" i="12"/>
  <c r="B4" i="12"/>
  <c r="G246" i="11"/>
  <c r="F246" i="11"/>
  <c r="E246" i="11"/>
  <c r="O57" i="11"/>
  <c r="J57" i="11"/>
  <c r="O56" i="11"/>
  <c r="J56" i="11"/>
  <c r="O55" i="11"/>
  <c r="J55" i="11"/>
  <c r="O54" i="11"/>
  <c r="J54" i="11"/>
  <c r="O53" i="11"/>
  <c r="J53" i="11"/>
  <c r="O52" i="11"/>
  <c r="J52" i="11"/>
  <c r="O51" i="11"/>
  <c r="J51" i="11"/>
  <c r="O50" i="11"/>
  <c r="J50" i="11"/>
  <c r="O49" i="11"/>
  <c r="J49" i="11"/>
  <c r="O48" i="11"/>
  <c r="J48" i="11"/>
  <c r="O47" i="11"/>
  <c r="J47" i="11"/>
  <c r="O46" i="11"/>
  <c r="J46" i="11"/>
  <c r="O45" i="11"/>
  <c r="J45" i="11"/>
  <c r="O44" i="11"/>
  <c r="J44" i="11"/>
  <c r="O43" i="11"/>
  <c r="J43" i="11"/>
  <c r="O42" i="11"/>
  <c r="J42" i="11"/>
  <c r="O41" i="11"/>
  <c r="J41" i="11"/>
  <c r="O40" i="11"/>
  <c r="J40" i="11"/>
  <c r="O39" i="11"/>
  <c r="J39" i="11"/>
  <c r="O38" i="11"/>
  <c r="J38" i="11"/>
  <c r="O37" i="11"/>
  <c r="J37" i="11"/>
  <c r="O36" i="11"/>
  <c r="J36" i="11"/>
  <c r="O35" i="11"/>
  <c r="J35" i="11"/>
  <c r="O34" i="11"/>
  <c r="J34" i="11"/>
  <c r="O33" i="11"/>
  <c r="J33" i="11"/>
  <c r="O32" i="11"/>
  <c r="J32" i="11"/>
  <c r="O31" i="11"/>
  <c r="J31" i="11"/>
  <c r="O30" i="11"/>
  <c r="J30" i="11"/>
  <c r="O29" i="11"/>
  <c r="J29" i="11"/>
  <c r="O28" i="11"/>
  <c r="J28" i="11"/>
  <c r="O27" i="11"/>
  <c r="J27" i="11"/>
  <c r="O26" i="11"/>
  <c r="J26" i="11"/>
  <c r="O25" i="11"/>
  <c r="J25" i="11"/>
  <c r="O24" i="11"/>
  <c r="J24" i="11"/>
  <c r="O23" i="11"/>
  <c r="J23" i="11"/>
  <c r="O22" i="11"/>
  <c r="J22" i="11"/>
  <c r="O21" i="11"/>
  <c r="J21" i="11"/>
  <c r="O20" i="11"/>
  <c r="J20" i="11"/>
  <c r="O19" i="11"/>
  <c r="J19" i="11"/>
  <c r="O18" i="11"/>
  <c r="J18" i="11"/>
  <c r="O17" i="11"/>
  <c r="J17" i="11"/>
  <c r="O16" i="11"/>
  <c r="J16" i="11"/>
  <c r="O15" i="11"/>
  <c r="J15" i="11"/>
  <c r="O14" i="11"/>
  <c r="J14" i="11"/>
  <c r="O13" i="11"/>
  <c r="J13" i="11"/>
  <c r="O12" i="11"/>
  <c r="J12" i="11"/>
  <c r="J11" i="11"/>
  <c r="O10" i="11"/>
  <c r="J10" i="11"/>
  <c r="O9" i="11"/>
  <c r="J9" i="11"/>
  <c r="O8" i="11"/>
  <c r="O7" i="11"/>
  <c r="J7" i="11"/>
  <c r="O6" i="11"/>
  <c r="J6" i="11"/>
  <c r="O5" i="11"/>
  <c r="N5" i="11"/>
  <c r="J5" i="11"/>
  <c r="I5" i="11"/>
  <c r="L20" i="10"/>
  <c r="K20" i="10"/>
  <c r="D20" i="10"/>
  <c r="C20" i="10"/>
  <c r="B20" i="10"/>
  <c r="L19" i="10"/>
  <c r="K19" i="10"/>
  <c r="D19" i="10"/>
  <c r="C19" i="10"/>
  <c r="B19" i="10"/>
  <c r="L18" i="10"/>
  <c r="K18" i="10"/>
  <c r="D18" i="10"/>
  <c r="C18" i="10"/>
  <c r="B18" i="10"/>
  <c r="L17" i="10"/>
  <c r="K17" i="10"/>
  <c r="D17" i="10"/>
  <c r="C17" i="10"/>
  <c r="B17" i="10"/>
  <c r="L16" i="10"/>
  <c r="K16" i="10"/>
  <c r="D16" i="10"/>
  <c r="C16" i="10"/>
  <c r="B16" i="10"/>
  <c r="L15" i="10"/>
  <c r="K15" i="10"/>
  <c r="D15" i="10"/>
  <c r="C15" i="10"/>
  <c r="B15" i="10"/>
  <c r="L14" i="10"/>
  <c r="K14" i="10"/>
  <c r="D14" i="10"/>
  <c r="C14" i="10"/>
  <c r="B14" i="10"/>
  <c r="L13" i="10"/>
  <c r="K13" i="10"/>
  <c r="D13" i="10"/>
  <c r="C13" i="10"/>
  <c r="B13" i="10"/>
  <c r="L12" i="10"/>
  <c r="K12" i="10"/>
  <c r="D12" i="10"/>
  <c r="C12" i="10"/>
  <c r="B12" i="10"/>
  <c r="L11" i="10"/>
  <c r="K11" i="10"/>
  <c r="D11" i="10"/>
  <c r="C11" i="10"/>
  <c r="B11" i="10"/>
  <c r="L10" i="10"/>
  <c r="K10" i="10"/>
  <c r="D10" i="10"/>
  <c r="C10" i="10"/>
  <c r="B10" i="10"/>
  <c r="L9" i="10"/>
  <c r="K9" i="10"/>
  <c r="D9" i="10"/>
  <c r="C9" i="10"/>
  <c r="B9" i="10"/>
  <c r="L8" i="10"/>
  <c r="K8" i="10"/>
  <c r="D8" i="10"/>
  <c r="C8" i="10"/>
  <c r="B8" i="10"/>
  <c r="L7" i="10"/>
  <c r="K7" i="10"/>
  <c r="D7" i="10"/>
  <c r="C7" i="10"/>
  <c r="B7" i="10"/>
  <c r="L6" i="10"/>
  <c r="K6" i="10"/>
  <c r="D6" i="10"/>
  <c r="C6" i="10"/>
  <c r="B6" i="10"/>
  <c r="L5" i="10"/>
  <c r="K5" i="10"/>
  <c r="D5" i="10"/>
  <c r="C5" i="10"/>
  <c r="B5" i="10"/>
  <c r="L4" i="10"/>
  <c r="K4" i="10"/>
  <c r="D4" i="10"/>
  <c r="C4" i="10"/>
  <c r="B4" i="10"/>
  <c r="B17" i="9"/>
  <c r="D14" i="9"/>
  <c r="C14" i="9"/>
  <c r="B14" i="9"/>
  <c r="D13" i="9"/>
  <c r="C13" i="9"/>
  <c r="B13" i="9"/>
  <c r="D12" i="9"/>
  <c r="C12" i="9"/>
  <c r="B12" i="9"/>
  <c r="D9" i="9"/>
  <c r="C9" i="9"/>
  <c r="B9" i="9"/>
  <c r="D6" i="9"/>
  <c r="C6" i="9"/>
  <c r="B6" i="9"/>
  <c r="D5" i="9"/>
  <c r="C5" i="9"/>
  <c r="B5" i="9"/>
  <c r="L19" i="8"/>
  <c r="K19" i="8"/>
  <c r="F19" i="8"/>
  <c r="D19" i="8"/>
  <c r="C19" i="8"/>
  <c r="B19" i="8"/>
  <c r="L18" i="8"/>
  <c r="K18" i="8"/>
  <c r="F18" i="8"/>
  <c r="D18" i="8"/>
  <c r="C18" i="8"/>
  <c r="B18" i="8"/>
  <c r="L17" i="8"/>
  <c r="K17" i="8"/>
  <c r="F17" i="8"/>
  <c r="D17" i="8"/>
  <c r="C17" i="8"/>
  <c r="B17" i="8"/>
  <c r="L16" i="8"/>
  <c r="K16" i="8"/>
  <c r="F16" i="8"/>
  <c r="D16" i="8"/>
  <c r="C16" i="8"/>
  <c r="B16" i="8"/>
  <c r="L15" i="8"/>
  <c r="K15" i="8"/>
  <c r="F15" i="8"/>
  <c r="D15" i="8"/>
  <c r="C15" i="8"/>
  <c r="B15" i="8"/>
  <c r="L14" i="8"/>
  <c r="K14" i="8"/>
  <c r="F14" i="8"/>
  <c r="D14" i="8"/>
  <c r="C14" i="8"/>
  <c r="B14" i="8"/>
  <c r="L13" i="8"/>
  <c r="K13" i="8"/>
  <c r="F13" i="8"/>
  <c r="D13" i="8"/>
  <c r="C13" i="8"/>
  <c r="B13" i="8"/>
  <c r="L12" i="8"/>
  <c r="K12" i="8"/>
  <c r="G12" i="8"/>
  <c r="F12" i="8"/>
  <c r="D12" i="8"/>
  <c r="C12" i="8"/>
  <c r="B12" i="8"/>
  <c r="L10" i="8"/>
  <c r="K10" i="8"/>
  <c r="G10" i="8"/>
  <c r="F10" i="8"/>
  <c r="D10" i="8"/>
  <c r="C10" i="8"/>
  <c r="B10" i="8"/>
  <c r="L9" i="8"/>
  <c r="K9" i="8"/>
  <c r="F9" i="8"/>
  <c r="D9" i="8"/>
  <c r="C9" i="8"/>
  <c r="B9" i="8"/>
  <c r="L7" i="8"/>
  <c r="K7" i="8"/>
  <c r="F7" i="8"/>
  <c r="D7" i="8"/>
  <c r="C7" i="8"/>
  <c r="B7" i="8"/>
  <c r="L6" i="8"/>
  <c r="K6" i="8"/>
  <c r="F6" i="8"/>
  <c r="D6" i="8"/>
  <c r="C6" i="8"/>
  <c r="B6" i="8"/>
  <c r="L5" i="8"/>
  <c r="K5" i="8"/>
  <c r="F5" i="8"/>
  <c r="D5" i="8"/>
  <c r="C5" i="8"/>
  <c r="B5" i="8"/>
  <c r="L4" i="8"/>
  <c r="K4" i="8"/>
  <c r="F4" i="8"/>
  <c r="D4" i="8"/>
  <c r="C4" i="8"/>
  <c r="B4" i="8"/>
  <c r="C37" i="7"/>
  <c r="D26" i="19" s="1"/>
  <c r="E26" i="19" s="1"/>
  <c r="B29" i="7"/>
  <c r="B28" i="7"/>
  <c r="B27" i="7"/>
  <c r="B26" i="7"/>
  <c r="B17" i="7"/>
  <c r="B9" i="7"/>
  <c r="C7" i="7"/>
  <c r="AG38" i="6"/>
  <c r="Z38" i="6"/>
  <c r="Y38" i="6"/>
  <c r="R38" i="6" a="1"/>
  <c r="R38" i="6" s="1"/>
  <c r="K38" i="6"/>
  <c r="D37" i="15" s="1"/>
  <c r="G38" i="6"/>
  <c r="F38" i="6"/>
  <c r="E20" i="10" s="1"/>
  <c r="AG37" i="6"/>
  <c r="Z37" i="6"/>
  <c r="Y37" i="6"/>
  <c r="R37" i="6" a="1"/>
  <c r="R37" i="6" s="1"/>
  <c r="K37" i="6"/>
  <c r="G37" i="6"/>
  <c r="F37" i="6"/>
  <c r="E19" i="10" s="1"/>
  <c r="AG36" i="6"/>
  <c r="Z36" i="6"/>
  <c r="Y36" i="6"/>
  <c r="R36" i="6" a="1"/>
  <c r="R36" i="6" s="1"/>
  <c r="K36" i="6"/>
  <c r="G36" i="6"/>
  <c r="F36" i="6"/>
  <c r="E18" i="10" s="1"/>
  <c r="AG35" i="6"/>
  <c r="Z35" i="6"/>
  <c r="Y35" i="6"/>
  <c r="R35" i="6" a="1"/>
  <c r="R35" i="6" s="1"/>
  <c r="K35" i="6"/>
  <c r="F17" i="10" s="1"/>
  <c r="G35" i="6"/>
  <c r="F35" i="6"/>
  <c r="E17" i="10" s="1"/>
  <c r="AG34" i="6"/>
  <c r="Z34" i="6"/>
  <c r="Y34" i="6"/>
  <c r="R34" i="6" a="1"/>
  <c r="R34" i="6" s="1"/>
  <c r="K34" i="6"/>
  <c r="D33" i="15" s="1"/>
  <c r="G34" i="6"/>
  <c r="F34" i="6"/>
  <c r="E19" i="8" s="1"/>
  <c r="AG33" i="6"/>
  <c r="Z33" i="6"/>
  <c r="Y33" i="6"/>
  <c r="R33" i="6" a="1"/>
  <c r="R33" i="6" s="1"/>
  <c r="K33" i="6"/>
  <c r="G18" i="8" s="1"/>
  <c r="G33" i="6"/>
  <c r="F33" i="6"/>
  <c r="E18" i="8" s="1"/>
  <c r="AG32" i="6"/>
  <c r="Z32" i="6"/>
  <c r="Y32" i="6"/>
  <c r="R32" i="6" a="1"/>
  <c r="R32" i="6" s="1"/>
  <c r="I16" i="10" s="1"/>
  <c r="K32" i="6"/>
  <c r="D31" i="15" s="1"/>
  <c r="G32" i="6"/>
  <c r="F32" i="6"/>
  <c r="E16" i="10" s="1"/>
  <c r="AG31" i="6"/>
  <c r="Z31" i="6"/>
  <c r="Y31" i="6"/>
  <c r="R31" i="6" a="1"/>
  <c r="R31" i="6" s="1"/>
  <c r="K31" i="6"/>
  <c r="F15" i="10" s="1"/>
  <c r="G31" i="6"/>
  <c r="F31" i="6"/>
  <c r="E15" i="10" s="1"/>
  <c r="AG30" i="6"/>
  <c r="Z30" i="6"/>
  <c r="Y30" i="6"/>
  <c r="R30" i="6" a="1"/>
  <c r="R30" i="6" s="1"/>
  <c r="I14" i="10" s="1"/>
  <c r="K30" i="6"/>
  <c r="G30" i="6"/>
  <c r="F30" i="6"/>
  <c r="E14" i="10" s="1"/>
  <c r="AG29" i="6"/>
  <c r="Z29" i="6"/>
  <c r="Y29" i="6"/>
  <c r="R29" i="6" a="1"/>
  <c r="R29" i="6" s="1"/>
  <c r="K29" i="6"/>
  <c r="D28" i="15" s="1"/>
  <c r="G29" i="6"/>
  <c r="F29" i="6"/>
  <c r="E13" i="10" s="1"/>
  <c r="AG28" i="6"/>
  <c r="Z28" i="6"/>
  <c r="Y28" i="6"/>
  <c r="R28" i="6" a="1"/>
  <c r="R28" i="6" s="1"/>
  <c r="K28" i="6"/>
  <c r="D27" i="15" s="1"/>
  <c r="G28" i="6"/>
  <c r="F28" i="6"/>
  <c r="E17" i="8" s="1"/>
  <c r="AG27" i="6"/>
  <c r="Z27" i="6"/>
  <c r="Y27" i="6"/>
  <c r="R27" i="6" a="1"/>
  <c r="R27" i="6" s="1"/>
  <c r="K27" i="6"/>
  <c r="G27" i="6"/>
  <c r="F27" i="6"/>
  <c r="E16" i="8" s="1"/>
  <c r="AG26" i="6"/>
  <c r="C17" i="7" s="1"/>
  <c r="R26" i="6" a="1"/>
  <c r="R26" i="6" s="1"/>
  <c r="K26" i="6"/>
  <c r="O11" i="11" s="1"/>
  <c r="G26" i="6"/>
  <c r="F26" i="6"/>
  <c r="AG25" i="6"/>
  <c r="R25" i="6" a="1"/>
  <c r="R25" i="6" s="1"/>
  <c r="C11" i="9" s="1"/>
  <c r="K25" i="6"/>
  <c r="B62" i="11" s="1"/>
  <c r="G25" i="6"/>
  <c r="F25" i="6"/>
  <c r="AG24" i="6"/>
  <c r="Z24" i="6"/>
  <c r="Y24" i="6"/>
  <c r="R24" i="6" a="1"/>
  <c r="R24" i="6" s="1"/>
  <c r="K24" i="6"/>
  <c r="G24" i="6"/>
  <c r="F24" i="6"/>
  <c r="E15" i="8" s="1"/>
  <c r="AG23" i="6"/>
  <c r="Z23" i="6"/>
  <c r="Y23" i="6"/>
  <c r="R23" i="6" a="1"/>
  <c r="R23" i="6" s="1"/>
  <c r="K23" i="6"/>
  <c r="G23" i="6"/>
  <c r="F23" i="6"/>
  <c r="E12" i="10" s="1"/>
  <c r="AG22" i="6"/>
  <c r="Z22" i="6"/>
  <c r="Y22" i="6"/>
  <c r="R22" i="6" a="1"/>
  <c r="R22" i="6" s="1"/>
  <c r="K22" i="6"/>
  <c r="D21" i="15" s="1"/>
  <c r="G22" i="6"/>
  <c r="F22" i="6"/>
  <c r="E11" i="10" s="1"/>
  <c r="AG21" i="6"/>
  <c r="Z21" i="6"/>
  <c r="Y21" i="6"/>
  <c r="R21" i="6" a="1"/>
  <c r="R21" i="6" s="1"/>
  <c r="K21" i="6"/>
  <c r="D20" i="15" s="1"/>
  <c r="G21" i="6"/>
  <c r="F21" i="6"/>
  <c r="E14" i="8" s="1"/>
  <c r="AG20" i="6"/>
  <c r="Z20" i="6"/>
  <c r="Y20" i="6"/>
  <c r="R20" i="6" a="1"/>
  <c r="R20" i="6" s="1"/>
  <c r="M13" i="8" s="1"/>
  <c r="K20" i="6"/>
  <c r="D19" i="15" s="1"/>
  <c r="G20" i="6"/>
  <c r="F20" i="6"/>
  <c r="E13" i="8" s="1"/>
  <c r="AG19" i="6"/>
  <c r="Z19" i="6"/>
  <c r="Y19" i="6"/>
  <c r="R19" i="6" a="1"/>
  <c r="R19" i="6" s="1"/>
  <c r="G19" i="6"/>
  <c r="F19" i="6"/>
  <c r="E12" i="8" s="1"/>
  <c r="AG18" i="6"/>
  <c r="Z18" i="6"/>
  <c r="Y18" i="6"/>
  <c r="R18" i="6" a="1"/>
  <c r="R18" i="6" s="1"/>
  <c r="G18" i="6"/>
  <c r="F18" i="6"/>
  <c r="E10" i="8" s="1"/>
  <c r="AG17" i="6"/>
  <c r="Z17" i="6"/>
  <c r="Y17" i="6"/>
  <c r="R17" i="6" a="1"/>
  <c r="R17" i="6" s="1"/>
  <c r="K17" i="6"/>
  <c r="D16" i="15" s="1"/>
  <c r="G17" i="6"/>
  <c r="F17" i="6"/>
  <c r="E10" i="10" s="1"/>
  <c r="AG16" i="6"/>
  <c r="Z16" i="6"/>
  <c r="Y16" i="6"/>
  <c r="R16" i="6" a="1"/>
  <c r="R16" i="6" s="1"/>
  <c r="K16" i="6"/>
  <c r="K41" i="6" s="1"/>
  <c r="G16" i="6"/>
  <c r="F16" i="6"/>
  <c r="E9" i="8" s="1"/>
  <c r="AG15" i="6"/>
  <c r="Z15" i="6"/>
  <c r="Y15" i="6"/>
  <c r="R15" i="6" a="1"/>
  <c r="R15" i="6" s="1"/>
  <c r="K15" i="6"/>
  <c r="F9" i="10" s="1"/>
  <c r="G15" i="6"/>
  <c r="F15" i="6"/>
  <c r="E9" i="10" s="1"/>
  <c r="AG14" i="6"/>
  <c r="Z14" i="6"/>
  <c r="Y14" i="6"/>
  <c r="R14" i="6" a="1"/>
  <c r="R14" i="6" s="1"/>
  <c r="K14" i="6"/>
  <c r="G14" i="6"/>
  <c r="F14" i="6"/>
  <c r="E8" i="10" s="1"/>
  <c r="AG13" i="6"/>
  <c r="Y13" i="6"/>
  <c r="B7" i="9" s="1"/>
  <c r="R13" i="6" a="1"/>
  <c r="R13" i="6" s="1"/>
  <c r="K13" i="6"/>
  <c r="B5" i="7" s="1"/>
  <c r="G13" i="6"/>
  <c r="F13" i="6"/>
  <c r="AG12" i="6"/>
  <c r="Z12" i="6"/>
  <c r="Y12" i="6"/>
  <c r="R12" i="6" a="1"/>
  <c r="R12" i="6" s="1"/>
  <c r="K12" i="6"/>
  <c r="G12" i="6"/>
  <c r="F12" i="6"/>
  <c r="E7" i="10" s="1"/>
  <c r="AG11" i="6"/>
  <c r="Z11" i="6"/>
  <c r="Y11" i="6"/>
  <c r="R11" i="6" a="1"/>
  <c r="R11" i="6" s="1"/>
  <c r="K11" i="6"/>
  <c r="G11" i="6"/>
  <c r="F11" i="6"/>
  <c r="E7" i="8" s="1"/>
  <c r="AG10" i="6"/>
  <c r="Z10" i="6"/>
  <c r="Y10" i="6"/>
  <c r="R10" i="6" a="1"/>
  <c r="R10" i="6" s="1"/>
  <c r="M6" i="8" s="1"/>
  <c r="K10" i="6"/>
  <c r="G10" i="6"/>
  <c r="F10" i="6"/>
  <c r="E6" i="8" s="1"/>
  <c r="AG9" i="6"/>
  <c r="Z9" i="6"/>
  <c r="Y9" i="6"/>
  <c r="R9" i="6" a="1"/>
  <c r="R9" i="6" s="1"/>
  <c r="K9" i="6"/>
  <c r="D8" i="15" s="1"/>
  <c r="G9" i="6"/>
  <c r="F9" i="6"/>
  <c r="E5" i="8" s="1"/>
  <c r="AG8" i="6"/>
  <c r="Z8" i="6"/>
  <c r="Y8" i="6"/>
  <c r="R8" i="6" a="1"/>
  <c r="R8" i="6" s="1"/>
  <c r="K8" i="6"/>
  <c r="G8" i="6"/>
  <c r="F8" i="6"/>
  <c r="E6" i="10" s="1"/>
  <c r="AG7" i="6"/>
  <c r="Z7" i="6"/>
  <c r="Y7" i="6"/>
  <c r="R7" i="6" a="1"/>
  <c r="R7" i="6" s="1"/>
  <c r="K7" i="6"/>
  <c r="D6" i="15" s="1"/>
  <c r="G7" i="6"/>
  <c r="F7" i="6"/>
  <c r="E4" i="8" s="1"/>
  <c r="AG6" i="6"/>
  <c r="Z6" i="6"/>
  <c r="Y6" i="6"/>
  <c r="R6" i="6" a="1"/>
  <c r="R6" i="6" s="1"/>
  <c r="K6" i="6"/>
  <c r="F5" i="10" s="1"/>
  <c r="G6" i="6"/>
  <c r="F6" i="6"/>
  <c r="E5" i="10" s="1"/>
  <c r="AG5" i="6"/>
  <c r="Z5" i="6"/>
  <c r="Y5" i="6"/>
  <c r="R5" i="6" a="1"/>
  <c r="R5" i="6" s="1"/>
  <c r="K5" i="6"/>
  <c r="C5" i="7" s="1"/>
  <c r="G5" i="6"/>
  <c r="F5" i="6"/>
  <c r="E4" i="10" s="1"/>
  <c r="B51" i="5"/>
  <c r="D51" i="19" s="1"/>
  <c r="E51" i="19" s="1"/>
  <c r="B49" i="5"/>
  <c r="D49" i="19" s="1"/>
  <c r="E49" i="19" s="1"/>
  <c r="B39" i="5" a="1"/>
  <c r="B39" i="5" s="1"/>
  <c r="B38" i="5" a="1"/>
  <c r="B38" i="5" s="1"/>
  <c r="B37" i="5" a="1"/>
  <c r="B37" i="5" s="1"/>
  <c r="B36" i="5" a="1"/>
  <c r="B36" i="5" s="1"/>
  <c r="E9" i="13" s="1"/>
  <c r="B35" i="5" a="1"/>
  <c r="B35" i="5"/>
  <c r="B34" i="5" a="1"/>
  <c r="B34" i="5" s="1"/>
  <c r="B33" i="5" a="1"/>
  <c r="B33" i="5" s="1"/>
  <c r="B32" i="5" a="1"/>
  <c r="B32" i="5" s="1"/>
  <c r="B31" i="5" a="1"/>
  <c r="B31" i="5" s="1"/>
  <c r="B30" i="5" a="1"/>
  <c r="B30" i="5" s="1"/>
  <c r="B29" i="5" a="1"/>
  <c r="B29" i="5" s="1"/>
  <c r="B28" i="5" a="1"/>
  <c r="B28" i="5"/>
  <c r="B27" i="5" a="1"/>
  <c r="B27" i="5" s="1"/>
  <c r="D34" i="19" s="1"/>
  <c r="B26" i="5" a="1"/>
  <c r="B26" i="5" s="1"/>
  <c r="B25" i="5" a="1"/>
  <c r="B25" i="5" s="1"/>
  <c r="B24" i="5" a="1"/>
  <c r="B24" i="5" s="1"/>
  <c r="B6" i="5"/>
  <c r="D7" i="1"/>
  <c r="D6" i="1" a="1"/>
  <c r="D6" i="1" s="1"/>
  <c r="C47" i="4"/>
  <c r="B47" i="4"/>
  <c r="C46" i="4"/>
  <c r="B46" i="4"/>
  <c r="C45" i="4"/>
  <c r="B45" i="4"/>
  <c r="C44" i="4"/>
  <c r="B44" i="4"/>
  <c r="C43" i="4"/>
  <c r="B43" i="4"/>
  <c r="C42" i="4"/>
  <c r="B42" i="4"/>
  <c r="C41" i="4"/>
  <c r="B41" i="4"/>
  <c r="C40" i="4"/>
  <c r="B40" i="4"/>
  <c r="C39" i="4"/>
  <c r="B39" i="4"/>
  <c r="C38" i="4"/>
  <c r="B38" i="4"/>
  <c r="C37" i="4"/>
  <c r="B37" i="4"/>
  <c r="C36" i="4"/>
  <c r="B36" i="4"/>
  <c r="C35" i="4"/>
  <c r="B35" i="4"/>
  <c r="C34" i="4"/>
  <c r="B34" i="4"/>
  <c r="B43" i="18" l="1"/>
  <c r="R5" i="11"/>
  <c r="B41" i="18"/>
  <c r="A4" i="1"/>
  <c r="F31" i="16"/>
  <c r="F30" i="16"/>
  <c r="G30" i="16" s="1"/>
  <c r="H30" i="16" s="1"/>
  <c r="H17" i="15"/>
  <c r="I17" i="15" s="1"/>
  <c r="F19" i="16"/>
  <c r="H15" i="15"/>
  <c r="I15" i="15" s="1"/>
  <c r="F18" i="16"/>
  <c r="G18" i="16" s="1"/>
  <c r="H18" i="16" s="1"/>
  <c r="H13" i="15"/>
  <c r="I13" i="15" s="1"/>
  <c r="F7" i="16"/>
  <c r="G7" i="16" s="1"/>
  <c r="H7" i="16" s="1"/>
  <c r="F6" i="16"/>
  <c r="G6" i="16" s="1"/>
  <c r="H6" i="16" s="1"/>
  <c r="H14" i="15"/>
  <c r="I14" i="15" s="1"/>
  <c r="F29" i="16"/>
  <c r="G29" i="16" s="1"/>
  <c r="H29" i="16" s="1"/>
  <c r="F17" i="16"/>
  <c r="G17" i="16" s="1"/>
  <c r="H17" i="16" s="1"/>
  <c r="F5" i="16"/>
  <c r="G5" i="16" s="1"/>
  <c r="H5" i="16" s="1"/>
  <c r="F28" i="16"/>
  <c r="G28" i="16" s="1"/>
  <c r="H28" i="16" s="1"/>
  <c r="F16" i="16"/>
  <c r="G16" i="16" s="1"/>
  <c r="H16" i="16" s="1"/>
  <c r="F4" i="16"/>
  <c r="G4" i="16" s="1"/>
  <c r="H5" i="15"/>
  <c r="I5" i="15" s="1"/>
  <c r="F27" i="16"/>
  <c r="G27" i="16" s="1"/>
  <c r="H27" i="16" s="1"/>
  <c r="F15" i="16"/>
  <c r="G15" i="16" s="1"/>
  <c r="H15" i="16" s="1"/>
  <c r="F26" i="16"/>
  <c r="G26" i="16" s="1"/>
  <c r="H26" i="16" s="1"/>
  <c r="F14" i="16"/>
  <c r="G14" i="16" s="1"/>
  <c r="H14" i="16" s="1"/>
  <c r="M5" i="11"/>
  <c r="F37" i="16"/>
  <c r="G37" i="16" s="1"/>
  <c r="H37" i="16" s="1"/>
  <c r="F13" i="16"/>
  <c r="G13" i="16" s="1"/>
  <c r="H13" i="16" s="1"/>
  <c r="H37" i="15"/>
  <c r="I37" i="15" s="1"/>
  <c r="F36" i="16"/>
  <c r="G36" i="16" s="1"/>
  <c r="H36" i="16" s="1"/>
  <c r="H36" i="15"/>
  <c r="I36" i="15" s="1"/>
  <c r="F35" i="16"/>
  <c r="G35" i="16" s="1"/>
  <c r="H35" i="16" s="1"/>
  <c r="F23" i="16"/>
  <c r="G23" i="16" s="1"/>
  <c r="H23" i="16" s="1"/>
  <c r="F11" i="16"/>
  <c r="G11" i="16" s="1"/>
  <c r="H11" i="16" s="1"/>
  <c r="H29" i="15"/>
  <c r="I29" i="15" s="1"/>
  <c r="F34" i="16"/>
  <c r="G34" i="16" s="1"/>
  <c r="H34" i="16" s="1"/>
  <c r="F22" i="16"/>
  <c r="G22" i="16" s="1"/>
  <c r="H22" i="16" s="1"/>
  <c r="F10" i="16"/>
  <c r="G10" i="16" s="1"/>
  <c r="H10" i="16" s="1"/>
  <c r="H27" i="15"/>
  <c r="I27" i="15" s="1"/>
  <c r="F33" i="16"/>
  <c r="G33" i="16" s="1"/>
  <c r="H33" i="16" s="1"/>
  <c r="F21" i="16"/>
  <c r="G21" i="16" s="1"/>
  <c r="H21" i="16" s="1"/>
  <c r="F9" i="16"/>
  <c r="G9" i="16" s="1"/>
  <c r="H9" i="16" s="1"/>
  <c r="G31" i="16"/>
  <c r="H31" i="16" s="1"/>
  <c r="G19" i="16"/>
  <c r="H19" i="16" s="1"/>
  <c r="H26" i="15"/>
  <c r="I26" i="15" s="1"/>
  <c r="F32" i="16"/>
  <c r="G32" i="16" s="1"/>
  <c r="H32" i="16" s="1"/>
  <c r="F20" i="16"/>
  <c r="G20" i="16" s="1"/>
  <c r="H20" i="16" s="1"/>
  <c r="F8" i="16"/>
  <c r="G8" i="16" s="1"/>
  <c r="H8" i="16" s="1"/>
  <c r="H28" i="15"/>
  <c r="I28" i="15" s="1"/>
  <c r="H16" i="15"/>
  <c r="I16" i="15" s="1"/>
  <c r="H4" i="15"/>
  <c r="I4" i="15" s="1"/>
  <c r="H35" i="15"/>
  <c r="I35" i="15" s="1"/>
  <c r="H23" i="15"/>
  <c r="I23" i="15" s="1"/>
  <c r="H11" i="15"/>
  <c r="I11" i="15" s="1"/>
  <c r="H34" i="15"/>
  <c r="I34" i="15" s="1"/>
  <c r="H22" i="15"/>
  <c r="I22" i="15" s="1"/>
  <c r="H10" i="15"/>
  <c r="I10" i="15" s="1"/>
  <c r="H33" i="15"/>
  <c r="I33" i="15" s="1"/>
  <c r="H21" i="15"/>
  <c r="I21" i="15" s="1"/>
  <c r="H9" i="15"/>
  <c r="I9" i="15" s="1"/>
  <c r="H32" i="15"/>
  <c r="I32" i="15" s="1"/>
  <c r="H20" i="15"/>
  <c r="I20" i="15" s="1"/>
  <c r="H8" i="15"/>
  <c r="I8" i="15" s="1"/>
  <c r="H31" i="15"/>
  <c r="I31" i="15" s="1"/>
  <c r="H19" i="15"/>
  <c r="I19" i="15" s="1"/>
  <c r="H7" i="15"/>
  <c r="I7" i="15" s="1"/>
  <c r="H30" i="15"/>
  <c r="I30" i="15" s="1"/>
  <c r="H18" i="15"/>
  <c r="I18" i="15" s="1"/>
  <c r="H6" i="15"/>
  <c r="I6" i="15" s="1"/>
  <c r="A18" i="4"/>
  <c r="B19" i="7"/>
  <c r="F67" i="4"/>
  <c r="M38" i="6"/>
  <c r="Z25" i="6"/>
  <c r="B55" i="4"/>
  <c r="M27" i="6"/>
  <c r="M16" i="6"/>
  <c r="O16" i="6" s="1"/>
  <c r="J9" i="8" s="1"/>
  <c r="M28" i="6"/>
  <c r="M5" i="6"/>
  <c r="M17" i="6"/>
  <c r="M29" i="6"/>
  <c r="M6" i="6"/>
  <c r="M18" i="6"/>
  <c r="M30" i="6"/>
  <c r="O30" i="6" s="1"/>
  <c r="M7" i="6"/>
  <c r="M19" i="6"/>
  <c r="N19" i="6" s="1"/>
  <c r="M31" i="6"/>
  <c r="G30" i="12" s="1"/>
  <c r="M8" i="6"/>
  <c r="O8" i="6" s="1"/>
  <c r="M20" i="6"/>
  <c r="O20" i="6" s="1"/>
  <c r="J13" i="8" s="1"/>
  <c r="M32" i="6"/>
  <c r="O32" i="6" s="1"/>
  <c r="M9" i="6"/>
  <c r="N9" i="6" s="1"/>
  <c r="M21" i="6"/>
  <c r="M33" i="6"/>
  <c r="E7" i="13"/>
  <c r="G7" i="13" s="1"/>
  <c r="H7" i="13" s="1"/>
  <c r="M15" i="6"/>
  <c r="E14" i="15" s="1"/>
  <c r="M10" i="6"/>
  <c r="O10" i="6" s="1"/>
  <c r="J6" i="8" s="1"/>
  <c r="M22" i="6"/>
  <c r="M34" i="6"/>
  <c r="M11" i="6"/>
  <c r="M23" i="6"/>
  <c r="M35" i="6"/>
  <c r="M12" i="6"/>
  <c r="M24" i="6"/>
  <c r="O24" i="6" s="1"/>
  <c r="J15" i="8" s="1"/>
  <c r="M36" i="6"/>
  <c r="O36" i="6" s="1"/>
  <c r="M37" i="6"/>
  <c r="O37" i="6" s="1"/>
  <c r="M14" i="6"/>
  <c r="O14" i="6" s="1"/>
  <c r="C18" i="7"/>
  <c r="A13" i="4"/>
  <c r="D4" i="9"/>
  <c r="C15" i="7"/>
  <c r="C16" i="7"/>
  <c r="C19" i="7"/>
  <c r="C8" i="7"/>
  <c r="F11" i="10"/>
  <c r="B25" i="7"/>
  <c r="B30" i="7" s="1"/>
  <c r="C25" i="7" s="1"/>
  <c r="N13" i="6"/>
  <c r="F12" i="15" s="1"/>
  <c r="G12" i="15" s="1"/>
  <c r="O13" i="6"/>
  <c r="B40" i="18"/>
  <c r="D17" i="7"/>
  <c r="G6" i="18"/>
  <c r="H6" i="12"/>
  <c r="M4" i="8"/>
  <c r="E8" i="13"/>
  <c r="E24" i="13"/>
  <c r="G9" i="13"/>
  <c r="H9" i="13" s="1"/>
  <c r="F9" i="13"/>
  <c r="G22" i="18"/>
  <c r="H22" i="12"/>
  <c r="I12" i="10"/>
  <c r="E23" i="13"/>
  <c r="E14" i="13"/>
  <c r="D7" i="15"/>
  <c r="F7" i="12"/>
  <c r="F6" i="10"/>
  <c r="G30" i="18"/>
  <c r="H30" i="12"/>
  <c r="I15" i="10"/>
  <c r="G33" i="18"/>
  <c r="H33" i="12"/>
  <c r="M19" i="8"/>
  <c r="G4" i="18"/>
  <c r="I4" i="10"/>
  <c r="H4" i="12"/>
  <c r="G7" i="18"/>
  <c r="H7" i="12"/>
  <c r="D13" i="15"/>
  <c r="F13" i="12"/>
  <c r="F8" i="10"/>
  <c r="G27" i="18"/>
  <c r="H27" i="12"/>
  <c r="M17" i="8"/>
  <c r="G10" i="18"/>
  <c r="H10" i="12"/>
  <c r="M7" i="8"/>
  <c r="G13" i="18"/>
  <c r="H13" i="12"/>
  <c r="I8" i="10"/>
  <c r="G16" i="18"/>
  <c r="H16" i="12"/>
  <c r="I10" i="10"/>
  <c r="F35" i="12"/>
  <c r="D35" i="15"/>
  <c r="F18" i="10"/>
  <c r="G21" i="18"/>
  <c r="H21" i="12"/>
  <c r="I11" i="10"/>
  <c r="F29" i="12"/>
  <c r="D29" i="15"/>
  <c r="F14" i="10"/>
  <c r="G35" i="18"/>
  <c r="H35" i="12"/>
  <c r="I18" i="10"/>
  <c r="E26" i="13"/>
  <c r="E22" i="13"/>
  <c r="E12" i="13"/>
  <c r="E18" i="13"/>
  <c r="E6" i="13"/>
  <c r="D5" i="7"/>
  <c r="G29" i="18"/>
  <c r="H29" i="12"/>
  <c r="D35" i="19"/>
  <c r="G18" i="18"/>
  <c r="H18" i="12"/>
  <c r="M12" i="8"/>
  <c r="D32" i="19"/>
  <c r="E27" i="13"/>
  <c r="E16" i="13"/>
  <c r="E13" i="13"/>
  <c r="E4" i="13"/>
  <c r="E10" i="13"/>
  <c r="D50" i="19"/>
  <c r="E50" i="19" s="1"/>
  <c r="F23" i="12"/>
  <c r="D23" i="15"/>
  <c r="G15" i="8"/>
  <c r="G32" i="18"/>
  <c r="H32" i="12"/>
  <c r="M18" i="8"/>
  <c r="D14" i="17"/>
  <c r="D33" i="19"/>
  <c r="C14" i="17"/>
  <c r="E20" i="13"/>
  <c r="E17" i="13"/>
  <c r="E11" i="13"/>
  <c r="E5" i="13"/>
  <c r="E14" i="17"/>
  <c r="E25" i="13"/>
  <c r="E21" i="13"/>
  <c r="E19" i="13"/>
  <c r="E15" i="13"/>
  <c r="G15" i="18"/>
  <c r="H15" i="12"/>
  <c r="M9" i="8"/>
  <c r="G23" i="18"/>
  <c r="H23" i="12"/>
  <c r="M15" i="8"/>
  <c r="D52" i="19"/>
  <c r="E52" i="19" s="1"/>
  <c r="Z26" i="6"/>
  <c r="G12" i="18"/>
  <c r="H12" i="12"/>
  <c r="B11" i="9"/>
  <c r="G17" i="18"/>
  <c r="H17" i="12"/>
  <c r="M10" i="8"/>
  <c r="H20" i="12"/>
  <c r="G20" i="18"/>
  <c r="M14" i="8"/>
  <c r="G34" i="18"/>
  <c r="H34" i="12"/>
  <c r="I17" i="10"/>
  <c r="I20" i="10"/>
  <c r="H37" i="12"/>
  <c r="G37" i="18"/>
  <c r="E34" i="19"/>
  <c r="G27" i="8"/>
  <c r="G5" i="18"/>
  <c r="H5" i="12"/>
  <c r="I5" i="10"/>
  <c r="H8" i="12"/>
  <c r="G8" i="18"/>
  <c r="M5" i="8"/>
  <c r="G11" i="18"/>
  <c r="I7" i="10"/>
  <c r="H11" i="12"/>
  <c r="G28" i="18"/>
  <c r="H28" i="12"/>
  <c r="I13" i="10"/>
  <c r="A2" i="4"/>
  <c r="G14" i="18"/>
  <c r="I9" i="10"/>
  <c r="H14" i="12"/>
  <c r="F63" i="11"/>
  <c r="G25" i="18"/>
  <c r="D11" i="9"/>
  <c r="H25" i="12"/>
  <c r="I6" i="10"/>
  <c r="D4" i="15"/>
  <c r="D29" i="19" a="1"/>
  <c r="D29" i="19" s="1"/>
  <c r="D28" i="19" a="1"/>
  <c r="D28" i="19" s="1"/>
  <c r="F4" i="12"/>
  <c r="F23" i="10" a="1"/>
  <c r="F23" i="10" s="1"/>
  <c r="F26" i="12"/>
  <c r="D26" i="15"/>
  <c r="F32" i="12"/>
  <c r="D15" i="15"/>
  <c r="F15" i="12"/>
  <c r="D25" i="15"/>
  <c r="B63" i="11"/>
  <c r="B4" i="9"/>
  <c r="D7" i="9"/>
  <c r="F27" i="12"/>
  <c r="F14" i="12"/>
  <c r="D14" i="15"/>
  <c r="D24" i="15"/>
  <c r="J8" i="11"/>
  <c r="D36" i="15"/>
  <c r="F19" i="10"/>
  <c r="B8" i="7"/>
  <c r="B15" i="7"/>
  <c r="B18" i="7"/>
  <c r="C4" i="9"/>
  <c r="F25" i="10"/>
  <c r="F19" i="12"/>
  <c r="F37" i="12"/>
  <c r="F6" i="12"/>
  <c r="F16" i="12"/>
  <c r="F24" i="12"/>
  <c r="D12" i="15"/>
  <c r="F12" i="12"/>
  <c r="D22" i="15"/>
  <c r="F22" i="12"/>
  <c r="G26" i="18"/>
  <c r="H26" i="12"/>
  <c r="D34" i="15"/>
  <c r="F34" i="12"/>
  <c r="M16" i="8"/>
  <c r="F16" i="10"/>
  <c r="F11" i="12"/>
  <c r="D11" i="15"/>
  <c r="F7" i="10"/>
  <c r="F21" i="12"/>
  <c r="F31" i="12"/>
  <c r="D10" i="15"/>
  <c r="F10" i="12"/>
  <c r="G24" i="18"/>
  <c r="H24" i="12"/>
  <c r="F62" i="11"/>
  <c r="G36" i="18"/>
  <c r="H36" i="12"/>
  <c r="B6" i="7"/>
  <c r="B16" i="7"/>
  <c r="D16" i="7" s="1"/>
  <c r="G22" i="8" a="1"/>
  <c r="G22" i="8" s="1"/>
  <c r="F8" i="12"/>
  <c r="F36" i="12"/>
  <c r="D32" i="15"/>
  <c r="D9" i="15"/>
  <c r="F9" i="12"/>
  <c r="N6" i="11"/>
  <c r="R6" i="11" s="1"/>
  <c r="C6" i="7"/>
  <c r="C9" i="7"/>
  <c r="D9" i="7" s="1"/>
  <c r="F13" i="10"/>
  <c r="F20" i="10"/>
  <c r="D63" i="19"/>
  <c r="E63" i="19" s="1"/>
  <c r="D30" i="15"/>
  <c r="F30" i="12"/>
  <c r="B10" i="9"/>
  <c r="F4" i="10"/>
  <c r="F12" i="10"/>
  <c r="F28" i="12"/>
  <c r="F33" i="12"/>
  <c r="F20" i="12"/>
  <c r="D47" i="19"/>
  <c r="E47" i="19" s="1"/>
  <c r="D14" i="19"/>
  <c r="D46" i="19"/>
  <c r="E46" i="19" s="1"/>
  <c r="D40" i="19" a="1"/>
  <c r="D40" i="19" s="1"/>
  <c r="D39" i="19"/>
  <c r="B7" i="7"/>
  <c r="D7" i="7" s="1"/>
  <c r="G4" i="8"/>
  <c r="G5" i="8"/>
  <c r="G6" i="8"/>
  <c r="G7" i="8"/>
  <c r="G9" i="8"/>
  <c r="G13" i="8"/>
  <c r="G14" i="8"/>
  <c r="G16" i="8"/>
  <c r="G17" i="8"/>
  <c r="G19" i="8"/>
  <c r="D10" i="9"/>
  <c r="G12" i="12"/>
  <c r="F5" i="12"/>
  <c r="D5" i="15"/>
  <c r="G9" i="18"/>
  <c r="H9" i="12"/>
  <c r="Z13" i="6"/>
  <c r="G19" i="18"/>
  <c r="H19" i="12"/>
  <c r="G31" i="18"/>
  <c r="H31" i="12"/>
  <c r="K40" i="6"/>
  <c r="F16" i="9"/>
  <c r="F10" i="10"/>
  <c r="I19" i="10"/>
  <c r="F25" i="12"/>
  <c r="B44" i="18"/>
  <c r="B42" i="18"/>
  <c r="D19" i="7" l="1"/>
  <c r="H4" i="16"/>
  <c r="E25" i="16"/>
  <c r="F25" i="16"/>
  <c r="G25" i="16" s="1"/>
  <c r="H25" i="16" s="1"/>
  <c r="E24" i="16"/>
  <c r="F24" i="16"/>
  <c r="G24" i="16" s="1"/>
  <c r="H24" i="16" s="1"/>
  <c r="E12" i="16"/>
  <c r="F12" i="16"/>
  <c r="G12" i="16" s="1"/>
  <c r="H12" i="15"/>
  <c r="I12" i="15" s="1"/>
  <c r="H25" i="15"/>
  <c r="I25" i="15" s="1"/>
  <c r="C8" i="9"/>
  <c r="H24" i="15"/>
  <c r="I24" i="15" s="1"/>
  <c r="E18" i="15"/>
  <c r="H12" i="8"/>
  <c r="F7" i="13"/>
  <c r="G18" i="12"/>
  <c r="I18" i="12" s="1"/>
  <c r="D20" i="19" a="1"/>
  <c r="D20" i="19" s="1"/>
  <c r="E20" i="19" s="1"/>
  <c r="G9" i="10"/>
  <c r="J9" i="10" s="1"/>
  <c r="D18" i="7"/>
  <c r="N15" i="6"/>
  <c r="H9" i="10" s="1"/>
  <c r="O15" i="6"/>
  <c r="G14" i="12"/>
  <c r="I14" i="12" s="1"/>
  <c r="G15" i="10"/>
  <c r="J15" i="10" s="1"/>
  <c r="N31" i="6"/>
  <c r="F30" i="15" s="1"/>
  <c r="G30" i="15" s="1"/>
  <c r="O31" i="6"/>
  <c r="E30" i="15"/>
  <c r="O19" i="6"/>
  <c r="J12" i="8" s="1"/>
  <c r="C20" i="7"/>
  <c r="I12" i="12"/>
  <c r="D8" i="7"/>
  <c r="D43" i="19" s="1"/>
  <c r="E43" i="19" s="1"/>
  <c r="O9" i="6"/>
  <c r="J5" i="8" s="1"/>
  <c r="H5" i="8"/>
  <c r="E8" i="15"/>
  <c r="G8" i="12"/>
  <c r="I8" i="12" s="1"/>
  <c r="C10" i="7"/>
  <c r="G23" i="8" s="1"/>
  <c r="C28" i="7"/>
  <c r="C29" i="7"/>
  <c r="F4" i="9"/>
  <c r="Q6" i="11"/>
  <c r="N7" i="11"/>
  <c r="R7" i="11" s="1"/>
  <c r="G26" i="13"/>
  <c r="H26" i="13" s="1"/>
  <c r="F26" i="13"/>
  <c r="D6" i="7"/>
  <c r="Q5" i="11"/>
  <c r="D8" i="9"/>
  <c r="C63" i="11"/>
  <c r="D63" i="11" s="1"/>
  <c r="M26" i="6" s="1"/>
  <c r="B10" i="7"/>
  <c r="E34" i="15"/>
  <c r="G34" i="12"/>
  <c r="I34" i="12" s="1"/>
  <c r="O35" i="6"/>
  <c r="N35" i="6"/>
  <c r="G17" i="10"/>
  <c r="J17" i="10" s="1"/>
  <c r="E6" i="15"/>
  <c r="G6" i="12"/>
  <c r="I6" i="12" s="1"/>
  <c r="H4" i="8"/>
  <c r="O7" i="6"/>
  <c r="J4" i="8" s="1"/>
  <c r="N7" i="6"/>
  <c r="E14" i="19"/>
  <c r="G5" i="13"/>
  <c r="H5" i="13" s="1"/>
  <c r="F5" i="13"/>
  <c r="E32" i="19"/>
  <c r="E35" i="19"/>
  <c r="E5" i="15"/>
  <c r="G5" i="12"/>
  <c r="I5" i="12" s="1"/>
  <c r="G5" i="10"/>
  <c r="J5" i="10" s="1"/>
  <c r="N6" i="6"/>
  <c r="O6" i="6"/>
  <c r="G7" i="10"/>
  <c r="J7" i="10" s="1"/>
  <c r="E11" i="15"/>
  <c r="G11" i="12"/>
  <c r="I11" i="12" s="1"/>
  <c r="O12" i="6"/>
  <c r="N12" i="6"/>
  <c r="E17" i="15"/>
  <c r="H10" i="8"/>
  <c r="O18" i="6"/>
  <c r="J10" i="8" s="1"/>
  <c r="G17" i="12"/>
  <c r="I17" i="12" s="1"/>
  <c r="N18" i="6"/>
  <c r="C27" i="7"/>
  <c r="C26" i="7"/>
  <c r="C30" i="7"/>
  <c r="D30" i="7"/>
  <c r="E27" i="15"/>
  <c r="G27" i="12"/>
  <c r="I27" i="12" s="1"/>
  <c r="H17" i="8"/>
  <c r="O28" i="6"/>
  <c r="J17" i="8" s="1"/>
  <c r="N28" i="6"/>
  <c r="G17" i="13"/>
  <c r="H17" i="13" s="1"/>
  <c r="F17" i="13"/>
  <c r="S57" i="11"/>
  <c r="S6" i="11"/>
  <c r="S7" i="11"/>
  <c r="S8" i="11"/>
  <c r="S56" i="11"/>
  <c r="C7" i="9"/>
  <c r="E4" i="15"/>
  <c r="G4" i="12"/>
  <c r="I4" i="12" s="1"/>
  <c r="G4" i="10"/>
  <c r="J4" i="10" s="1"/>
  <c r="O5" i="6"/>
  <c r="N5" i="6"/>
  <c r="E33" i="15"/>
  <c r="H19" i="8"/>
  <c r="G33" i="12"/>
  <c r="I33" i="12" s="1"/>
  <c r="O34" i="6"/>
  <c r="J19" i="8" s="1"/>
  <c r="N34" i="6"/>
  <c r="G6" i="13"/>
  <c r="H6" i="13" s="1"/>
  <c r="F6" i="13"/>
  <c r="F24" i="13"/>
  <c r="G24" i="13" s="1"/>
  <c r="H24" i="13" s="1"/>
  <c r="G11" i="13"/>
  <c r="H11" i="13" s="1"/>
  <c r="F11" i="13"/>
  <c r="E21" i="15"/>
  <c r="G11" i="10"/>
  <c r="J11" i="10" s="1"/>
  <c r="O22" i="6"/>
  <c r="N22" i="6"/>
  <c r="G21" i="12"/>
  <c r="I21" i="12" s="1"/>
  <c r="G20" i="13"/>
  <c r="H20" i="13" s="1"/>
  <c r="F20" i="13"/>
  <c r="E16" i="15"/>
  <c r="G16" i="12"/>
  <c r="I16" i="12" s="1"/>
  <c r="N17" i="6"/>
  <c r="G10" i="10"/>
  <c r="J10" i="10" s="1"/>
  <c r="O17" i="6"/>
  <c r="E10" i="15"/>
  <c r="G10" i="12"/>
  <c r="I10" i="12" s="1"/>
  <c r="H7" i="8"/>
  <c r="N11" i="6"/>
  <c r="O11" i="6"/>
  <c r="J7" i="8" s="1"/>
  <c r="G18" i="13"/>
  <c r="H18" i="13" s="1"/>
  <c r="F18" i="13"/>
  <c r="F8" i="13"/>
  <c r="G8" i="13" s="1"/>
  <c r="H8" i="13" s="1"/>
  <c r="I30" i="12"/>
  <c r="E28" i="15"/>
  <c r="G28" i="12"/>
  <c r="I28" i="12" s="1"/>
  <c r="G13" i="10"/>
  <c r="J13" i="10" s="1"/>
  <c r="O29" i="6"/>
  <c r="N29" i="6"/>
  <c r="E28" i="19"/>
  <c r="F10" i="13"/>
  <c r="G10" i="13"/>
  <c r="H10" i="13" s="1"/>
  <c r="G26" i="12"/>
  <c r="I26" i="12" s="1"/>
  <c r="E26" i="15"/>
  <c r="H16" i="8"/>
  <c r="N27" i="6"/>
  <c r="O27" i="6"/>
  <c r="J16" i="8" s="1"/>
  <c r="E20" i="15"/>
  <c r="H14" i="8"/>
  <c r="G20" i="12"/>
  <c r="I20" i="12" s="1"/>
  <c r="N21" i="6"/>
  <c r="O21" i="6"/>
  <c r="J14" i="8" s="1"/>
  <c r="G12" i="13"/>
  <c r="H12" i="13" s="1"/>
  <c r="F12" i="13"/>
  <c r="G14" i="13"/>
  <c r="H14" i="13" s="1"/>
  <c r="F14" i="13"/>
  <c r="D45" i="19"/>
  <c r="E45" i="19" s="1"/>
  <c r="C6" i="14"/>
  <c r="B28" i="4"/>
  <c r="B20" i="7"/>
  <c r="D15" i="7"/>
  <c r="E29" i="19"/>
  <c r="E33" i="19"/>
  <c r="F4" i="13"/>
  <c r="G4" i="13"/>
  <c r="E15" i="15"/>
  <c r="H9" i="8"/>
  <c r="G15" i="12"/>
  <c r="I15" i="12" s="1"/>
  <c r="N16" i="6"/>
  <c r="E32" i="15"/>
  <c r="H18" i="8"/>
  <c r="N33" i="6"/>
  <c r="G32" i="12"/>
  <c r="I32" i="12" s="1"/>
  <c r="O33" i="6"/>
  <c r="J18" i="8" s="1"/>
  <c r="F22" i="13"/>
  <c r="G22" i="13"/>
  <c r="H22" i="13" s="1"/>
  <c r="G23" i="13"/>
  <c r="H23" i="13" s="1"/>
  <c r="F23" i="13"/>
  <c r="E37" i="15"/>
  <c r="G37" i="12"/>
  <c r="I37" i="12" s="1"/>
  <c r="G20" i="10"/>
  <c r="J20" i="10" s="1"/>
  <c r="O38" i="6"/>
  <c r="N38" i="6"/>
  <c r="F16" i="13"/>
  <c r="G16" i="13"/>
  <c r="H16" i="13" s="1"/>
  <c r="D44" i="19"/>
  <c r="E44" i="19" s="1"/>
  <c r="C8" i="14"/>
  <c r="B29" i="4"/>
  <c r="E13" i="15"/>
  <c r="G13" i="12"/>
  <c r="I13" i="12" s="1"/>
  <c r="N14" i="6"/>
  <c r="G8" i="10"/>
  <c r="J8" i="10" s="1"/>
  <c r="E19" i="15"/>
  <c r="G19" i="12"/>
  <c r="I19" i="12" s="1"/>
  <c r="H13" i="8"/>
  <c r="N20" i="6"/>
  <c r="F8" i="15"/>
  <c r="G8" i="15" s="1"/>
  <c r="I5" i="8"/>
  <c r="F13" i="13"/>
  <c r="G13" i="13"/>
  <c r="H13" i="13" s="1"/>
  <c r="G15" i="13"/>
  <c r="H15" i="13" s="1"/>
  <c r="F15" i="13"/>
  <c r="B8" i="9"/>
  <c r="G13" i="4"/>
  <c r="D13" i="4"/>
  <c r="F19" i="13"/>
  <c r="G19" i="13"/>
  <c r="H19" i="13" s="1"/>
  <c r="G23" i="12"/>
  <c r="I23" i="12" s="1"/>
  <c r="E23" i="15"/>
  <c r="H15" i="8"/>
  <c r="N24" i="6"/>
  <c r="E31" i="15"/>
  <c r="G31" i="12"/>
  <c r="I31" i="12" s="1"/>
  <c r="G16" i="10"/>
  <c r="J16" i="10" s="1"/>
  <c r="N32" i="6"/>
  <c r="E39" i="19"/>
  <c r="E36" i="15"/>
  <c r="G19" i="10"/>
  <c r="J19" i="10" s="1"/>
  <c r="G36" i="12"/>
  <c r="I36" i="12" s="1"/>
  <c r="N37" i="6"/>
  <c r="G21" i="13"/>
  <c r="H21" i="13" s="1"/>
  <c r="F21" i="13"/>
  <c r="G27" i="13"/>
  <c r="H27" i="13" s="1"/>
  <c r="F27" i="13"/>
  <c r="G35" i="12"/>
  <c r="I35" i="12" s="1"/>
  <c r="N36" i="6"/>
  <c r="E35" i="15"/>
  <c r="G18" i="10"/>
  <c r="J18" i="10" s="1"/>
  <c r="E7" i="15"/>
  <c r="G7" i="12"/>
  <c r="I7" i="12" s="1"/>
  <c r="N8" i="6"/>
  <c r="G6" i="10"/>
  <c r="J6" i="10" s="1"/>
  <c r="E9" i="15"/>
  <c r="G9" i="12"/>
  <c r="I9" i="12" s="1"/>
  <c r="H6" i="8"/>
  <c r="N10" i="6"/>
  <c r="E40" i="19"/>
  <c r="F25" i="13"/>
  <c r="G25" i="13"/>
  <c r="H25" i="13" s="1"/>
  <c r="D41" i="19"/>
  <c r="C4" i="14"/>
  <c r="B26" i="4"/>
  <c r="E22" i="15"/>
  <c r="G22" i="12"/>
  <c r="I22" i="12" s="1"/>
  <c r="O23" i="6"/>
  <c r="N23" i="6"/>
  <c r="G12" i="10"/>
  <c r="J12" i="10" s="1"/>
  <c r="E29" i="15"/>
  <c r="N30" i="6"/>
  <c r="G14" i="10"/>
  <c r="J14" i="10" s="1"/>
  <c r="G29" i="12"/>
  <c r="I29" i="12" s="1"/>
  <c r="F18" i="15"/>
  <c r="G18" i="15" s="1"/>
  <c r="I12" i="8"/>
  <c r="B64" i="11"/>
  <c r="D30" i="19" s="1"/>
  <c r="C7" i="14" l="1"/>
  <c r="B45" i="16"/>
  <c r="B40" i="16"/>
  <c r="H12" i="16"/>
  <c r="B42" i="16"/>
  <c r="B41" i="16"/>
  <c r="B44" i="16"/>
  <c r="B43" i="16"/>
  <c r="F14" i="15"/>
  <c r="G14" i="15" s="1"/>
  <c r="H15" i="10"/>
  <c r="B27" i="4"/>
  <c r="D10" i="7"/>
  <c r="A5" i="4" s="1"/>
  <c r="G5" i="4"/>
  <c r="D23" i="19"/>
  <c r="E23" i="19" s="1"/>
  <c r="F26" i="15"/>
  <c r="G26" i="15" s="1"/>
  <c r="I16" i="8"/>
  <c r="F16" i="15"/>
  <c r="G16" i="15" s="1"/>
  <c r="H10" i="10"/>
  <c r="F5" i="15"/>
  <c r="G5" i="15" s="1"/>
  <c r="H5" i="10"/>
  <c r="F6" i="15"/>
  <c r="G6" i="15" s="1"/>
  <c r="I4" i="8"/>
  <c r="F35" i="15"/>
  <c r="G35" i="15" s="1"/>
  <c r="H18" i="10"/>
  <c r="F27" i="15"/>
  <c r="G27" i="15" s="1"/>
  <c r="I17" i="8"/>
  <c r="F17" i="15"/>
  <c r="G17" i="15" s="1"/>
  <c r="I10" i="8"/>
  <c r="F32" i="15"/>
  <c r="G32" i="15" s="1"/>
  <c r="I18" i="8"/>
  <c r="F9" i="15"/>
  <c r="G9" i="15" s="1"/>
  <c r="I6" i="8"/>
  <c r="F37" i="15"/>
  <c r="G37" i="15" s="1"/>
  <c r="H20" i="10"/>
  <c r="F33" i="15"/>
  <c r="G33" i="15" s="1"/>
  <c r="I19" i="8"/>
  <c r="F22" i="15"/>
  <c r="G22" i="15" s="1"/>
  <c r="H12" i="10"/>
  <c r="D17" i="9"/>
  <c r="E30" i="19"/>
  <c r="F23" i="15"/>
  <c r="G23" i="15" s="1"/>
  <c r="I15" i="8"/>
  <c r="F15" i="15"/>
  <c r="G15" i="15" s="1"/>
  <c r="I9" i="8"/>
  <c r="D20" i="7"/>
  <c r="F20" i="15"/>
  <c r="G20" i="15" s="1"/>
  <c r="I14" i="8"/>
  <c r="F10" i="15"/>
  <c r="G10" i="15" s="1"/>
  <c r="I7" i="8"/>
  <c r="F21" i="15"/>
  <c r="G21" i="15" s="1"/>
  <c r="H11" i="10"/>
  <c r="F31" i="15"/>
  <c r="G31" i="15" s="1"/>
  <c r="H16" i="10"/>
  <c r="F13" i="15"/>
  <c r="G13" i="15" s="1"/>
  <c r="H8" i="10"/>
  <c r="F28" i="15"/>
  <c r="G28" i="15" s="1"/>
  <c r="H13" i="10"/>
  <c r="F11" i="15"/>
  <c r="G11" i="15" s="1"/>
  <c r="H7" i="10"/>
  <c r="F34" i="15"/>
  <c r="G34" i="15" s="1"/>
  <c r="H17" i="10"/>
  <c r="F36" i="15"/>
  <c r="G36" i="15" s="1"/>
  <c r="H19" i="10"/>
  <c r="L5" i="11"/>
  <c r="S5" i="11"/>
  <c r="B8" i="19"/>
  <c r="H67" i="4"/>
  <c r="D42" i="19"/>
  <c r="C5" i="14"/>
  <c r="B25" i="4"/>
  <c r="F19" i="15"/>
  <c r="G19" i="15" s="1"/>
  <c r="I13" i="8"/>
  <c r="F4" i="15"/>
  <c r="G4" i="15" s="1"/>
  <c r="H4" i="10"/>
  <c r="D25" i="19"/>
  <c r="B54" i="4"/>
  <c r="D11" i="1"/>
  <c r="A9" i="4"/>
  <c r="F7" i="15"/>
  <c r="G7" i="15" s="1"/>
  <c r="H6" i="10"/>
  <c r="E41" i="19"/>
  <c r="B34" i="13"/>
  <c r="E18" i="4" s="1"/>
  <c r="B31" i="13"/>
  <c r="B33" i="13"/>
  <c r="D18" i="4" s="1"/>
  <c r="H4" i="13"/>
  <c r="B32" i="13"/>
  <c r="C18" i="4" s="1"/>
  <c r="F29" i="15"/>
  <c r="G29" i="15" s="1"/>
  <c r="H14" i="10"/>
  <c r="D48" i="19"/>
  <c r="E48" i="19" s="1"/>
  <c r="D22" i="19"/>
  <c r="D5" i="4"/>
  <c r="N8" i="11"/>
  <c r="R8" i="11" s="1"/>
  <c r="Q7" i="11"/>
  <c r="D8" i="1" l="1"/>
  <c r="B52" i="4"/>
  <c r="C52" i="4" s="1"/>
  <c r="D21" i="19"/>
  <c r="E21" i="19" s="1"/>
  <c r="K39" i="6"/>
  <c r="E7" i="7"/>
  <c r="C26" i="4"/>
  <c r="E26" i="4" s="1"/>
  <c r="D62" i="19"/>
  <c r="E62" i="19" s="1"/>
  <c r="D27" i="19"/>
  <c r="E27" i="19" s="1"/>
  <c r="C27" i="4"/>
  <c r="E27" i="4" s="1"/>
  <c r="D58" i="19"/>
  <c r="E58" i="19" s="1"/>
  <c r="C28" i="4"/>
  <c r="E28" i="4" s="1"/>
  <c r="E6" i="7"/>
  <c r="E5" i="7"/>
  <c r="C55" i="4"/>
  <c r="C25" i="4"/>
  <c r="E25" i="4" s="1"/>
  <c r="D55" i="4"/>
  <c r="E10" i="7"/>
  <c r="C29" i="4"/>
  <c r="E29" i="4" s="1"/>
  <c r="E9" i="7"/>
  <c r="E8" i="7"/>
  <c r="D54" i="4"/>
  <c r="C54" i="4"/>
  <c r="B35" i="13"/>
  <c r="B18" i="4"/>
  <c r="N9" i="11"/>
  <c r="R9" i="11" s="1"/>
  <c r="Q8" i="11"/>
  <c r="D34" i="4"/>
  <c r="T5" i="11"/>
  <c r="U5" i="11" s="1"/>
  <c r="D24" i="19"/>
  <c r="D9" i="1"/>
  <c r="F20" i="7"/>
  <c r="F24" i="10"/>
  <c r="E20" i="7"/>
  <c r="K42" i="6"/>
  <c r="B53" i="4"/>
  <c r="J5" i="4"/>
  <c r="E17" i="7"/>
  <c r="E16" i="7"/>
  <c r="E18" i="7"/>
  <c r="E19" i="7"/>
  <c r="E22" i="19"/>
  <c r="V5" i="11"/>
  <c r="I6" i="11"/>
  <c r="M6" i="11" s="1"/>
  <c r="E15" i="7"/>
  <c r="E25" i="19"/>
  <c r="E42" i="19"/>
  <c r="E25" i="15"/>
  <c r="G25" i="12"/>
  <c r="I25" i="12" s="1"/>
  <c r="N26" i="6"/>
  <c r="F25" i="15" s="1"/>
  <c r="G25" i="15" s="1"/>
  <c r="O26" i="6"/>
  <c r="D52" i="4" l="1"/>
  <c r="D53" i="4"/>
  <c r="C53" i="4"/>
  <c r="E34" i="4"/>
  <c r="F34" i="4"/>
  <c r="B6" i="19"/>
  <c r="D67" i="4"/>
  <c r="L6" i="11"/>
  <c r="E24" i="19"/>
  <c r="N10" i="11"/>
  <c r="R10" i="11" s="1"/>
  <c r="Q9" i="11"/>
  <c r="A20" i="4"/>
  <c r="F18" i="4"/>
  <c r="B5" i="19" l="1"/>
  <c r="B67" i="4"/>
  <c r="T6" i="11"/>
  <c r="U6" i="11" s="1"/>
  <c r="I7" i="11"/>
  <c r="M7" i="11" s="1"/>
  <c r="V6" i="11"/>
  <c r="N11" i="11"/>
  <c r="R11" i="11" s="1"/>
  <c r="Q10" i="11"/>
  <c r="N12" i="11" l="1"/>
  <c r="R12" i="11" s="1"/>
  <c r="Q11" i="11"/>
  <c r="L7" i="11"/>
  <c r="T7" i="11" l="1"/>
  <c r="U7" i="11" s="1"/>
  <c r="I8" i="11"/>
  <c r="M8" i="11" s="1"/>
  <c r="V7" i="11"/>
  <c r="N13" i="11"/>
  <c r="R13" i="11" s="1"/>
  <c r="Q12" i="11"/>
  <c r="N14" i="11" l="1"/>
  <c r="R14" i="11" s="1"/>
  <c r="Q13" i="11"/>
  <c r="L8" i="11"/>
  <c r="V8" i="11" l="1"/>
  <c r="I9" i="11"/>
  <c r="M9" i="11" s="1"/>
  <c r="N15" i="11"/>
  <c r="R15" i="11" s="1"/>
  <c r="Q14" i="11"/>
  <c r="T8" i="11"/>
  <c r="U8" i="11" s="1"/>
  <c r="N16" i="11" l="1"/>
  <c r="R16" i="11" s="1"/>
  <c r="N17" i="11" l="1"/>
  <c r="R17" i="11" s="1"/>
  <c r="S9" i="11"/>
  <c r="L9" i="11"/>
  <c r="T9" i="11" s="1"/>
  <c r="Q15" i="11"/>
  <c r="N18" i="11" l="1"/>
  <c r="R18" i="11" s="1"/>
  <c r="I10" i="11"/>
  <c r="M10" i="11" s="1"/>
  <c r="V9" i="11"/>
  <c r="U9" i="11"/>
  <c r="D35" i="4"/>
  <c r="Q16" i="11"/>
  <c r="E35" i="4" l="1"/>
  <c r="F35" i="4"/>
  <c r="N19" i="11"/>
  <c r="R19" i="11" s="1"/>
  <c r="L10" i="11"/>
  <c r="T10" i="11" s="1"/>
  <c r="Q17" i="11"/>
  <c r="N20" i="11" l="1"/>
  <c r="R20" i="11" s="1"/>
  <c r="S10" i="11"/>
  <c r="Q18" i="11"/>
  <c r="N21" i="11" l="1"/>
  <c r="R21" i="11" s="1"/>
  <c r="U10" i="11"/>
  <c r="I11" i="11"/>
  <c r="M11" i="11" s="1"/>
  <c r="V10" i="11"/>
  <c r="Q19" i="11"/>
  <c r="N22" i="11" l="1"/>
  <c r="R22" i="11" s="1"/>
  <c r="L11" i="11"/>
  <c r="T11" i="11" s="1"/>
  <c r="Q20" i="11"/>
  <c r="N23" i="11" l="1"/>
  <c r="R23" i="11" s="1"/>
  <c r="S11" i="11"/>
  <c r="Q21" i="11"/>
  <c r="N24" i="11" l="1"/>
  <c r="R24" i="11" s="1"/>
  <c r="V11" i="11"/>
  <c r="I12" i="11"/>
  <c r="M12" i="11" s="1"/>
  <c r="U11" i="11"/>
  <c r="Q22" i="11"/>
  <c r="N25" i="11" l="1"/>
  <c r="R25" i="11" s="1"/>
  <c r="S12" i="11"/>
  <c r="Q23" i="11"/>
  <c r="N26" i="11" l="1"/>
  <c r="R26" i="11" s="1"/>
  <c r="L12" i="11"/>
  <c r="T12" i="11" s="1"/>
  <c r="U12" i="11" s="1"/>
  <c r="Q24" i="11"/>
  <c r="N27" i="11" l="1"/>
  <c r="R27" i="11" s="1"/>
  <c r="I13" i="11"/>
  <c r="M13" i="11" s="1"/>
  <c r="V12" i="11"/>
  <c r="Q25" i="11"/>
  <c r="N28" i="11" l="1"/>
  <c r="R28" i="11" s="1"/>
  <c r="S13" i="11"/>
  <c r="Q26" i="11"/>
  <c r="N29" i="11" l="1"/>
  <c r="R29" i="11" s="1"/>
  <c r="L13" i="11"/>
  <c r="T13" i="11" s="1"/>
  <c r="U13" i="11" s="1"/>
  <c r="Q27" i="11"/>
  <c r="Q29" i="11" l="1"/>
  <c r="V13" i="11"/>
  <c r="I14" i="11"/>
  <c r="M14" i="11" s="1"/>
  <c r="Q28" i="11"/>
  <c r="S14" i="11" l="1"/>
  <c r="N30" i="11"/>
  <c r="R30" i="11" s="1"/>
  <c r="N31" i="11" l="1"/>
  <c r="R31" i="11" s="1"/>
  <c r="L14" i="11"/>
  <c r="T14" i="11" s="1"/>
  <c r="U14" i="11" s="1"/>
  <c r="N32" i="11" l="1"/>
  <c r="R32" i="11" s="1"/>
  <c r="V14" i="11"/>
  <c r="I15" i="11"/>
  <c r="M15" i="11" s="1"/>
  <c r="Q30" i="11"/>
  <c r="N33" i="11" l="1"/>
  <c r="R33" i="11" s="1"/>
  <c r="S15" i="11"/>
  <c r="Q31" i="11"/>
  <c r="N34" i="11" l="1"/>
  <c r="R34" i="11" s="1"/>
  <c r="L15" i="11"/>
  <c r="T15" i="11" s="1"/>
  <c r="U15" i="11" s="1"/>
  <c r="Q32" i="11"/>
  <c r="N35" i="11" l="1"/>
  <c r="R35" i="11" s="1"/>
  <c r="I16" i="11"/>
  <c r="M16" i="11" s="1"/>
  <c r="V15" i="11"/>
  <c r="Q33" i="11"/>
  <c r="Q35" i="11" l="1"/>
  <c r="S16" i="11"/>
  <c r="Q34" i="11"/>
  <c r="L16" i="11" l="1"/>
  <c r="T16" i="11" s="1"/>
  <c r="U16" i="11" s="1"/>
  <c r="N36" i="11"/>
  <c r="R36" i="11" s="1"/>
  <c r="N37" i="11" l="1"/>
  <c r="R37" i="11" s="1"/>
  <c r="I17" i="11"/>
  <c r="M17" i="11" s="1"/>
  <c r="V16" i="11"/>
  <c r="Q37" i="11" l="1"/>
  <c r="S17" i="11"/>
  <c r="Q36" i="11"/>
  <c r="L17" i="11" l="1"/>
  <c r="T17" i="11" s="1"/>
  <c r="U17" i="11" s="1"/>
  <c r="N38" i="11"/>
  <c r="R38" i="11" s="1"/>
  <c r="N39" i="11" l="1"/>
  <c r="R39" i="11" s="1"/>
  <c r="V17" i="11"/>
  <c r="I18" i="11"/>
  <c r="M18" i="11" s="1"/>
  <c r="N40" i="11" l="1"/>
  <c r="R40" i="11" s="1"/>
  <c r="S18" i="11"/>
  <c r="Q38" i="11"/>
  <c r="N41" i="11" l="1"/>
  <c r="R41" i="11" s="1"/>
  <c r="L18" i="11"/>
  <c r="T18" i="11" s="1"/>
  <c r="U18" i="11" s="1"/>
  <c r="Q39" i="11"/>
  <c r="Q41" i="11" l="1"/>
  <c r="I19" i="11"/>
  <c r="M19" i="11" s="1"/>
  <c r="V18" i="11"/>
  <c r="Q40" i="11"/>
  <c r="S19" i="11" l="1"/>
  <c r="N42" i="11"/>
  <c r="R42" i="11" s="1"/>
  <c r="N43" i="11" l="1"/>
  <c r="R43" i="11" s="1"/>
  <c r="L19" i="11"/>
  <c r="T19" i="11" s="1"/>
  <c r="U19" i="11" s="1"/>
  <c r="N44" i="11" l="1"/>
  <c r="R44" i="11" s="1"/>
  <c r="Q43" i="11"/>
  <c r="V19" i="11"/>
  <c r="I20" i="11"/>
  <c r="M20" i="11" s="1"/>
  <c r="Q42" i="11"/>
  <c r="S20" i="11" l="1"/>
  <c r="N45" i="11"/>
  <c r="R45" i="11" s="1"/>
  <c r="Q44" i="11"/>
  <c r="N46" i="11" l="1"/>
  <c r="R46" i="11" s="1"/>
  <c r="Q45" i="11"/>
  <c r="L20" i="11"/>
  <c r="T20" i="11" s="1"/>
  <c r="U20" i="11" s="1"/>
  <c r="V20" i="11" l="1"/>
  <c r="I21" i="11"/>
  <c r="M21" i="11" s="1"/>
  <c r="N47" i="11"/>
  <c r="R47" i="11" s="1"/>
  <c r="Q46" i="11"/>
  <c r="Q47" i="11" l="1"/>
  <c r="N48" i="11"/>
  <c r="R48" i="11" s="1"/>
  <c r="S21" i="11"/>
  <c r="D38" i="4" l="1"/>
  <c r="F38" i="4" s="1"/>
  <c r="L21" i="11"/>
  <c r="T21" i="11" s="1"/>
  <c r="U21" i="11" s="1"/>
  <c r="Q48" i="11"/>
  <c r="N49" i="11"/>
  <c r="R49" i="11" s="1"/>
  <c r="Q49" i="11" l="1"/>
  <c r="N50" i="11"/>
  <c r="R50" i="11" s="1"/>
  <c r="I22" i="11"/>
  <c r="M22" i="11" s="1"/>
  <c r="V21" i="11"/>
  <c r="S22" i="11" l="1"/>
  <c r="N51" i="11"/>
  <c r="R51" i="11" s="1"/>
  <c r="Q50" i="11"/>
  <c r="N52" i="11" l="1"/>
  <c r="R52" i="11" s="1"/>
  <c r="Q51" i="11"/>
  <c r="L22" i="11"/>
  <c r="T22" i="11" s="1"/>
  <c r="U22" i="11" s="1"/>
  <c r="I23" i="11" l="1"/>
  <c r="M23" i="11" s="1"/>
  <c r="V22" i="11"/>
  <c r="N53" i="11"/>
  <c r="R53" i="11" s="1"/>
  <c r="Q52" i="11"/>
  <c r="Q53" i="11" l="1"/>
  <c r="N54" i="11"/>
  <c r="R54" i="11" s="1"/>
  <c r="S23" i="11"/>
  <c r="L23" i="11" l="1"/>
  <c r="T23" i="11" s="1"/>
  <c r="U23" i="11" s="1"/>
  <c r="N55" i="11"/>
  <c r="R55" i="11" s="1"/>
  <c r="Q54" i="11"/>
  <c r="N56" i="11" l="1"/>
  <c r="R56" i="11" s="1"/>
  <c r="Q55" i="11"/>
  <c r="V23" i="11"/>
  <c r="I24" i="11"/>
  <c r="M24" i="11" s="1"/>
  <c r="S24" i="11" l="1"/>
  <c r="N57" i="11"/>
  <c r="R57" i="11" s="1"/>
  <c r="Q56" i="11"/>
  <c r="Q57" i="11" l="1"/>
  <c r="E63" i="11" s="1"/>
  <c r="L24" i="11"/>
  <c r="T24" i="11" s="1"/>
  <c r="U24" i="11" s="1"/>
  <c r="I25" i="11" l="1"/>
  <c r="M25" i="11" s="1"/>
  <c r="V24" i="11"/>
  <c r="S25" i="11" l="1"/>
  <c r="L25" i="11" l="1"/>
  <c r="T25" i="11" s="1"/>
  <c r="U25" i="11" s="1"/>
  <c r="V25" i="11" l="1"/>
  <c r="I26" i="11"/>
  <c r="M26" i="11" s="1"/>
  <c r="S26" i="11" l="1"/>
  <c r="L26" i="11" l="1"/>
  <c r="T26" i="11" s="1"/>
  <c r="U26" i="11" s="1"/>
  <c r="V26" i="11" l="1"/>
  <c r="I27" i="11"/>
  <c r="M27" i="11" s="1"/>
  <c r="S27" i="11" l="1"/>
  <c r="L27" i="11" l="1"/>
  <c r="T27" i="11" s="1"/>
  <c r="U27" i="11" s="1"/>
  <c r="I28" i="11" l="1"/>
  <c r="M28" i="11" s="1"/>
  <c r="V27" i="11"/>
  <c r="S28" i="11" l="1"/>
  <c r="L28" i="11" l="1"/>
  <c r="T28" i="11" s="1"/>
  <c r="U28" i="11" s="1"/>
  <c r="I29" i="11" l="1"/>
  <c r="M29" i="11" s="1"/>
  <c r="V28" i="11"/>
  <c r="S29" i="11" l="1"/>
  <c r="L29" i="11" l="1"/>
  <c r="T29" i="11" s="1"/>
  <c r="U29" i="11" s="1"/>
  <c r="I30" i="11" l="1"/>
  <c r="M30" i="11" s="1"/>
  <c r="V29" i="11"/>
  <c r="S30" i="11" l="1"/>
  <c r="L30" i="11" l="1"/>
  <c r="T30" i="11" s="1"/>
  <c r="U30" i="11" s="1"/>
  <c r="V30" i="11" l="1"/>
  <c r="I31" i="11"/>
  <c r="M31" i="11" s="1"/>
  <c r="S31" i="11" l="1"/>
  <c r="L31" i="11" l="1"/>
  <c r="T31" i="11" s="1"/>
  <c r="U31" i="11" s="1"/>
  <c r="V31" i="11" l="1"/>
  <c r="I32" i="11"/>
  <c r="M32" i="11" s="1"/>
  <c r="S32" i="11" l="1"/>
  <c r="L32" i="11" l="1"/>
  <c r="T32" i="11" s="1"/>
  <c r="U32" i="11" s="1"/>
  <c r="I33" i="11" l="1"/>
  <c r="M33" i="11" s="1"/>
  <c r="V32" i="11"/>
  <c r="S33" i="11" l="1"/>
  <c r="L33" i="11" l="1"/>
  <c r="T33" i="11" s="1"/>
  <c r="U33" i="11" s="1"/>
  <c r="V33" i="11" l="1"/>
  <c r="I34" i="11"/>
  <c r="M34" i="11" s="1"/>
  <c r="S34" i="11" l="1"/>
  <c r="L34" i="11" l="1"/>
  <c r="T34" i="11" s="1"/>
  <c r="U34" i="11" s="1"/>
  <c r="I35" i="11" l="1"/>
  <c r="M35" i="11" s="1"/>
  <c r="V34" i="11"/>
  <c r="S35" i="11" l="1"/>
  <c r="L35" i="11" l="1"/>
  <c r="T35" i="11" s="1"/>
  <c r="U35" i="11" s="1"/>
  <c r="I36" i="11" l="1"/>
  <c r="M36" i="11" s="1"/>
  <c r="V35" i="11"/>
  <c r="S36" i="11" l="1"/>
  <c r="L36" i="11" l="1"/>
  <c r="T36" i="11" s="1"/>
  <c r="U36" i="11" s="1"/>
  <c r="V36" i="11" l="1"/>
  <c r="I37" i="11"/>
  <c r="M37" i="11" s="1"/>
  <c r="S37" i="11" l="1"/>
  <c r="L37" i="11" l="1"/>
  <c r="T37" i="11" s="1"/>
  <c r="U37" i="11" s="1"/>
  <c r="V37" i="11" l="1"/>
  <c r="I38" i="11"/>
  <c r="M38" i="11" s="1"/>
  <c r="S38" i="11" l="1"/>
  <c r="L38" i="11" l="1"/>
  <c r="T38" i="11" s="1"/>
  <c r="U38" i="11" s="1"/>
  <c r="I39" i="11" l="1"/>
  <c r="M39" i="11" s="1"/>
  <c r="V38" i="11"/>
  <c r="S39" i="11" l="1"/>
  <c r="L39" i="11" l="1"/>
  <c r="T39" i="11" s="1"/>
  <c r="U39" i="11" s="1"/>
  <c r="I40" i="11" l="1"/>
  <c r="M40" i="11" s="1"/>
  <c r="V39" i="11"/>
  <c r="S40" i="11" l="1"/>
  <c r="L40" i="11" l="1"/>
  <c r="T40" i="11" s="1"/>
  <c r="U40" i="11" s="1"/>
  <c r="I41" i="11" l="1"/>
  <c r="M41" i="11" s="1"/>
  <c r="V40" i="11"/>
  <c r="S41" i="11" l="1"/>
  <c r="L41" i="11" l="1"/>
  <c r="T41" i="11" s="1"/>
  <c r="U41" i="11" s="1"/>
  <c r="I42" i="11" l="1"/>
  <c r="M42" i="11" s="1"/>
  <c r="V41" i="11"/>
  <c r="S42" i="11" l="1"/>
  <c r="L42" i="11" l="1"/>
  <c r="T42" i="11" s="1"/>
  <c r="U42" i="11" s="1"/>
  <c r="V42" i="11" l="1"/>
  <c r="I43" i="11"/>
  <c r="M43" i="11" s="1"/>
  <c r="S43" i="11" l="1"/>
  <c r="L43" i="11" l="1"/>
  <c r="T43" i="11" s="1"/>
  <c r="U43" i="11" s="1"/>
  <c r="V43" i="11" l="1"/>
  <c r="I44" i="11"/>
  <c r="M44" i="11" s="1"/>
  <c r="S44" i="11" l="1"/>
  <c r="L44" i="11" l="1"/>
  <c r="T44" i="11" s="1"/>
  <c r="U44" i="11" s="1"/>
  <c r="I45" i="11" l="1"/>
  <c r="M45" i="11" s="1"/>
  <c r="V44" i="11"/>
  <c r="S45" i="11" l="1"/>
  <c r="D44" i="4" l="1"/>
  <c r="F44" i="4" s="1"/>
  <c r="L45" i="11"/>
  <c r="T45" i="11" s="1"/>
  <c r="U45" i="11" s="1"/>
  <c r="V45" i="11" l="1"/>
  <c r="I46" i="11"/>
  <c r="M46" i="11" s="1"/>
  <c r="S46" i="11" l="1"/>
  <c r="L46" i="11" l="1"/>
  <c r="T46" i="11" s="1"/>
  <c r="U46" i="11" s="1"/>
  <c r="I47" i="11" l="1"/>
  <c r="M47" i="11" s="1"/>
  <c r="V46" i="11"/>
  <c r="S47" i="11" l="1"/>
  <c r="L47" i="11" l="1"/>
  <c r="T47" i="11" s="1"/>
  <c r="U47" i="11" s="1"/>
  <c r="I48" i="11" l="1"/>
  <c r="M48" i="11" s="1"/>
  <c r="V47" i="11"/>
  <c r="S48" i="11" l="1"/>
  <c r="L48" i="11" l="1"/>
  <c r="T48" i="11" s="1"/>
  <c r="U48" i="11" s="1"/>
  <c r="V48" i="11" l="1"/>
  <c r="I49" i="11"/>
  <c r="M49" i="11" s="1"/>
  <c r="S49" i="11" l="1"/>
  <c r="L49" i="11" l="1"/>
  <c r="T49" i="11" s="1"/>
  <c r="U49" i="11" s="1"/>
  <c r="V49" i="11" l="1"/>
  <c r="I50" i="11"/>
  <c r="M50" i="11" s="1"/>
  <c r="S50" i="11" l="1"/>
  <c r="L50" i="11" l="1"/>
  <c r="T50" i="11" s="1"/>
  <c r="U50" i="11" s="1"/>
  <c r="I51" i="11" l="1"/>
  <c r="M51" i="11" s="1"/>
  <c r="V50" i="11"/>
  <c r="S51" i="11" l="1"/>
  <c r="L51" i="11" l="1"/>
  <c r="T51" i="11" s="1"/>
  <c r="U51" i="11" s="1"/>
  <c r="I52" i="11" l="1"/>
  <c r="M52" i="11" s="1"/>
  <c r="V51" i="11"/>
  <c r="S52" i="11" l="1"/>
  <c r="L52" i="11" l="1"/>
  <c r="T52" i="11" s="1"/>
  <c r="U52" i="11" s="1"/>
  <c r="I53" i="11" l="1"/>
  <c r="M53" i="11" s="1"/>
  <c r="V52" i="11"/>
  <c r="S53" i="11" l="1"/>
  <c r="L53" i="11" l="1"/>
  <c r="T53" i="11" s="1"/>
  <c r="U53" i="11" s="1"/>
  <c r="I54" i="11" l="1"/>
  <c r="M54" i="11" s="1"/>
  <c r="V53" i="11"/>
  <c r="S54" i="11" l="1"/>
  <c r="L54" i="11" l="1"/>
  <c r="T54" i="11" s="1"/>
  <c r="U54" i="11" s="1"/>
  <c r="V54" i="11" l="1"/>
  <c r="I55" i="11"/>
  <c r="M55" i="11" s="1"/>
  <c r="S55" i="11" l="1"/>
  <c r="C62" i="11"/>
  <c r="L55" i="11"/>
  <c r="T55" i="11" s="1"/>
  <c r="V55" i="11" l="1"/>
  <c r="I56" i="11"/>
  <c r="M56" i="11" s="1"/>
  <c r="C64" i="11"/>
  <c r="D62" i="11"/>
  <c r="M25" i="6" s="1"/>
  <c r="U55" i="11"/>
  <c r="D36" i="4"/>
  <c r="D37" i="4"/>
  <c r="F37" i="4" s="1"/>
  <c r="D39" i="4"/>
  <c r="F39" i="4" s="1"/>
  <c r="D40" i="4"/>
  <c r="F40" i="4" s="1"/>
  <c r="D41" i="4"/>
  <c r="F41" i="4" s="1"/>
  <c r="D42" i="4"/>
  <c r="F42" i="4" s="1"/>
  <c r="D43" i="4"/>
  <c r="F43" i="4" s="1"/>
  <c r="D45" i="4"/>
  <c r="F45" i="4" s="1"/>
  <c r="D46" i="4"/>
  <c r="F46" i="4" s="1"/>
  <c r="D47" i="4"/>
  <c r="F47" i="4" s="1"/>
  <c r="E36" i="4" l="1"/>
  <c r="E37" i="4" s="1"/>
  <c r="E38" i="4" s="1"/>
  <c r="E39" i="4" s="1"/>
  <c r="E40" i="4" s="1"/>
  <c r="E41" i="4" s="1"/>
  <c r="E42" i="4" s="1"/>
  <c r="E43" i="4" s="1"/>
  <c r="E44" i="4" s="1"/>
  <c r="E45" i="4" s="1"/>
  <c r="E46" i="4" s="1"/>
  <c r="E47" i="4" s="1"/>
  <c r="F36" i="4"/>
  <c r="D64" i="11"/>
  <c r="F17" i="9" s="1"/>
  <c r="C17" i="9"/>
  <c r="L56" i="11"/>
  <c r="T56" i="11" s="1"/>
  <c r="U56" i="11" s="1"/>
  <c r="I57" i="11" l="1"/>
  <c r="M57" i="11" s="1"/>
  <c r="V56" i="11"/>
  <c r="E24" i="15"/>
  <c r="G24" i="12"/>
  <c r="I24" i="12" s="1"/>
  <c r="N25" i="6"/>
  <c r="F24" i="15" s="1"/>
  <c r="G24" i="15" s="1"/>
  <c r="D9" i="4"/>
  <c r="J13" i="4"/>
  <c r="O25" i="6"/>
  <c r="G24" i="8"/>
  <c r="G25" i="8" s="1"/>
  <c r="C12" i="17" a="1"/>
  <c r="C12" i="17" s="1"/>
  <c r="B27" i="17" a="1"/>
  <c r="B27" i="17" s="1"/>
  <c r="B26" i="17" a="1"/>
  <c r="B26" i="17" s="1"/>
  <c r="I40" i="12" a="1"/>
  <c r="I40" i="12" s="1"/>
  <c r="B25" i="17" a="1"/>
  <c r="B25" i="17" s="1"/>
  <c r="E12" i="17" a="1"/>
  <c r="E12" i="17" s="1"/>
  <c r="B28" i="17" a="1"/>
  <c r="B28" i="17" s="1"/>
  <c r="I42" i="12" a="1"/>
  <c r="I42" i="12" s="1"/>
  <c r="B24" i="17" a="1"/>
  <c r="B24" i="17" s="1"/>
  <c r="I41" i="12" a="1"/>
  <c r="I41" i="12" s="1"/>
  <c r="D12" i="17" a="1"/>
  <c r="D12" i="17" s="1"/>
  <c r="G26" i="8" a="1"/>
  <c r="G26" i="8" s="1"/>
  <c r="D19" i="19" a="1"/>
  <c r="D19" i="19" s="1"/>
  <c r="F26" i="10" a="1"/>
  <c r="F26" i="10" s="1"/>
  <c r="B29" i="17" a="1"/>
  <c r="B29" i="17" s="1"/>
  <c r="C13" i="17" l="1"/>
  <c r="C15" i="17"/>
  <c r="D15" i="17"/>
  <c r="D13" i="17"/>
  <c r="E19" i="19"/>
  <c r="E15" i="17"/>
  <c r="E13" i="17"/>
  <c r="I44" i="12"/>
  <c r="G9" i="4" s="1"/>
  <c r="D61" i="19"/>
  <c r="E61" i="19" s="1"/>
  <c r="I43" i="12"/>
  <c r="J9" i="4" s="1"/>
  <c r="L57" i="11"/>
  <c r="V57" i="11"/>
  <c r="T57" i="11" l="1"/>
  <c r="U57" i="11" s="1"/>
  <c r="E62" i="11"/>
  <c r="E64" i="11" s="1"/>
  <c r="J67" i="4"/>
  <c r="B67" i="19"/>
  <c r="B9" i="19"/>
  <c r="B68" i="19"/>
  <c r="B66" i="19"/>
  <c r="B69" i="19" l="1"/>
  <c r="A2"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7" authorId="0" shapeId="0" xr:uid="{00000000-0006-0000-0000-000001000000}">
      <text>
        <r>
          <rPr>
            <sz val="10"/>
            <rFont val="Arial"/>
            <family val="2"/>
          </rPr>
          <t>Counts every row in Facility Master (34 total): 9 active main facilities + 24 sub-limits + 1 hedge memo (SIB Forward). Dashboard's 'Active Facilities' count (=10) excludes the 24 sub-limits and is the operationally meaningful tally.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4" authorId="0" shapeId="0" xr:uid="{00000000-0006-0000-0400-000005000000}">
      <text>
        <r>
          <rPr>
            <sz val="10"/>
            <rFont val="Arial"/>
            <family val="2"/>
          </rPr>
          <t>Divyanshu Vatsa:
As-of Date is currently 15 April 2026. This single date drives everything that involves time — how many EQIs have been paid on each term loan, what the outstanding balances are, how many days remain to each facility's validity date, and which facilities are flagging as expiring soon on the Renewal Calendar. Change this date and the whole model moves forward or backward in time automatically.</t>
        </r>
      </text>
    </comment>
    <comment ref="E5" authorId="0" shapeId="0" xr:uid="{00000000-0006-0000-0400-000006000000}">
      <text>
        <r>
          <rPr>
            <sz val="10"/>
            <rFont val="Arial"/>
            <family val="2"/>
          </rPr>
          <t xml:space="preserve">Divyanshu Vatsa: USD/INR FX Rate is ₹92.98. This is a reference figure. The model uses it to show INR equivalents of the two GIFT City USD facilities, but the binding constraints are the INR caps stated in the sanction letters — ₹100 crore for BC-WC and ₹172 crore for BC-CAPEX. The FX rate doesn't override those caps.
</t>
        </r>
      </text>
    </comment>
    <comment ref="E6" authorId="0" shapeId="0" xr:uid="{00000000-0006-0000-0400-000007000000}">
      <text>
        <r>
          <rPr>
            <sz val="10"/>
            <rFont val="Arial"/>
            <family val="2"/>
          </rPr>
          <t>Divyanshu Vatsa: Use Full Utilisation is currently set to TRUE. This is the stress toggle. When TRUE, every working capital facility is assumed drawn to its cap-basis sanctioned limit — which is the conservative view, the worst-case utilisation picture. When FALSE, the model uses actual drawn amounts from Column N of the Facility Master. Right now with the toggle on TRUE, all WC lines show as fully drawn — which is why the utilisation tracker shows most facilities at High (&gt;90%). If you flip it to FALSE and the actual drawn amounts are zero or low, the interest figure would drop and the leverage ratios would improve. For management presentations you'd typically present both — the FALSE view is the current reality, the TRUE view is the stressed position.</t>
        </r>
      </text>
    </comment>
    <comment ref="E8" authorId="0" shapeId="0" xr:uid="{00000000-0006-0000-0400-000008000000}">
      <text>
        <r>
          <rPr>
            <sz val="10"/>
            <rFont val="Arial"/>
            <family val="2"/>
          </rPr>
          <t xml:space="preserve">Divyanshu Vatsa: Financial Basis is set to Projected. This toggle controls which column of Section C feeds the covenant ratios. Currently it points to FY26E — the projected FY26 estimates. Switch it to Actual and it pulls FY24A — the last audited year. This is the single cell that changes the entire covenant compliance picture from a projection-based view to an audited-numbers view.
</t>
        </r>
      </text>
    </comment>
    <comment ref="B20" authorId="0" shapeId="0" xr:uid="{00000000-0006-0000-0400-000004000000}">
      <text>
        <r>
          <rPr>
            <sz val="10"/>
            <rFont val="Arial"/>
            <family val="2"/>
          </rPr>
          <t>Divyanshu Vatsa:
ASSUMPTION (flag): FD rate not specified in any sanction letter. Used 7.00% p.a. as proxy = SBI/RBL 1Y FD card rate as of Apr-2026 (RBI Repo 5.25% + ~175bps typical 1Y FD premium). Confirm actual FD rate at deposit booking. Drives FDOD facility (Facility Master row 16) effective rate = 7.00% + 0.25% spread = 7.25%.</t>
        </r>
      </text>
    </comment>
    <comment ref="A41" authorId="0" shapeId="0" xr:uid="{00000000-0006-0000-0400-000001000000}">
      <text>
        <r>
          <rPr>
            <sz val="10"/>
            <rFont val="Arial"/>
            <family val="2"/>
          </rPr>
          <t>Divyanshu Vatsa: Five numbers, all hard-coded from the sanction letters. RBL INR WC cap ₹100 crore. RBL BC-WC cap ₹100 crore. RBL BC-CAPEX cap ₹172 crore. ICICI FB cap ₹50 crore. SIB CCOL cap ₹50 crore.
These are the cap values that the Effective Outstanding formula in the Facility Master uses for its proportional allocation. They live here — not scattered across individual facility rows — so that if a cap changes in a new sanction letter, you update one cell and the allocation recalculates across every facility in that cap group simultaneously.</t>
        </r>
      </text>
    </comment>
    <comment ref="A48" authorId="0" shapeId="0" xr:uid="{00000000-0006-0000-0400-000002000000}">
      <text>
        <r>
          <rPr>
            <sz val="10"/>
            <rFont val="Arial"/>
            <family val="2"/>
          </rPr>
          <t>Divyanshu Vatsa: Four hardcoded dates: RBL TL maturity 31-Mar-2029, YBL TL repayment start 31-Mar-2025, YBL TL maturity 30-Sep-2036, Bajaj TL maturity 31-Aug-2033. These are taken directly from the respective sanction letters and serve as anchor dates for the repayment schedule logic. Having them here rather than buried in the schedule itself means you can see all critical dates in one place and update them if a letter changes the repayment structure.</t>
        </r>
      </text>
    </comment>
    <comment ref="A59" authorId="0" shapeId="0" xr:uid="{00000000-0006-0000-0400-000003000000}">
      <text>
        <r>
          <rPr>
            <sz val="10"/>
            <rFont val="Arial"/>
            <family val="2"/>
          </rPr>
          <t>Divyanshu Vatsa: A lookup table that converts credit rating text into a number so the model can compare ratings mathematically. AAA = 21, AA+ = 20, all the way down to BB or below = 10. JCL's current external rating is CARE A+, which maps to ordinal 17. The common minimum rating covenant across most lenders is A−, which maps to 15. The covenant check simply asks: is JCL's ordinal ≥ the threshold ordinal? If yes, compliant. If not, breached.
This is how the model handles a non-numeric covenant without requiring manual interpretation every time.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3" authorId="0" shapeId="0" xr:uid="{00000000-0006-0000-0500-00000B000000}">
      <text>
        <r>
          <rPr>
            <sz val="10"/>
            <rFont val="Arial"/>
            <family val="2"/>
          </rPr>
          <t>Divyanshu Vatsa: The first group is identification — Serial Number, Lender, Facility name, Category, Nature (revolving or non-revolving), and a Sub-Limit flag. The Sub-Limit flag is a TRUE/FALSE toggle that tells the model whether this row is a child of another row. Sub-limits are tracked for operational completeness but excluded from all debt totals so nothing gets double-counted.</t>
        </r>
      </text>
    </comment>
    <comment ref="O3" authorId="0" shapeId="0" xr:uid="{00000000-0006-0000-0500-000015000000}">
      <text>
        <r>
          <rPr>
            <sz val="10"/>
            <rFont val="Arial"/>
            <family val="2"/>
          </rPr>
          <t>Divyanshu Vatsa: The third group is the financial structure — Bucket, Currency, Sanctioned amount in original currency, Sanctioned amount in INR, Current Outstanding (the actual drawn figure, manually updated), Effective Outstanding (the model-computed figure used in all totals), Utilisation percentage, and Headroom.</t>
        </r>
      </text>
    </comment>
    <comment ref="T3" authorId="0" shapeId="0" xr:uid="{00000000-0006-0000-0500-000022000000}">
      <text>
        <r>
          <rPr>
            <sz val="10"/>
            <rFont val="Arial"/>
            <family val="2"/>
          </rPr>
          <t>Divyanshu Vatsa: The fourth group is pricing — Benchmark, Spread, Effective Rate, Rate Type (fixed, floating, TBD), and Moratorium months.</t>
        </r>
      </text>
    </comment>
    <comment ref="AB3" authorId="0" shapeId="0" xr:uid="{00000000-0006-0000-0500-000027000000}">
      <text>
        <r>
          <rPr>
            <sz val="10"/>
            <rFont val="Arial"/>
            <family val="2"/>
          </rPr>
          <t>Divyanshu Vatsa: The fifth group is dates — Repayment Frequency, Tenor, Number of Instalments, Drawdown Date, Repayment Start Date, Maturity Date, Sanction Date, and Validity Date</t>
        </r>
      </text>
    </comment>
    <comment ref="AF3" authorId="0" shapeId="0" xr:uid="{00000000-0006-0000-0500-000029000000}">
      <text>
        <r>
          <rPr>
            <sz val="10"/>
            <rFont val="Arial"/>
            <family val="2"/>
          </rPr>
          <t>Divyanshu Vatsa: And then three descriptive fields at the end — Purpose, Security Summary, and Sanction Reference — plus a Remarks column where the model builder has flagged important caveats.</t>
        </r>
      </text>
    </comment>
    <comment ref="H4" authorId="0" shapeId="0" xr:uid="{00000000-0006-0000-0500-000010000000}">
      <text>
        <r>
          <rPr>
            <sz val="10"/>
            <rFont val="Arial"/>
            <family val="2"/>
          </rPr>
          <t>Bucket assignment per Path B (Optimized) decision tree:
Bucket 0 — Sub-limit (formal label OR shared-cap with umbrella). Informational only; excluded from all bucket totals. Includes hedge notional memos.
Bucket 1 — FB Mains (parent fund-based facilities). 4 facilities: YBL TL ₹320.7 + Bajaj TL ₹150 + ICICI CC ₹50 + RBL TL ₹200 = ₹720.7 Cr.
Bucket 2 — NFB Mains (parent NFB facilities). 4 facilities: YBL LC ₹200 + ICICI LC ₹150 + SIB LC ₹150 + RBL LC ₹100 = ₹600 Cr.
Bucket 3 — FD-Backed (Separate Lines). 1 facility: RBL FDOD ₹100 Cr.
Sanctioned Debt KPI = Bucket 1 + Bucket 2 = ₹1,320.7 Cr.
NFB Contingent KPI = Bucket 2 + NFB sub-limits whose parent is FB-Main = ₹815 Cr (B2 ₹600 + RBL SBLC for BC ₹190 + RBL Capex LC ₹25).</t>
        </r>
      </text>
    </comment>
    <comment ref="K4" authorId="0" shapeId="0" xr:uid="{00000000-0006-0000-0500-000011000000}">
      <text>
        <r>
          <rPr>
            <sz val="10"/>
            <rFont val="Arial"/>
            <family val="2"/>
          </rPr>
          <t>Divyanshu Vatsa: The face value from the sanction letter, always in INR. For USD facilities, this is the INR cap stated in the letter — ₹100 crore for BC-WC and ₹172 crore for BC-CAPEX — not the USD amount translated at spot rate.</t>
        </r>
      </text>
    </comment>
    <comment ref="L4" authorId="0" shapeId="0" xr:uid="{00000000-0006-0000-0500-000012000000}">
      <text>
        <r>
          <rPr>
            <sz val="10"/>
            <rFont val="Arial"/>
            <family val="2"/>
          </rPr>
          <t>Divyanshu Vatsa: The only manually updated column in this tab. What JCL has actually drawn as of the model date, entered from bank statements. For term loans this is also manually entered but cross-checked against the Repayment Schedule. For most WC lines it is currently equal to the sanctioned amount because Use Full Utilisation is TRUE — when you switch that toggle off, this column is what feeds the Effective Outstanding instead.</t>
        </r>
      </text>
    </comment>
    <comment ref="M4" authorId="0" shapeId="0" xr:uid="{00000000-0006-0000-0500-000013000000}">
      <text>
        <r>
          <rPr>
            <sz val="10"/>
            <rFont val="Arial"/>
            <family val="2"/>
          </rPr>
          <t>Divyanshu Vatsa: Model-computed. This is the number used in every total, every ratio, every dashboard tile. Not manually entered. Three different calculations depending on facility type:
For term loans — pulls directly from the Term Loans sheet via a named range (YBL_TL_PrincOS etc.). The repayment schedule computes it, the named range carries it here.
For cap-group facilities — Face Value × MIN(1, Cap Amount ÷ Sum of all Bucket-1 face values in the same group). For RBL-INR-WC: ₹100 crore × MIN(1, 100÷300) = ₹33.33 crore each across PID, LCBD, CC.
For standalone facilities — if Use Full Utilisation is TRUE, equals the Sanctioned amount. If FALSE, equals Current Outstanding from Column N.
Sub-limits always get zero regardless.</t>
        </r>
      </text>
    </comment>
    <comment ref="N4" authorId="0" shapeId="0" xr:uid="{00000000-0006-0000-0500-000014000000}">
      <text>
        <r>
          <rPr>
            <sz val="10"/>
            <rFont val="Arial"/>
            <family val="2"/>
          </rPr>
          <t>Effective Outstanding ÷ Sanctioned INR. Tells you how much of the sanctioned limit is being used on an effective basis.
Under Use Full Utilisation = TRUE (current setting), most main facilities show 100% — the conservative stress posture.
Sub-limits (Bucket 0) carry zero Effective Outstanding by design and show 100% utilisation against their face value as informational reference only.</t>
        </r>
      </text>
    </comment>
    <comment ref="O4" authorId="0" shapeId="0" xr:uid="{00000000-0006-0000-0500-000016000000}">
      <text>
        <r>
          <rPr>
            <sz val="10"/>
            <rFont val="Arial"/>
            <family val="2"/>
          </rPr>
          <t>Sanctioned INR minus Effective Outstanding. The remaining unused capacity at facility level.
For sub-limits (Bucket 0), this is informational — they don't participate in main-facility totals; their headroom against face is shown for reference only.
For Bucket 1 / 2 / 3 main facilities, this reflects true unused commitment.</t>
        </r>
      </text>
    </comment>
    <comment ref="R4" authorId="0" shapeId="0" xr:uid="{00000000-0006-0000-0500-00001D000000}">
      <text>
        <r>
          <rPr>
            <sz val="10"/>
            <rFont val="Arial"/>
            <family val="2"/>
          </rPr>
          <t>Divyanshu Vatsa: Benchmark is the floating base rate — 1Y MCLR RBL, 3M T-Bill, Repo Rate, BFRR etc. All live values pulled from Section B of the Instructions tab. Spread is the fixed margin added on top, taken from the sanction letter. The two together give the Effective Rate.
This is the rate used in the Interest Schedule for interest accrual. For term loans it's locked in from the letter. For WC facilities it is indicative — the actual rate is set at each drawdown. The Remarks column flags wherever a rate is illustrative rather than contractually fixed.</t>
        </r>
      </text>
    </comment>
    <comment ref="T4" authorId="0" shapeId="0" xr:uid="{00000000-0006-0000-0500-000023000000}">
      <text>
        <r>
          <rPr>
            <sz val="10"/>
            <rFont val="Arial"/>
            <family val="2"/>
          </rPr>
          <t>Divyanshu Vatsa: Only relevant for term loans. Zero means repayments start immediately. 24 for RBL, 12 for Bajaj, 0 for YBL. The repayment formula uses this to determine when the first EQI date falls.</t>
        </r>
      </text>
    </comment>
    <comment ref="U4" authorId="0" shapeId="0" xr:uid="{00000000-0006-0000-0500-000024000000}">
      <text>
        <r>
          <rPr>
            <sz val="10"/>
            <rFont val="Arial"/>
            <family val="2"/>
          </rPr>
          <t>Divyanshu Vatsa: How often principal comes back. Quarterly for all three term loans. On Demand for CC and WCDL facilities — meaning the bank can ask for the money back at any time. On Maturity for LC, BG, SBLC — the exposure lapses when the instrument expires. On Settlement for hedges.</t>
        </r>
      </text>
    </comment>
    <comment ref="V4" authorId="0" shapeId="0" xr:uid="{00000000-0006-0000-0500-000025000000}">
      <text>
        <r>
          <rPr>
            <sz val="10"/>
            <rFont val="Arial"/>
            <family val="2"/>
          </rPr>
          <t>Divyanshu Vatsa: The originally sanctioned life of the facility. 146 months for YBL TL. 96 months for Bajaj TL. 60 months for RBL TL. 12 months for most WC revolving lines, renewed annually.</t>
        </r>
      </text>
    </comment>
    <comment ref="W4" authorId="0" shapeId="0" xr:uid="{00000000-0006-0000-0500-000026000000}">
      <text>
        <r>
          <rPr>
            <sz val="10"/>
            <rFont val="Arial"/>
            <family val="2"/>
          </rPr>
          <t>Divyanshu Vatsa: Only non-zero for term loans. 12 for RBL, 47 for YBL, 28 for Bajaj. Used to compute EQI = Sanctioned ÷ Instalments.</t>
        </r>
      </text>
    </comment>
    <comment ref="AE4" authorId="0" shapeId="0" xr:uid="{00000000-0006-0000-0500-000028000000}">
      <text>
        <r>
          <rPr>
            <sz val="10"/>
            <rFont val="Arial"/>
            <family val="2"/>
          </rPr>
          <t>Divyanshu Vatsa: Sanction Reference names the exact letter that governs the current terms</t>
        </r>
      </text>
    </comment>
    <comment ref="E5" authorId="0" shapeId="0" xr:uid="{00000000-0006-0000-0500-000009000000}">
      <text>
        <r>
          <rPr>
            <sz val="10"/>
            <rFont val="Arial"/>
            <family val="2"/>
          </rPr>
          <t>Divyanshu Vatsa: Revolving — JCL can draw, repay, and draw again within the validity period. Most WC and NFB facilities.</t>
        </r>
      </text>
    </comment>
    <comment ref="D7" authorId="0" shapeId="0" xr:uid="{00000000-0006-0000-0500-000002000000}">
      <text>
        <r>
          <rPr>
            <sz val="10"/>
            <rFont val="Arial"/>
            <family val="2"/>
          </rPr>
          <t>Divyanshu Vatsa: FB — Fund Based. Real money lent. CC, PID, LCBD fall here.</t>
        </r>
      </text>
    </comment>
    <comment ref="P7" authorId="0" shapeId="0" xr:uid="{00000000-0006-0000-0500-000017000000}">
      <text>
        <r>
          <rPr>
            <sz val="10"/>
            <rFont val="Arial"/>
            <family val="2"/>
          </rPr>
          <t>Divyanshu Vatsa:
ASSUMPTION (flag): Sanction letter dated 25-Nov-2022 does not specify Invoice Discounting interest rate. Used 1Y MCLR (RBL) + 50bps as proxy benchmark consistent with RBL Cash Credit pricing structure (row 10 = 1Y MCLR + 5bps). Bill discounting typically priced 25-75bps above CC. Confirm actual rate with RBL at each transaction.</t>
        </r>
      </text>
    </comment>
    <comment ref="Q7" authorId="0" shapeId="0" xr:uid="{00000000-0006-0000-0500-00001A000000}">
      <text>
        <r>
          <rPr>
            <sz val="10"/>
            <rFont val="Arial"/>
            <family val="2"/>
          </rPr>
          <t>Divyanshu Vatsa:
ASSUMPTION (flag): 50bps proxy spread for RBL Invoice Discounting (PID). Sanction letter silent on rate. Confirm at drawdown.</t>
        </r>
      </text>
    </comment>
    <comment ref="D8" authorId="0" shapeId="0" xr:uid="{00000000-0006-0000-0500-000003000000}">
      <text>
        <r>
          <rPr>
            <sz val="10"/>
            <rFont val="Arial"/>
            <family val="2"/>
          </rPr>
          <t xml:space="preserve">Divyanshu Vatsa: NFB — Non Fund Based. LCs, BGs, SBLCs. No money lent, only a promise.
</t>
        </r>
      </text>
    </comment>
    <comment ref="P9" authorId="0" shapeId="0" xr:uid="{00000000-0006-0000-0500-000018000000}">
      <text>
        <r>
          <rPr>
            <sz val="10"/>
            <rFont val="Arial"/>
            <family val="2"/>
          </rPr>
          <t>Divyanshu Vatsa:
ASSUMPTION (flag): Sanction letter dated 25-Nov-2022 specifies Pre-Acceptance LCBD as a Bill Discounting / Invoice Discounting variant but does not state interest rate. Used 1Y MCLR (RBL) + 75bps as proxy consistent with typical LCBD pricing. Confirm actual rate with RBL at each transaction.</t>
        </r>
      </text>
    </comment>
    <comment ref="Q9" authorId="0" shapeId="0" xr:uid="{00000000-0006-0000-0500-00001B000000}">
      <text>
        <r>
          <rPr>
            <sz val="10"/>
            <rFont val="Arial"/>
            <family val="2"/>
          </rPr>
          <t>Divyanshu Vatsa:
ASSUMPTION (flag): 75bps proxy spread for RBL Pre-Acceptance LCBD. Sanction letter silent on rate. Confirm at drawdown.</t>
        </r>
      </text>
    </comment>
    <comment ref="F11" authorId="0" shapeId="0" xr:uid="{00000000-0006-0000-0500-00000C000000}">
      <text>
        <r>
          <rPr>
            <sz val="10"/>
            <rFont val="Arial"/>
            <family val="2"/>
          </rPr>
          <t>Divyanshu Vatsa: TRUE or FALSE. If TRUE, this facility carves its limit out of a parent facility above it. It is tracked for information but gets zero Effective Outstanding and is excluded from all totals. Example — the RBL WCDL is a sub-limit of the RBL LC Main. If JCL draws ₹50 crore on WCDL, it reduces the LC availability by ₹50 crore. You never add both to the total.</t>
        </r>
      </text>
    </comment>
    <comment ref="D12" authorId="0" shapeId="0" xr:uid="{00000000-0006-0000-0500-000004000000}">
      <text>
        <r>
          <rPr>
            <sz val="10"/>
            <rFont val="Arial"/>
            <family val="2"/>
          </rPr>
          <t>Divyanshu Vatsa: Hedge — Forex notional limits. LER and Forward Contract. Not debt at all.</t>
        </r>
      </text>
    </comment>
    <comment ref="D13" authorId="0" shapeId="0" xr:uid="{00000000-0006-0000-0500-000005000000}">
      <text>
        <r>
          <rPr>
            <sz val="10"/>
            <rFont val="Arial"/>
            <family val="2"/>
          </rPr>
          <t>Divyanshu Vatsa: FB-Term — Fund Based Term Loan. Same as FB but triggers the EQI repayment logic. RBL, YBL, Bajaj TLs.</t>
        </r>
      </text>
    </comment>
    <comment ref="R13" authorId="0" shapeId="0" xr:uid="{00000000-0006-0000-0500-00001E000000}">
      <text>
        <r>
          <rPr>
            <sz val="10"/>
            <rFont val="Arial"/>
            <family val="2"/>
          </rPr>
          <t>Obs 4 — Indicative rate. Sanction letter dated 24-Jan-2024 defers actual interest rate to drawdown. Modelled as 1Y MCLR (9.00%) + indicative spread of 75 bps = 9.75%. Override Spread (S13) once RBL confirms drawdown rate. Annual interest cost (₹19.5 Cr) carries this assumption.</t>
        </r>
      </text>
    </comment>
    <comment ref="D16" authorId="0" shapeId="0" xr:uid="{00000000-0006-0000-0500-000006000000}">
      <text>
        <r>
          <rPr>
            <sz val="10"/>
            <rFont val="Arial"/>
            <family val="2"/>
          </rPr>
          <t>Divyanshu Vatsa: FB-FDbacked — Fund Based but backed by JCL's own FD. The FDOD. Treated separately because the net economic risk is near zero.</t>
        </r>
      </text>
    </comment>
    <comment ref="D17" authorId="0" shapeId="0" xr:uid="{00000000-0006-0000-0500-000007000000}">
      <text>
        <r>
          <rPr>
            <sz val="10"/>
            <rFont val="Arial"/>
            <family val="2"/>
          </rPr>
          <t>Divyanshu Vatsa: NFB-FDbacked — NFB backed by FD. The LC-backed-by-FD sub-limit.</t>
        </r>
      </text>
    </comment>
    <comment ref="D18" authorId="0" shapeId="0" xr:uid="{00000000-0006-0000-0500-000008000000}">
      <text>
        <r>
          <rPr>
            <sz val="10"/>
            <rFont val="Arial"/>
            <family val="2"/>
          </rPr>
          <t>Divyanshu Vatsa: FB-FCY — Fund Based Foreign Currency. Same as FB but denominated in USD. The two GIFT City BC facilities.</t>
        </r>
      </text>
    </comment>
    <comment ref="P20" authorId="0" shapeId="0" xr:uid="{00000000-0006-0000-0500-000019000000}">
      <text>
        <r>
          <rPr>
            <sz val="10"/>
            <rFont val="Arial"/>
            <family val="2"/>
          </rPr>
          <t>Divyanshu Vatsa:
ASSUMPTION (flag): YBL Renewal cum Addendum dated 19-Mar-2026 introduces Purchase Invoice Financing (PIF) at INR 100 Cr but explicitly states 'Pricing: To be decided at time of disbursement; Benchmark rate: As per Annexure IV.' Used 3M MCLR (YBL) + 50bps as proxy — same MCLR-linked benchmark per the addendum's working capital pricing migration ('cash credit pricing moved from T-Bill linked to MCLR-linked'). Confirm actual contractual rate at first PIF drawdown.</t>
        </r>
      </text>
    </comment>
    <comment ref="Q20" authorId="0" shapeId="0" xr:uid="{00000000-0006-0000-0500-00001C000000}">
      <text>
        <r>
          <rPr>
            <sz val="10"/>
            <rFont val="Arial"/>
            <family val="2"/>
          </rPr>
          <t>Divyanshu Vatsa:
ASSUMPTION (flag): 50bps proxy spread for YBL PIF over 3M MCLR. Sanction letter says 'to be decided at disbursement.' Confirm at drawdown.</t>
        </r>
      </text>
    </comment>
    <comment ref="R25" authorId="0" shapeId="0" xr:uid="{00000000-0006-0000-0500-00001F000000}">
      <text>
        <r>
          <rPr>
            <sz val="10"/>
            <rFont val="Arial"/>
            <family val="2"/>
          </rPr>
          <t>Divyanshu Vatsa:
Obs 6 — 47 EQI assumption. YBL Term Loan modelled as 47 equal quarterly instalments of ₹6.823 Cr each per sanction letter dated 16-Dec-2024. The letter says 'quarterly instalments' without explicitly stating 'equal'. If YBL operates a graduated repayment schedule per its drawdown advice, override per-period principal cells in Repayment Schedule manually. Math reconciles either way — schedule uses direct cell entries.</t>
        </r>
      </text>
    </comment>
    <comment ref="E26" authorId="0" shapeId="0" xr:uid="{00000000-0006-0000-0500-00000A000000}">
      <text>
        <r>
          <rPr>
            <sz val="10"/>
            <rFont val="Arial"/>
            <family val="2"/>
          </rPr>
          <t>Divyanshu Vatsa: Non-Revolving — Once repaid, cannot be redrawn. All three term loans.</t>
        </r>
      </text>
    </comment>
    <comment ref="R28" authorId="0" shapeId="0" xr:uid="{00000000-0006-0000-0500-000020000000}">
      <text>
        <r>
          <rPr>
            <sz val="10"/>
            <rFont val="Arial"/>
            <family val="2"/>
          </rPr>
          <t>Divyanshu Vatsa:
Obs 5 — Spread TBD. ICICI WCDL Addendum (11-Nov-2025) confirms Repo + applicable spread; spread is set at each drawdown. Model shows bare Repo (5.25%) since spread is not yet known and facility currently undrawn (Effective O/S = 0). Populate Spread (S28) when facility is drawn.</t>
        </r>
      </text>
    </comment>
    <comment ref="R34" authorId="0" shapeId="0" xr:uid="{00000000-0006-0000-0500-000021000000}">
      <text>
        <r>
          <rPr>
            <sz val="10"/>
            <rFont val="Arial"/>
            <family val="2"/>
          </rPr>
          <t>Divyanshu Vatsa:
Obs 5 — Spread TBD. SIB WCL/WCDL spread is set at each drawdown per sanction letter dated 21-Jun-2025. Currently undrawn (Effective O/S = 0). Populate Spread (S34) when facility is drawn.</t>
        </r>
      </text>
    </comment>
    <comment ref="A42" authorId="0" shapeId="0" xr:uid="{00000000-0006-0000-0500-000001000000}">
      <text>
        <r>
          <rPr>
            <sz val="10"/>
            <rFont val="Arial"/>
            <family val="2"/>
          </rPr>
          <t>Divyanshu Vatsa: To assign any new facility to a bucket, ask these questions in order:
Is it a sub-limit of another facility already in the model? → Bucket 0. Stop.
Is it FD-backed or a hedge notional? → Bucket 3. Stop.
Is it fund-based (FB, FB-Term, FB-FCY)? → Bucket 1. Stop.
Is it non-fund-based (NFB)? → Bucket 2. Stop.</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4" authorId="0" shapeId="0" xr:uid="{00000000-0006-0000-0600-000001000000}">
      <text>
        <r>
          <rPr>
            <sz val="10"/>
            <rFont val="Arial"/>
            <family val="2"/>
          </rPr>
          <t>FB Mains contribution per lender — the parent fund-based facility face value at sanction. Aggregated via SUMIFS on Bucket = 1 in Facility Master.
RBL ₹200 (TL Main only — sub-limits PID, LCBD, CC, WCDL routed to Bucket 0).
YBL ₹320.7 (TL only — WC sub-limits routed to Bucket 0 under YBL ₹200 umbrella).
Bajaj ₹150 (TL only).
ICICI ₹50 (CC main — WCDL is interchangeable sub-limit).
SIB ₹0 (no FB Main; CCOL/WCDL routed to B0 under SIB LC ₹150 umbrella).
Total FB Mains = ₹720.7 Cr.</t>
        </r>
      </text>
    </comment>
    <comment ref="C4" authorId="0" shapeId="0" xr:uid="{00000000-0006-0000-0600-000002000000}">
      <text>
        <r>
          <rPr>
            <sz val="10"/>
            <rFont val="Arial"/>
            <family val="2"/>
          </rPr>
          <t>NFB Mains contribution per lender — the parent (umbrella) NFB facility face value at sanction. Aggregated via SUMIFS on Bucket = 2 in Facility Master.
RBL ₹100 (LC main only — sub-limits like SBLC, BG, Capex LC etc. routed to Bucket 0).
YBL ₹200 (LC main only — sub-limits PIF, CC, WCDL, BG/SBLC routed to Bucket 0).
ICICI ₹150 (LC main only — SBLC, BG-Perf, BG-Fin nested inside).
SIB ₹150 (LC main only — Capex LC, SBLC, CCOL, WCDL nested).
Total NFB Mains = ₹600 Cr. Distinct from NFB Contingent KPI (₹815 Cr) which adds RBL NFB sub-limits whose parent is the FB-Main TL.</t>
        </r>
      </text>
    </comment>
    <comment ref="C6" authorId="0" shapeId="0" xr:uid="{00000000-0006-0000-0600-000003000000}">
      <text>
        <r>
          <rPr>
            <sz val="10"/>
            <rFont val="Arial"/>
            <family val="2"/>
          </rPr>
          <t>YBL NFB Mains = ₹200 Cr (LC parent — sole umbrella under YBL).
YBL WC sub-limits (PIF ₹100 + CC ₹25 + WCDL ₹50 + BG/SBLC ₹200 + Treasury) all share the ₹200 Cr WC umbrella cap and are routed to Bucket 0 under Path B (Optimized). They do not contribute additionally to Sanctioned Debt or NFB Mains beyond the ₹200 LC parent.
Sanction reference: Renewal cum Addendum dated 19-Mar-2026 (YBL/DEL/LC/FI/06790/03/2026).</t>
        </r>
      </text>
    </comment>
    <comment ref="D6" authorId="0" shapeId="0" xr:uid="{00000000-0006-0000-0600-000004000000}">
      <text>
        <r>
          <rPr>
            <sz val="10"/>
            <rFont val="Arial"/>
            <family val="2"/>
          </rPr>
          <t>Divyanshu Vatsa:
BG face value (across LCs and standalone). Memo only — not summed into Total NFB; see footnote at row 21.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I3" authorId="0" shapeId="0" xr:uid="{00000000-0006-0000-0C00-000001000000}">
      <text>
        <r>
          <rPr>
            <sz val="10"/>
            <rFont val="Arial"/>
            <family val="2"/>
          </rPr>
          <t>Divyanshu Vatsa:
INDUSTRY PRACTICE: Most credit agreements specify covenant testing 'as per latest audited annual financial statements.' Current basis = Projected (FY26E) which gives more favourable ratios than Actual (FY24A audited). Switch to 'Actual' on Instructions B8 for compliance reporting against audited covenants. Sensitivity: Total Debt/EBITDA moves from 1.60x (Projected) to 2.72x (Actual FY24A); DSCR from 3.49x to ~1.5x range.</t>
        </r>
      </text>
    </comment>
  </commentList>
</comments>
</file>

<file path=xl/sharedStrings.xml><?xml version="1.0" encoding="utf-8"?>
<sst xmlns="http://schemas.openxmlformats.org/spreadsheetml/2006/main" count="1425" uniqueCount="819">
  <si>
    <t>JINDAL COKE LIMITED</t>
  </si>
  <si>
    <t>Debt Monitoring Model</t>
  </si>
  <si>
    <t>Active Lenders</t>
  </si>
  <si>
    <t>Total Facility Lines (incl. sub-limits)</t>
  </si>
  <si>
    <t>Sanctioned Debt (₹ Cr)</t>
  </si>
  <si>
    <t>NFB Contingent (₹ Cr)</t>
  </si>
  <si>
    <t>As-of Date</t>
  </si>
  <si>
    <t>FD-Backed Separate Lines (₹ Cr)</t>
  </si>
  <si>
    <t>Prepared by</t>
  </si>
  <si>
    <t>Divyanshu Vatsa · Treasury</t>
  </si>
  <si>
    <t>WORKBOOK TAB GUIDE</t>
  </si>
  <si>
    <t>Tab</t>
  </si>
  <si>
    <t>Description</t>
  </si>
  <si>
    <t>Cover Page</t>
  </si>
  <si>
    <t>This page — model summary and tab map.</t>
  </si>
  <si>
    <t>Notes</t>
  </si>
  <si>
    <t>Methodology and reading guide for first-time viewers.</t>
  </si>
  <si>
    <t>Dashboard</t>
  </si>
  <si>
    <t>Senior management one-pager — KPI tiles, covenant status, lender concentration, narratives.</t>
  </si>
  <si>
    <t>Instructions &amp; Assumptions</t>
  </si>
  <si>
    <t>Core inputs, benchmark rates, financial assumptions, sanction-letter caps.</t>
  </si>
  <si>
    <t>Facility Master</t>
  </si>
  <si>
    <t>Single source of truth — all 34 facilities with structural, pricing, and tenor data.</t>
  </si>
  <si>
    <t>Lender Summary</t>
  </si>
  <si>
    <t>Three-bucket aggregation: Sanctioned Debt, NFB Contingent, Separate Lines, by lender.</t>
  </si>
  <si>
    <t>Working Capital Facilities</t>
  </si>
  <si>
    <t>Operational view of all WC fund-based lines with cap-basis aggregation.</t>
  </si>
  <si>
    <t>Term Loans</t>
  </si>
  <si>
    <t>Detailed view of the three term loans with parameters and totals.</t>
  </si>
  <si>
    <t>Non-Fund Based Facilities</t>
  </si>
  <si>
    <t>LCs, SBLCs, BGs, Capex LCs, and hedge notional facilities.</t>
  </si>
  <si>
    <t>Repayment Schedule</t>
  </si>
  <si>
    <t>53-period quarterly schedule for the three TLs and consolidated.</t>
  </si>
  <si>
    <t>Interest Schedule</t>
  </si>
  <si>
    <t>Annual interest and commission cost by facility; weighted-average debt cost.</t>
  </si>
  <si>
    <t>Covenant Tracker</t>
  </si>
  <si>
    <t>24 covenant tests with thresholds, actuals, headroom, and status.</t>
  </si>
  <si>
    <t>Security &amp; Charge Matrix</t>
  </si>
  <si>
    <t>Security and charge structure by lender.</t>
  </si>
  <si>
    <t>Utilization Tracker</t>
  </si>
  <si>
    <t>Real-time utilisation, headroom, and review status across all facilities.</t>
  </si>
  <si>
    <t>Renewal &amp; Review Calendar</t>
  </si>
  <si>
    <t>Validity dates, days-to-expiry, and renewal status.</t>
  </si>
  <si>
    <t>Scenario Analysis</t>
  </si>
  <si>
    <t>Base / Stress / Severe Stress sensitivities + benchmark rate-shock matrix.</t>
  </si>
  <si>
    <t>Debt Pricing Table</t>
  </si>
  <si>
    <t>Pricing reference: benchmark, spread, effective rate, rate type.</t>
  </si>
  <si>
    <t>Validation Engine</t>
  </si>
  <si>
    <t>51-check internal validation engine — PPT-referenced Master Status (PASS/FAIL/Critical).</t>
  </si>
  <si>
    <t>#</t>
  </si>
  <si>
    <t>Expected</t>
  </si>
  <si>
    <t>Actual</t>
  </si>
  <si>
    <t>Status</t>
  </si>
  <si>
    <t>Group</t>
  </si>
  <si>
    <t>MODEL NOTES &amp; METHODOLOGY — Path B (Optimized)</t>
  </si>
  <si>
    <t>1.  BUCKET DECISION TREE</t>
  </si>
  <si>
    <t>Q1.</t>
  </si>
  <si>
    <t>Is the facility a sub-limit of another facility already in the model? Either (a) labelled in the sanction letter, or (b) sharing a binding cap with an umbrella facility such that drawing it reduces the umbrella's available capacity. If YES → BUCKET 0 (excluded from totals).</t>
  </si>
  <si>
    <t>Q2.</t>
  </si>
  <si>
    <t>Is the facility FD-backed (collateralised by 100% Fixed Deposit)? If YES → BUCKET 3 (Separate Lines). Currently only RBL FDOD ₹100 Cr.</t>
  </si>
  <si>
    <t>Q3.</t>
  </si>
  <si>
    <t>Is the facility fund-based (FB, FB-Term, FB-FCY)? If YES → BUCKET 1 (FB Mains). Currently 4 facilities: YBL TL ₹320.7 + Bajaj TL ₹150 + ICICI CC ₹50 + RBL TL Main ₹200 = ₹720.7 Cr.</t>
  </si>
  <si>
    <t>Q4.</t>
  </si>
  <si>
    <t>Is the facility non-fund-based (NFB)? If YES → BUCKET 2 (NFB Mains). Currently 4 facilities: YBL LC ₹200 + ICICI LC ₹150 + SIB LC ₹150 + RBL LC Main ₹100 = ₹600 Cr.</t>
  </si>
  <si>
    <t>Memo.</t>
  </si>
  <si>
    <t>Hedge notional limits (RBL LER ₹20 + SIB Forward ₹3) are derivative caps, not credit facilities. Tracked in Lender Summary Memo line, not in any bucket.</t>
  </si>
  <si>
    <t>2.  KPI DEFINITIONS</t>
  </si>
  <si>
    <t>•</t>
  </si>
  <si>
    <t>Sanctioned Debt: = Bucket 1 + Bucket 2 = ₹1,320.7 Cr. Sum of all FB and NFB main parent facilities at sanction face value, excluding FD-backed lines. Industry-standard 'total credit sanctioned at parent level' view used in CRILC reporting, rating agency analyses, and bank credit memos. Distinct from drawn debt. Reconciles to sanction-letter caps: YBL TL 320.7 + YBL LC 200 + Bajaj TL 150 + ICICI Total 200 + SIB LC 150 + RBL TL 200 + RBL LC 100 = 1,320.7.</t>
  </si>
  <si>
    <t>FB Economic Debt: = Bucket 1 alone = ₹720.7 Cr. The fund-based parent facilities at sanction face. Used as cost basis for weighted-average debt cost calculation (interest sits only on FB facilities).</t>
  </si>
  <si>
    <t>NFB Mains: = Bucket 2 alone = ₹600 Cr. Pure NFB parent facilities, before adding sub-limit overlays.</t>
  </si>
  <si>
    <t>NFB Contingent: = Bucket 2 + NFB sub-limits whose parent is a FB Main = ₹815 Cr. The two FB-Main NFB sub-limits counted are RBL SBLC for Buyer's Credit ₹190 Cr and RBL Capex LC ₹25 Cr (both sub of TL Main ₹200). Both create distinct third-party contingent exposure even though they consume TL Main capacity. The Lender Summary Bucket 2 column shows pure NFB Mains; the NFB Contingent KPI adds the in-FB-umbrella contingents.</t>
  </si>
  <si>
    <t>FD-Backed (Separate Lines): = Bucket 3 = ₹100 Cr. RBL FDOD only — self-collateralised by 100% FD; explicitly excluded from RBL's ₹300 Cr Overall Borrower exposure cap per 31-Dec-2025 letter.</t>
  </si>
  <si>
    <t>Hedge Notional (Memo): = ₹23 Cr (RBL LER 20 + SIB Forward 3). Derivative limits, not credit facilities. Out of all buckets; informational only.</t>
  </si>
  <si>
    <t>3.  SANCTION LETTER SOURCES</t>
  </si>
  <si>
    <t>YES Bank: TL ₹320.7 Cr per Sanction Letter dated 16-Dec-2024 (Ref YBL/DEL/FI/1500/2024-25); pricing addendum 28-Mar-2025 changed spread T-Bill 3M + 2.45% → +2.52%. WC umbrella ₹200 Cr cap (incl ₹25 Cr treasury) per latest Renewal cum Addendum dated 19-Mar-2026 (Ref YBL/DEL/LC/FI/06790/03/2026). LC parent ₹200 Cr per original 9-May-2023 letter; Financial BG/SBLC ₹200 sub of LC; PIF ₹100, WCDL ₹50, CC ₹25 share the ₹200 WC cap → all sub-limits.</t>
  </si>
  <si>
    <t>RBL Bank: Three Main Limits per 31-Dec-2025 Renewal cum Modification letter (Ref CAD/DEL/1093/2025-26): LC Main ₹100, TL Main ₹200, FDOD ₹100. Overall Borrower exposure capped ₹300 Cr (excl FD). Sub-limits explicitly labelled in letter: BG ₹25, PID ₹100, SBLC ₹100, LCBD ₹100, CC ₹100, WCDL ₹100, LER ₹20 (all sub of LC); SBLC for BC ₹190, Capex LC ₹25 (sub of TL); LC backed by FD ₹50 (sub of FDOD). Earlier letters dated 13-Mar-2025 (BC WC USD 11M / ₹100 Cr) and 27-Mar-2025 (BC CAPEX USD 20M / ₹172 Cr) consolidated into 31-Dec-2025 structure: 'Extension of availability period till December 2026 for the conversion o/s SBLCs/Buyers Credit to term loan' — therefore treated as sub-limits of TL Main.</t>
  </si>
  <si>
    <t>Bajaj Finance: TL ₹150 Cr per 18-Aug-2025 sole letter. Pricing 8.60% (BFRR 8.50% + 10 bps). 8-yr tenor incl 12-mo moratorium. 28 quarterly instalments. 1st pari-passu on FA at Khurunti Coke Plant; MSC 1.25x.</t>
  </si>
  <si>
    <t>ICICI Bank: FB ₹50 (CC, with WCDL ₹50 as interchangeable sub-limit) + NFB ₹150 (LC parent, with SBLC ₹150 + BG-Performance ₹25 + BG-Financial ₹5 nested inside) per CAL dated 16-Sep-2025 (issued 31-Oct-2025) and Addendum 11-Nov-2025. Total A+B = ₹200 Cr per Annexure I. LC to JSL Global Commodities Pte Ltd capped INR 25 Cr.</t>
  </si>
  <si>
    <t>South Indian Bank: LC ₹150 Cr cap per 21-Jun-2025 Renewal letter; cap explicit: 'Total LC limit (including Capex LC) shall not exceed Rs.150.0 Crores'. Capex LC ₹50 → shared-cap sub-limit of LC. SBLC ₹150 (sub of LC), CCOL ₹50 (sub of LC), WCDL ₹50 (sub of CCOL). Forward Contract ₹3 Cr → hedge notional memo.</t>
  </si>
  <si>
    <t>4.  KEY TREATMENT DECISIONS</t>
  </si>
  <si>
    <t>RBL Term Loan repayment schedule excluded from quarterly schedule. Drawdown pending — existing BC instruments converting to TL by Dec-2026 per latest letter. Sanction face ₹200 Cr remains in Bucket 1 / Sanctioned Debt; only the repayment schedule defers until drawdown completes.</t>
  </si>
  <si>
    <t>RBL BC GIFT WC ₹100 Cr (per 13-Mar-2025 letter) and BC CAPEX ₹172 Cr (per 27-Mar-2025 letter) are superseded by the 31-Dec-2025 consolidated structure. Both reclassified to Bucket 0 (sub-limits of TL Main). Avoids ~₹272 Cr of double-counting that existed in prior version.</t>
  </si>
  <si>
    <t>YBL PIF, WCDL, CC, BG/SBLC and Treasury limits all share the ₹200 Cr WC umbrella cap. Reclassified to Bucket 0 (shared-cap sub-limits of LC umbrella). LC ₹200 alone represents the umbrella in Bucket 2.</t>
  </si>
  <si>
    <t>SIB Capex LC ₹50 Cr shares ₹150 Cr cap with main LC per letter wording. Reclassified to Bucket 0. SIB LC ₹150 represents the umbrella in Bucket 2.</t>
  </si>
  <si>
    <t>Hedge notional limits (RBL LER ₹20 sub of LC, SIB Forward ₹3 standalone) excluded from all buckets. LER → Bucket 0 (Q1 hits before Q2 since LER is sub-of-LC). SIB Forward → no parent, but it's a derivative cap not credit. Tracked in Memo section of Lender Summary.</t>
  </si>
  <si>
    <t>5.  WORKBOOK ARCHITECTURE</t>
  </si>
  <si>
    <t>Facility Master is the single source of truth. All other sheets aggregate via SUMIFS on FM columns.</t>
  </si>
  <si>
    <t>Named ranges (Excel Name Manager): SanctionedDebt, NFBContingent, FDBackedTotal, FBMainsTotal, NFBMainsTotal, HedgeNotionalTotal — point to Lender Summary anchor cells. Use these in formulas instead of cell references for portability.</t>
  </si>
  <si>
    <t>Repayment Schedule consolidated columns S-V (Total Prin, Total Int, Total DS, Combined O/S) sum YBL + Bajaj only; RBL excluded. Dashboard's 'Term Loan Maturity Profile' reads from these consolidated columns and inherits the exclusion.</t>
  </si>
  <si>
    <t>Validation Engine has 51 checks (VVE-01 through VVE-51). Master Status at row 69 shows ✓ PASS only when zero critical fails.</t>
  </si>
  <si>
    <t>JCL DEBT MONITORING DASHBOARD</t>
  </si>
  <si>
    <t>FB Mains — Bucket 1 (₹ Cr)</t>
  </si>
  <si>
    <t>NFB Mains — Bucket 2 (₹ Cr)</t>
  </si>
  <si>
    <t>B1 + B2; main parents only</t>
  </si>
  <si>
    <t>TLs + ICICI CC (parent FB)</t>
  </si>
  <si>
    <t>Parent NFB at all 4 lenders</t>
  </si>
  <si>
    <t>B2 + NFB sub of FB-Main</t>
  </si>
  <si>
    <t>FD-Backed Lines (₹ Cr)</t>
  </si>
  <si>
    <t>Bucket 1 Outstanding (₹ Cr)</t>
  </si>
  <si>
    <t>Wt. Avg Cost of FB Economic Debt</t>
  </si>
  <si>
    <t>Annual Interest + Comm.</t>
  </si>
  <si>
    <t>Self-collateralised; excl. RBL ₹300 cap</t>
  </si>
  <si>
    <t>Drawn Bucket-1 (effective O/S)</t>
  </si>
  <si>
    <t>Bucket 1 (FB) cost basis only — interest accrues on FB</t>
  </si>
  <si>
    <t>Total run-rate (interest + commission)</t>
  </si>
  <si>
    <t>Active Facilities</t>
  </si>
  <si>
    <t>TL Earliest Maturity</t>
  </si>
  <si>
    <t>TL Farthest Maturity</t>
  </si>
  <si>
    <t>Avg Debt Utilisation</t>
  </si>
  <si>
    <t>Excludes sub-limits</t>
  </si>
  <si>
    <t>First TL maturing</t>
  </si>
  <si>
    <t>Last TL maturing</t>
  </si>
  <si>
    <t>Eff. outstanding / sanctioned (Bucket 1)</t>
  </si>
  <si>
    <t>Covenant Compliance</t>
  </si>
  <si>
    <t>Total</t>
  </si>
  <si>
    <t>Compliant</t>
  </si>
  <si>
    <t>Near Breach</t>
  </si>
  <si>
    <t>Breached</t>
  </si>
  <si>
    <t>Pending</t>
  </si>
  <si>
    <t>Compliance %</t>
  </si>
  <si>
    <t>Lender Concentration — Sanctioned Debt</t>
  </si>
  <si>
    <t>Lender</t>
  </si>
  <si>
    <t>% of Sanctioned Debt</t>
  </si>
  <si>
    <t>YES Bank</t>
  </si>
  <si>
    <t>RBL Bank</t>
  </si>
  <si>
    <t>ICICI Bank</t>
  </si>
  <si>
    <t>Bajaj Finance</t>
  </si>
  <si>
    <t>South Indian Bank</t>
  </si>
  <si>
    <t>Term Loan Maturity Profile by Fiscal Year</t>
  </si>
  <si>
    <t>FY</t>
  </si>
  <si>
    <t>Period Start</t>
  </si>
  <si>
    <t>Period End</t>
  </si>
  <si>
    <t>Total Principal Due (₹ Cr)</t>
  </si>
  <si>
    <t>Cumulative</t>
  </si>
  <si>
    <t>FY24</t>
  </si>
  <si>
    <t>FY25</t>
  </si>
  <si>
    <t>FY26</t>
  </si>
  <si>
    <t>FY27</t>
  </si>
  <si>
    <t>FY28</t>
  </si>
  <si>
    <t>FY29</t>
  </si>
  <si>
    <t>FY30</t>
  </si>
  <si>
    <t>FY31</t>
  </si>
  <si>
    <t>FY32</t>
  </si>
  <si>
    <t>FY33</t>
  </si>
  <si>
    <t>FY34</t>
  </si>
  <si>
    <t>FY35</t>
  </si>
  <si>
    <t>FY36</t>
  </si>
  <si>
    <t>FY37</t>
  </si>
  <si>
    <t>Facility Type Mix</t>
  </si>
  <si>
    <t>Bucket</t>
  </si>
  <si>
    <t>Amount (₹ Cr)</t>
  </si>
  <si>
    <t>Sanctioned Debt (B1+B2)</t>
  </si>
  <si>
    <t>NFB Contingent</t>
  </si>
  <si>
    <t>FD-Backed (Separate Lines)</t>
  </si>
  <si>
    <t>Memo: Hedge Notional</t>
  </si>
  <si>
    <t>Key Findings &amp; Watch Items</t>
  </si>
  <si>
    <t>Sanctioned Debt of ₹1,320.7 Cr = sum of FB &amp; NFB main parent facilities at sanction-letter caps. Industry-standard credit-relationship view.</t>
  </si>
  <si>
    <t>NFB Contingent of ₹815.0 Cr = NFB Main parents (₹600) + NFB sub-limits of FB-Main parents (₹190 RBL SBLC for BC + ₹25 RBL Capex LC). Off-balance-sheet face value.</t>
  </si>
  <si>
    <t>FD-Backed Separate Line: RBL FDOD ₹100 Cr only — self-collateralised, excluded from RBL's ₹300 Cr Overall Borrower exposure cap.</t>
  </si>
  <si>
    <t>Lender concentration: YBL 39.4% + RBL 22.7% = 62.1% of Sanctioned Debt. ICICI/Bajaj/SIB each 11-15%.</t>
  </si>
  <si>
    <t>RBL Term Loan ₹200 Cr Main: drawdown pending; existing BC instruments converting to TL by Dec-2026 per 31-Dec-2025 letter. Repayment schedule excluded until drawdown completes.</t>
  </si>
  <si>
    <t>All 24 covenants Compliant at FY26E base case. Tightest is TOL/TNW with ample headroom.</t>
  </si>
  <si>
    <t>Model Integrity</t>
  </si>
  <si>
    <t>Bucket totals reconcile</t>
  </si>
  <si>
    <t>TL schedules tie out</t>
  </si>
  <si>
    <t>Covenants populated</t>
  </si>
  <si>
    <t>Inputs set</t>
  </si>
  <si>
    <t>Facilities bucketed</t>
  </si>
  <si>
    <t>Prepared by Divyanshu Vatsa · Treasury · Methodology: Path B (Optimized) — Sanctioned Debt = sum of all FB &amp; NFB main parents; sub-limits → Bucket 0; FD-backed segregated; hedge notional in memo. See Notes tab for full bucket logic.</t>
  </si>
  <si>
    <t>INSTRUCTIONS &amp; ASSUMPTIONS</t>
  </si>
  <si>
    <t>A. Core Model Parameters</t>
  </si>
  <si>
    <t>Value</t>
  </si>
  <si>
    <t>Unit</t>
  </si>
  <si>
    <t>date</t>
  </si>
  <si>
    <t>Drives remaining-tenor and covenant-period calculations.</t>
  </si>
  <si>
    <t>USD / INR FX Rate</t>
  </si>
  <si>
    <t>₹/USD</t>
  </si>
  <si>
    <t>Drives INR equivalents of USD-denominated facilities subject to sanction-letter caps.</t>
  </si>
  <si>
    <t>Use Full Utilisation = Sanctioned?</t>
  </si>
  <si>
    <t>TRUE/FALSE</t>
  </si>
  <si>
    <t>If TRUE, Effective Outstanding = Sanctioned. If FALSE, uses Current Outstanding from Facility Master Col N.</t>
  </si>
  <si>
    <t>Days in Year</t>
  </si>
  <si>
    <t>days</t>
  </si>
  <si>
    <t>Day-count convention for interest computation.</t>
  </si>
  <si>
    <t>Financial Basis (Actual / Projected)</t>
  </si>
  <si>
    <t>Projected</t>
  </si>
  <si>
    <t>Basis</t>
  </si>
  <si>
    <t>Toggle drives Section C 'Active' column which feeds the Covenant Tracker.</t>
  </si>
  <si>
    <t>B. Benchmark Rates</t>
  </si>
  <si>
    <t>Current Rate</t>
  </si>
  <si>
    <t>Source / Notes</t>
  </si>
  <si>
    <t>1Y MCLR (RBL Bank)</t>
  </si>
  <si>
    <t>RBL Bank 1Y MCLR (Apr-2026).</t>
  </si>
  <si>
    <t>3M MCLR (YBL)</t>
  </si>
  <si>
    <t>YES Bank 3M MCLR (Apr-2026).</t>
  </si>
  <si>
    <t>6M I-MCLR (ICICI)</t>
  </si>
  <si>
    <t>ICICI 6M I-MCLR effective 22-Jan-2026.</t>
  </si>
  <si>
    <t>12M MCLR (SIB)</t>
  </si>
  <si>
    <t>SIB 12M MCLR per sanction letter dated 21-Jun-2025.</t>
  </si>
  <si>
    <t>Bajaj Floating Reference Rate (BFRR)</t>
  </si>
  <si>
    <t>Per Bajaj sanction letter dated 18-Aug-2025.</t>
  </si>
  <si>
    <t>Term SOFR (USD) 3M</t>
  </si>
  <si>
    <t>Term SOFR 3M, Apr-2026.</t>
  </si>
  <si>
    <t>3M T-Bill</t>
  </si>
  <si>
    <t>India 3M T-Bill yield, Apr-2026.</t>
  </si>
  <si>
    <t>Repo Rate</t>
  </si>
  <si>
    <t>RBI Policy Repo Rate, Apr-2026.</t>
  </si>
  <si>
    <t>FD rate (RBL FDOD)</t>
  </si>
  <si>
    <t>Customer-specific FD rate backing the RBL FDOD facility.</t>
  </si>
  <si>
    <t>C. Management Financials (INR Cr)</t>
  </si>
  <si>
    <t>Active (toggle)</t>
  </si>
  <si>
    <t>FY24A</t>
  </si>
  <si>
    <t>FY26E</t>
  </si>
  <si>
    <t>EBITDA</t>
  </si>
  <si>
    <t>Total Debt (Gross)</t>
  </si>
  <si>
    <t>Term Debt</t>
  </si>
  <si>
    <t>Tangible Net Worth (TNW)</t>
  </si>
  <si>
    <t>Adjusted TNW (ATNW)</t>
  </si>
  <si>
    <t>Current Assets</t>
  </si>
  <si>
    <t>Current Liabilities</t>
  </si>
  <si>
    <t>Total Outside Liabilities (TOL)</t>
  </si>
  <si>
    <t>Interest Expense (TTM)</t>
  </si>
  <si>
    <t>Fixed Assets (net block)</t>
  </si>
  <si>
    <t>Secured Debt (outstanding)</t>
  </si>
  <si>
    <t>External Rating</t>
  </si>
  <si>
    <t>CARE A+; Stable / A1</t>
  </si>
  <si>
    <t>Promoter Shareholding %</t>
  </si>
  <si>
    <t>Principal Repayment (TTM)</t>
  </si>
  <si>
    <t>Tax Paid (TTM)</t>
  </si>
  <si>
    <t>Scheduled TL Repayment (next 12M)</t>
  </si>
  <si>
    <t>D. Sanction-Letter Binding Caps (INR Cr)</t>
  </si>
  <si>
    <t>RBL — INR WC Umbrella Cap</t>
  </si>
  <si>
    <t>RBL — GIFT City BC Working Capital Cap</t>
  </si>
  <si>
    <t>RBL — GIFT City BC CAPEX Cap</t>
  </si>
  <si>
    <t>ICICI — Fund-Based Cap</t>
  </si>
  <si>
    <t>SIB — CCOL Cap</t>
  </si>
  <si>
    <t>E. Term Loan Date Overrides</t>
  </si>
  <si>
    <t>Date</t>
  </si>
  <si>
    <t>RBL TL Maturity</t>
  </si>
  <si>
    <t>YBL TL Repayment Start</t>
  </si>
  <si>
    <t>YBL TL Maturity</t>
  </si>
  <si>
    <t>Bajaj TL Maturity</t>
  </si>
  <si>
    <t>F. Term Loan S.No References</t>
  </si>
  <si>
    <t>S.No</t>
  </si>
  <si>
    <t>RBL TL S.No</t>
  </si>
  <si>
    <t>YBL TL S.No</t>
  </si>
  <si>
    <t>Bajaj TL S.No</t>
  </si>
  <si>
    <t>G. Rating-Tier Ordinal Map (higher = better)</t>
  </si>
  <si>
    <t>Rating Token</t>
  </si>
  <si>
    <t>Ordinal</t>
  </si>
  <si>
    <t>AAA</t>
  </si>
  <si>
    <t>Investment grade — highest</t>
  </si>
  <si>
    <t>AA+</t>
  </si>
  <si>
    <t>AA</t>
  </si>
  <si>
    <t>AA-</t>
  </si>
  <si>
    <t>A+</t>
  </si>
  <si>
    <t>JCL current rating: CARE A+</t>
  </si>
  <si>
    <t>A</t>
  </si>
  <si>
    <t>A-</t>
  </si>
  <si>
    <t>Common minimum rating covenant</t>
  </si>
  <si>
    <t>BBB+</t>
  </si>
  <si>
    <t>RBL TL minimum</t>
  </si>
  <si>
    <t>BBB</t>
  </si>
  <si>
    <t>BBB-</t>
  </si>
  <si>
    <t>BB+</t>
  </si>
  <si>
    <t>Below investment grade</t>
  </si>
  <si>
    <t>BB or below</t>
  </si>
  <si>
    <t xml:space="preserve">FACILITY MASTER </t>
  </si>
  <si>
    <t>Identification</t>
  </si>
  <si>
    <t>Facility</t>
  </si>
  <si>
    <t>Category</t>
  </si>
  <si>
    <t>Nature</t>
  </si>
  <si>
    <t>Sub-Limit Flag</t>
  </si>
  <si>
    <t>FD-Backed</t>
  </si>
  <si>
    <t>Currency</t>
  </si>
  <si>
    <t>Sanc Orig Ccy</t>
  </si>
  <si>
    <t>Sanc INR Cr</t>
  </si>
  <si>
    <t>Current O/S</t>
  </si>
  <si>
    <t>Effective O/S</t>
  </si>
  <si>
    <t>Util %</t>
  </si>
  <si>
    <t>Headroom</t>
  </si>
  <si>
    <t>Benchmark</t>
  </si>
  <si>
    <t>Spread</t>
  </si>
  <si>
    <t>Eff Rate p.a.</t>
  </si>
  <si>
    <t>Rate Type</t>
  </si>
  <si>
    <t>Moratorium Mths</t>
  </si>
  <si>
    <t>Rep Frequency</t>
  </si>
  <si>
    <t>Tenor Mths</t>
  </si>
  <si>
    <t>No of Instalments</t>
  </si>
  <si>
    <t>Drawdown Date</t>
  </si>
  <si>
    <t>Rep Start Date</t>
  </si>
  <si>
    <t>Maturity Date</t>
  </si>
  <si>
    <t>Sanction Date</t>
  </si>
  <si>
    <t>Validity Date</t>
  </si>
  <si>
    <t>Purpose</t>
  </si>
  <si>
    <t>Security Summary</t>
  </si>
  <si>
    <t>Sanction Reference</t>
  </si>
  <si>
    <t>Remarks</t>
  </si>
  <si>
    <t>NFB Contingent Flag</t>
  </si>
  <si>
    <t>Letter of Credit - Main Limit</t>
  </si>
  <si>
    <t>NFB</t>
  </si>
  <si>
    <t>Revolving</t>
  </si>
  <si>
    <t>INR</t>
  </si>
  <si>
    <t>Fixed commission</t>
  </si>
  <si>
    <t>Fixed</t>
  </si>
  <si>
    <t>On Maturity</t>
  </si>
  <si>
    <t>Working capital incl. service LC issuance</t>
  </si>
  <si>
    <t>1st p-p on current assets; 2nd p-p on FA; Personal guarantee</t>
  </si>
  <si>
    <t>RBL Renewal Letter dated 31-Dec-2025</t>
  </si>
  <si>
    <t>Pricing 0.45% effective 31-Dec-2025.</t>
  </si>
  <si>
    <t>Bank Guarantee</t>
  </si>
  <si>
    <t>On Demand</t>
  </si>
  <si>
    <t>PBG, Bid Bond, Govt/Semi-Govt guarantees</t>
  </si>
  <si>
    <t>BG commission 0.50% per 28-Feb-2025 pricing table.</t>
  </si>
  <si>
    <t>Invoice Discounting (PID)</t>
  </si>
  <si>
    <t>FB</t>
  </si>
  <si>
    <t>Floating (Indicative)</t>
  </si>
  <si>
    <t>Working capital</t>
  </si>
  <si>
    <t>Rate set at availment. Spread of 50 bps over 1Y MCLR is illustrative; rate confirmed at each availment per sanction letter.</t>
  </si>
  <si>
    <t>SBLC</t>
  </si>
  <si>
    <t>To be decided</t>
  </si>
  <si>
    <t>TBD</t>
  </si>
  <si>
    <t>Buyer's Credit from RBL GIFT City / other banks</t>
  </si>
  <si>
    <t>Same as LC</t>
  </si>
  <si>
    <t>RBL Modification Letter dated 13-Mar-2025</t>
  </si>
  <si>
    <t>Sub-limit of LC (Main).</t>
  </si>
  <si>
    <t>Pre-Acceptance LCBD</t>
  </si>
  <si>
    <t>Rate set at availment. Spread of 75 bps over 1Y MCLR is illustrative; rate confirmed at each availment per sanction letter.</t>
  </si>
  <si>
    <t>Cash Credit</t>
  </si>
  <si>
    <t>Floating</t>
  </si>
  <si>
    <t>RBL Renewal cum Modification dated 28-Feb-2025</t>
  </si>
  <si>
    <t>1Y MCLR + 5 bps.</t>
  </si>
  <si>
    <t>Working Capital Demand Loan (WCDL)</t>
  </si>
  <si>
    <t>Rate set at drawdown.</t>
  </si>
  <si>
    <t>Loan Equivalent Risk (LER)</t>
  </si>
  <si>
    <t>Hedge</t>
  </si>
  <si>
    <t>Bank treasury</t>
  </si>
  <si>
    <t>On Settlement</t>
  </si>
  <si>
    <t>Forex hedging (MTM cap 75%)</t>
  </si>
  <si>
    <t>Unsecured</t>
  </si>
  <si>
    <t>Notional limit; 75% MTM trigger.</t>
  </si>
  <si>
    <t>Term Loan</t>
  </si>
  <si>
    <t>FB-Term</t>
  </si>
  <si>
    <t>Non-Revolving</t>
  </si>
  <si>
    <t>Quarterly</t>
  </si>
  <si>
    <t>Repayment of existing SBLC/BC + fresh capex</t>
  </si>
  <si>
    <t>1st p-p on FA; 1st p-p mortgage on immovable; 2nd p-p on CA</t>
  </si>
  <si>
    <t>RBL TL Sanction</t>
  </si>
  <si>
    <t>Indicative 9.75% (1Y MCLR + 75 bps); confirm with RBL at drawdown.</t>
  </si>
  <si>
    <t>SBLC for Buyer's Credit (GIFT City)</t>
  </si>
  <si>
    <t>Buyer's credit through RBL GIFT City or other banks</t>
  </si>
  <si>
    <t>Limit increased 172 → 190 Cr on 31-Dec-2025.</t>
  </si>
  <si>
    <t>Capex LC</t>
  </si>
  <si>
    <t>Purchase of capital goods</t>
  </si>
  <si>
    <t>Originally 24-Jan-2024; converted revolving 28-Feb-2025.</t>
  </si>
  <si>
    <t>Overdraft backed by 100% FD (FDOD)</t>
  </si>
  <si>
    <t>FB-FDbacked</t>
  </si>
  <si>
    <t>FD rate</t>
  </si>
  <si>
    <t>Cash flow mismatches</t>
  </si>
  <si>
    <t>Exclusive charge on FD = 100% of facility</t>
  </si>
  <si>
    <t>RBL Renewal cum Enhancement dated 24-Jan-2024</t>
  </si>
  <si>
    <t>Excluded from INR 300 Cr overall cap.</t>
  </si>
  <si>
    <t>LC backed by 100% FD</t>
  </si>
  <si>
    <t>NFB-FDbacked</t>
  </si>
  <si>
    <t>WC - import/purchase of raw materials</t>
  </si>
  <si>
    <t>Sub-limit of FDOD.</t>
  </si>
  <si>
    <t>Buyer's Credit from GIFT City - WC</t>
  </si>
  <si>
    <t>FB-FCY</t>
  </si>
  <si>
    <t>USD</t>
  </si>
  <si>
    <t>Term SOFR (USD)</t>
  </si>
  <si>
    <t>Bullet</t>
  </si>
  <si>
    <t>RBL-issued BG/SBLC</t>
  </si>
  <si>
    <t>RBL Buyer's Credit WC Sanction dated 13-Mar-2025</t>
  </si>
  <si>
    <t>INR-capped at ₹100 Cr.</t>
  </si>
  <si>
    <t>Buyer's Credit from GIFT City - CAPEX</t>
  </si>
  <si>
    <t>CAPEX funding</t>
  </si>
  <si>
    <t>RBL Buyer's Credit CAPEX Sanction dated 27-Mar-2025</t>
  </si>
  <si>
    <t>INR-capped at ₹172 Cr.</t>
  </si>
  <si>
    <t>Purchase Invoice Financing</t>
  </si>
  <si>
    <t>1st p-p hypothecation over current assets</t>
  </si>
  <si>
    <t>YBL Renewal cum Addendum dated 19-Mar-2026</t>
  </si>
  <si>
    <t>New facility; interest payable upfront.</t>
  </si>
  <si>
    <t>1st p-p on CA; mortgage on Faridabad property; 2nd p-p on FA; Personal Guarantee</t>
  </si>
  <si>
    <t>Pricing moved to 3M MCLR + 7 bps on 19-Mar-2026.</t>
  </si>
  <si>
    <t>Letter of Credit</t>
  </si>
  <si>
    <t>Procurement of raw materials</t>
  </si>
  <si>
    <t>Overall WC cap INR 200 Cr net of receivable finance.</t>
  </si>
  <si>
    <t>Financial BG / SBLC</t>
  </si>
  <si>
    <t>Securing payment for raw materials / paper</t>
  </si>
  <si>
    <t>Min utilisation covenant: 40% of YBL limits.</t>
  </si>
  <si>
    <t>Term Loan (Refinance Canara)</t>
  </si>
  <si>
    <t>Refinance Canara TL + reimburse promoter loan + IA</t>
  </si>
  <si>
    <t>2nd p-p on CA; 1st p-p on FA; 1st p-p EM Kalinga Nagar</t>
  </si>
  <si>
    <t>YBL TL Addendum dated 28-Mar-2025</t>
  </si>
  <si>
    <t>47 EQI of ₹6.82 Cr per sanction letter 16-Dec-2024.</t>
  </si>
  <si>
    <t>CAPEX reimbursement + CAPEX + GCP</t>
  </si>
  <si>
    <t>Bajaj TL Sanction BFL/CL-MM/2025-26/JCL/01 dated 18-Aug-2025</t>
  </si>
  <si>
    <t>Floating; quarterly reset; WDV basis. 12-month moratorium.</t>
  </si>
  <si>
    <t>1st p-p on CA; 2nd p-p on FA; 2nd p-p mortgage Kalinga Nagar</t>
  </si>
  <si>
    <t>ICICI Credit Arrangement Letter dated 16-Sep-2025</t>
  </si>
  <si>
    <t>Reset 6 monthly; one-way interchangeability CC→LC.</t>
  </si>
  <si>
    <t>Working capital (bullet)</t>
  </si>
  <si>
    <t>ICICI WCDL Addendum dated 11-Nov-2025</t>
  </si>
  <si>
    <t>Repo reset; spread TBD.</t>
  </si>
  <si>
    <t>Letter of Credit (Inland/Foreign)</t>
  </si>
  <si>
    <t>RM, consumables, stores, spares, tools</t>
  </si>
  <si>
    <t>LC to JSL Global Commodities Pte Ltd capped at INR 25 Cr.</t>
  </si>
  <si>
    <t>SBLC for Buyers' Credit</t>
  </si>
  <si>
    <t>Buyer's credit (USD/INR)</t>
  </si>
  <si>
    <t>Sub-limit of LC.</t>
  </si>
  <si>
    <t>Bank Guarantee - Performance</t>
  </si>
  <si>
    <t>Bid bond, EMD, performance, customs</t>
  </si>
  <si>
    <t>Bank Guarantee - Financial</t>
  </si>
  <si>
    <t>Financial guarantees</t>
  </si>
  <si>
    <t>CCOL (Cash Credit)</t>
  </si>
  <si>
    <t>Pre-sale and post-sale working capital</t>
  </si>
  <si>
    <t>SIB Renewal BR/SANC/01/2025-26 dated 21-Jun-2025</t>
  </si>
  <si>
    <t>Annual reset.</t>
  </si>
  <si>
    <t>WCL / WCDL</t>
  </si>
  <si>
    <t>Sub-limit of CCOL.</t>
  </si>
  <si>
    <t>Inland / Import LC</t>
  </si>
  <si>
    <t>Purchase / import of RM, trading goods, services</t>
  </si>
  <si>
    <t>Total LC + Capex LC ≤ INR 150 Cr.</t>
  </si>
  <si>
    <t>Capital goods and capital maintenance</t>
  </si>
  <si>
    <t>Combined with Inland/Import LC limit.</t>
  </si>
  <si>
    <t>Buyer's credit for import payments</t>
  </si>
  <si>
    <t>Forward Contract Limit</t>
  </si>
  <si>
    <t>N/A</t>
  </si>
  <si>
    <t>Hedging exchange risk</t>
  </si>
  <si>
    <t>Notional limit.</t>
  </si>
  <si>
    <t>★ Sanctioned Debt KPI (Bucket 1 + Bucket 2)</t>
  </si>
  <si>
    <t>NFB Mains face value (Bucket 2 only — excludes NFB sub of FB-Main)</t>
  </si>
  <si>
    <t>Separate Lines Face Value (Bucket 3)</t>
  </si>
  <si>
    <t>Memo — NFB Contingent KPI (B2 + NFB sub of FB-Main)</t>
  </si>
  <si>
    <t>LENDER SUMMARY — Three-Bucket View</t>
  </si>
  <si>
    <t>Path B (Optimized): Sanctioned Debt = sum of all FB &amp; NFB main parent facilities. NFB Contingent includes NFB sublimits of FB-Main parents (distinct contingent exposure).</t>
  </si>
  <si>
    <t>Sanctioned Debt — Bucket 1 (FB Mains) + Bucket 2 (NFB Mains)</t>
  </si>
  <si>
    <t>Bucket 1: FB Mains (₹ Cr)</t>
  </si>
  <si>
    <t>Bucket 2: NFB Mains (₹ Cr)</t>
  </si>
  <si>
    <t>% of Total</t>
  </si>
  <si>
    <t>Grand Total</t>
  </si>
  <si>
    <t>Reconciles to ₹1,320.7 Cr — sum of each lender's binding sanctioned cap (excl FD-backed). Sub-limits → Bucket 0 (excluded).</t>
  </si>
  <si>
    <t>NFB Contingent Exposure — Off-Balance-Sheet Commitments</t>
  </si>
  <si>
    <t>NFB Mains (Bucket 2)</t>
  </si>
  <si>
    <t>NFB sub of FB-Main*</t>
  </si>
  <si>
    <t>Total NFB Contingent</t>
  </si>
  <si>
    <t>% of NFB</t>
  </si>
  <si>
    <t>*NFB sub of FB-Main = RBL SBLC for Buyer's Credit ₹190 + RBL Capex LC ₹25, both sub-limits of TL Main ₹200. Counted because they create third-party contingent within FB facility umbrella.</t>
  </si>
  <si>
    <t>Separate Lines — FD-Backed Facilities Only</t>
  </si>
  <si>
    <t>FD-Backed (₹ Cr)</t>
  </si>
  <si>
    <t>% Share</t>
  </si>
  <si>
    <t>Self-collateralised by 100% Fixed Deposit; excluded from RBL ₹300 Cr Overall Borrower cap (per 31-Dec-2025 letter). Hedge notional limits (LER ₹20 + SIB Forward ₹3) shown in Memo below — not credit facilities.</t>
  </si>
  <si>
    <t>Memo — Hedge Notional Limits (informational; out of all buckets)</t>
  </si>
  <si>
    <t>Notional (₹ Cr)</t>
  </si>
  <si>
    <t>Pre-settlement counterparty exposure on derivatives</t>
  </si>
  <si>
    <t>FX hedge notional (per-contract limit)</t>
  </si>
  <si>
    <t>Total Hedge Notional</t>
  </si>
  <si>
    <t>Hedge notional limits are derivative caps, not credit facilities. Do not aggregate with debt or NFB exposures.</t>
  </si>
  <si>
    <t>METHODOLOGY NOTES</t>
  </si>
  <si>
    <t>1. Decision tree (Bucket assignment): (a) Sub-limit of another facility OR shared cap with umbrella → Bucket 0; (b) FD-backed → Bucket 3; (c) FB Main → Bucket 1; (d) NFB Main → Bucket 2.</t>
  </si>
  <si>
    <t>2. Sanctioned Debt KPI = B1 + B2 (industry-standard "total credit sanctioned at parent level"). Does NOT add Bucket 3 (FD-backed has different risk profile).</t>
  </si>
  <si>
    <t>3. NFB Contingent KPI = Bucket 2 + NFB sub-limits whose parent is a FB Main (S.No 10 RBL SBLC for BC ₹190 + S.No 11 RBL Capex LC ₹25). These create third-party contingent within FB umbrella — distinct off-balance-sheet exposure.</t>
  </si>
  <si>
    <t>WORKING CAPITAL FACILITIES</t>
  </si>
  <si>
    <t>Sub-Limit</t>
  </si>
  <si>
    <t>Eff Rate</t>
  </si>
  <si>
    <t>—— FD-Backed Line (Bucket 3 — Separate Lines, EXCLUDED from WC Sanctioned Debt) ——</t>
  </si>
  <si>
    <t>—— Fund-Based, CAPEX Purpose (included in FB aggregation; CAPEX, not pure WC use) ——</t>
  </si>
  <si>
    <t>Working Capital Summary</t>
  </si>
  <si>
    <t>Total WC Face Value (incl. FB-FCY and FD-Backed sub-line shown above)</t>
  </si>
  <si>
    <t>★ NFB Mains (Bucket 2 — parent NFB only) (₹ Cr)</t>
  </si>
  <si>
    <t>Total WC Utilised (Effective Outstanding, Bucket 1 only)</t>
  </si>
  <si>
    <t>Weighted Avg WC Interest Rate (utilisation-weighted)</t>
  </si>
  <si>
    <t>FD-Backed Lines (Bucket 3, excluded from WC Debt)</t>
  </si>
  <si>
    <t>TERM LOANS</t>
  </si>
  <si>
    <t>Combined Total</t>
  </si>
  <si>
    <t>Sanctioned (₹ Cr)</t>
  </si>
  <si>
    <t>Moratorium (Months)</t>
  </si>
  <si>
    <t>Repayment Start</t>
  </si>
  <si>
    <t>No. of Instalments</t>
  </si>
  <si>
    <t>Quarterly Instalment</t>
  </si>
  <si>
    <t>Effective Rate p.a.</t>
  </si>
  <si>
    <t>Spread (bps)</t>
  </si>
  <si>
    <t>Total TL Sanctioned</t>
  </si>
  <si>
    <t>Total TL Outstanding (as of As-of Date)</t>
  </si>
  <si>
    <t>RBL TL Note: Repayment schedule excluded — drawdown pending; existing BC instruments converting to TL by Dec-2026 per 31-Dec-2025 letter. Sanction face ₹200 Cr remains in Sanctioned Debt; quarterly schedule resumes after drawdown.</t>
  </si>
  <si>
    <t>NON-FUND BASED FACILITIES</t>
  </si>
  <si>
    <t>Commission %</t>
  </si>
  <si>
    <t>Annual Commission ₹Cr</t>
  </si>
  <si>
    <t>Validity</t>
  </si>
  <si>
    <t>NFB Summary</t>
  </si>
  <si>
    <t>Total NFB Face Value (incl. sub-limits)</t>
  </si>
  <si>
    <t>★ Net NFB Contingent Exposure (Bucket 2 + NFB sub of FB-Main) (₹ Cr)</t>
  </si>
  <si>
    <t>Hedge / Forward Notional (Memo — Bucket 0; excluded from B1/B2/B3 totals)</t>
  </si>
  <si>
    <t>Annual Commission Run-Rate (Bucket 2)</t>
  </si>
  <si>
    <t>NFB Contingent ₹815 Cr = Bucket 2 NFB Mains (₹600) + RBL SBLC for BC ₹190 + RBL Capex LC ₹25 (both sub of TL Main; counted as third-party contingent within FB umbrella).</t>
  </si>
  <si>
    <t>REPAYMENT SCHEDULE — Quarterly (Q4 FY24 — Q4 FY37)</t>
  </si>
  <si>
    <t>Note: RBL TL repayment schedule excluded — drawdown not yet completed (BC instruments converting to TL by Dec-2026 per 31-Dec-2025 letter).</t>
  </si>
  <si>
    <t>Period</t>
  </si>
  <si>
    <t>RBL Bank — Term Loan (excluded)</t>
  </si>
  <si>
    <t>YES Bank — Term Loan</t>
  </si>
  <si>
    <t>Bajaj Finance — Term Loan</t>
  </si>
  <si>
    <t>Consolidated</t>
  </si>
  <si>
    <t>Label</t>
  </si>
  <si>
    <t>Opening</t>
  </si>
  <si>
    <t>Drawdown</t>
  </si>
  <si>
    <t>Prin Rep</t>
  </si>
  <si>
    <t>Interest</t>
  </si>
  <si>
    <t>Closing</t>
  </si>
  <si>
    <t>Total Prin</t>
  </si>
  <si>
    <t>Total Int</t>
  </si>
  <si>
    <t>Total DS</t>
  </si>
  <si>
    <t>Combined O/S</t>
  </si>
  <si>
    <t>Q4 FY24</t>
  </si>
  <si>
    <t>Q1 FY25</t>
  </si>
  <si>
    <t>Q2 FY25</t>
  </si>
  <si>
    <t>Q3 FY25</t>
  </si>
  <si>
    <t>Q4 FY25</t>
  </si>
  <si>
    <t>Q1 FY26</t>
  </si>
  <si>
    <t>Q2 FY26</t>
  </si>
  <si>
    <t>Q3 FY26</t>
  </si>
  <si>
    <t>Q4 FY26</t>
  </si>
  <si>
    <t>Q1 FY27</t>
  </si>
  <si>
    <t>Q2 FY27</t>
  </si>
  <si>
    <t>Q3 FY27</t>
  </si>
  <si>
    <t>Q4 FY27</t>
  </si>
  <si>
    <t>Q1 FY28</t>
  </si>
  <si>
    <t>Q2 FY28</t>
  </si>
  <si>
    <t>Q3 FY28</t>
  </si>
  <si>
    <t>Q4 FY28</t>
  </si>
  <si>
    <t>Q1 FY29</t>
  </si>
  <si>
    <t>Q2 FY29</t>
  </si>
  <si>
    <t>Q3 FY29</t>
  </si>
  <si>
    <t>Q4 FY29</t>
  </si>
  <si>
    <t>Q1 FY30</t>
  </si>
  <si>
    <t>Q2 FY30</t>
  </si>
  <si>
    <t>Q3 FY30</t>
  </si>
  <si>
    <t>Q4 FY30</t>
  </si>
  <si>
    <t>Q1 FY31</t>
  </si>
  <si>
    <t>Q2 FY31</t>
  </si>
  <si>
    <t>Q3 FY31</t>
  </si>
  <si>
    <t>Q4 FY31</t>
  </si>
  <si>
    <t>Q1 FY32</t>
  </si>
  <si>
    <t>Q2 FY32</t>
  </si>
  <si>
    <t>Q3 FY32</t>
  </si>
  <si>
    <t>Q4 FY32</t>
  </si>
  <si>
    <t>Q1 FY33</t>
  </si>
  <si>
    <t>Q2 FY33</t>
  </si>
  <si>
    <t>Q3 FY33</t>
  </si>
  <si>
    <t>Q4 FY33</t>
  </si>
  <si>
    <t>Q1 FY34</t>
  </si>
  <si>
    <t>Q2 FY34</t>
  </si>
  <si>
    <t>Q3 FY34</t>
  </si>
  <si>
    <t>Q4 FY34</t>
  </si>
  <si>
    <t>Q1 FY35</t>
  </si>
  <si>
    <t>Q2 FY35</t>
  </si>
  <si>
    <t>Q3 FY35</t>
  </si>
  <si>
    <t>Q4 FY35</t>
  </si>
  <si>
    <t>Q1 FY36</t>
  </si>
  <si>
    <t>Q2 FY36</t>
  </si>
  <si>
    <t>Q3 FY36</t>
  </si>
  <si>
    <t>Q4 FY36</t>
  </si>
  <si>
    <t>Q1 FY37</t>
  </si>
  <si>
    <t>Q2 FY37</t>
  </si>
  <si>
    <t>Q3 FY37</t>
  </si>
  <si>
    <t>Q4 FY37</t>
  </si>
  <si>
    <t>TL KPIs (cumulative through As-of Date)</t>
  </si>
  <si>
    <t>Sanctioned</t>
  </si>
  <si>
    <t>Principal Repaid</t>
  </si>
  <si>
    <t>Principal Outstanding</t>
  </si>
  <si>
    <t>Interest Paid</t>
  </si>
  <si>
    <t>Effective Rate</t>
  </si>
  <si>
    <t>RBL Bank (excluded)</t>
  </si>
  <si>
    <t>GRAND TOTAL</t>
  </si>
  <si>
    <t>INTEREST &amp; COMMISSION SCHEDULE</t>
  </si>
  <si>
    <t>Eff O/S</t>
  </si>
  <si>
    <t>Annual Interest/Comm. ₹Cr</t>
  </si>
  <si>
    <t>Annual Interest &amp; Commission Summary</t>
  </si>
  <si>
    <t>Total Interest — Sanctioned Debt (Bucket 1)</t>
  </si>
  <si>
    <t>Total Commission — NFB Contingent (Bucket 2)</t>
  </si>
  <si>
    <t>Total — Separate Lines (Bucket 3)</t>
  </si>
  <si>
    <t>Total Interest + Commission (All Buckets)</t>
  </si>
  <si>
    <t>Wt. Avg Cost of FB Economic Debt (Bucket 1)</t>
  </si>
  <si>
    <t>COVENANT TRACKER</t>
  </si>
  <si>
    <t>Covenant</t>
  </si>
  <si>
    <t>Operator</t>
  </si>
  <si>
    <t>Threshold</t>
  </si>
  <si>
    <t>DSCR</t>
  </si>
  <si>
    <t>&gt;=</t>
  </si>
  <si>
    <t>Per RBL TL sanction.</t>
  </si>
  <si>
    <t>Total Debt / EBITDA</t>
  </si>
  <si>
    <t>&lt;=</t>
  </si>
  <si>
    <t>TOL / TNW</t>
  </si>
  <si>
    <t>Term Debt / EBITDA</t>
  </si>
  <si>
    <t>rating</t>
  </si>
  <si>
    <t>Minimum rating.</t>
  </si>
  <si>
    <t>Promoter Shareholding</t>
  </si>
  <si>
    <t>Min holding.</t>
  </si>
  <si>
    <t>YBL TL covenant.</t>
  </si>
  <si>
    <t>ICR</t>
  </si>
  <si>
    <t>Current Ratio</t>
  </si>
  <si>
    <t>FACR</t>
  </si>
  <si>
    <t>Bajaj TL covenant.</t>
  </si>
  <si>
    <t>FACR (MSC 1.25x)</t>
  </si>
  <si>
    <t>Min Security Cover.</t>
  </si>
  <si>
    <t>Debt / Equity</t>
  </si>
  <si>
    <t>Covenant Dashboard</t>
  </si>
  <si>
    <t>Total Covenants</t>
  </si>
  <si>
    <t>Pending Input</t>
  </si>
  <si>
    <t>Portfolio Compliance %</t>
  </si>
  <si>
    <t>The TOL figure used in TOL/TNW covenants is drawn from JCL's audited balance sheet (Instructions Section C, line item TOL). This figure already incorporates the appropriate accounting treatment of contingent NFB liabilities. The Total Debt figure used in Total Debt/EBITDA, Total Debt/ATNW, and Term Debt/EBITDA covenants is the Gross Outstanding Debt of ₹613.03 Cr (from Instructions B25 — JCL audited financials), NOT the FB Economic Debt of ₹720.7 Cr (Bucket 1) or the Sanctioned Debt of ₹1,320.7 Cr (B1+B2). Covenants standardly test outstanding (drawn) debt rather than sanctioned limits. If the lender's covenant definition specifies sanctioned/committed debt, override TotalDebt_Active to point to a Bucket-1 reference.</t>
  </si>
  <si>
    <t>SECURITY &amp; CHARGE MATRIX</t>
  </si>
  <si>
    <t># of Facilities</t>
  </si>
  <si>
    <t>Sanctioned Debt ₹ Cr</t>
  </si>
  <si>
    <t>Personal Guarantee</t>
  </si>
  <si>
    <t>Charge Type</t>
  </si>
  <si>
    <t>Security Description</t>
  </si>
  <si>
    <t>1st / 2nd p-p hypothecation + mortgage</t>
  </si>
  <si>
    <t>1st p-p on CA; 2nd p-p on FA; 1st p-p mortgage on Faridabad property; Personal guarantee of promoters; FD-collateralised lines exclusive on FD</t>
  </si>
  <si>
    <t>1st p-p hypothecation over CA; mortgage on Faridabad property; 2nd p-p on FA; Personal guarantee</t>
  </si>
  <si>
    <t>1st p-p on FA at Coke Plant Khurunti; 2nd p-p on CA; MSC 1.25x; Personal guarantee</t>
  </si>
  <si>
    <t>1st p-p on CA; 2nd p-p on FA; 2nd p-p mortgage on Kalinga Nagar property</t>
  </si>
  <si>
    <t>UTILIZATION TRACKER</t>
  </si>
  <si>
    <t>Days to Validity</t>
  </si>
  <si>
    <t>Review Flag</t>
  </si>
  <si>
    <t>RENEWAL &amp; REVIEW CALENDAR</t>
  </si>
  <si>
    <t>Action</t>
  </si>
  <si>
    <t>Renewal Dashboard</t>
  </si>
  <si>
    <t>Due &lt;=60d</t>
  </si>
  <si>
    <t>Expiring &lt;=30d</t>
  </si>
  <si>
    <t>Annual Renewal — Confirm</t>
  </si>
  <si>
    <t>No Validity Date</t>
  </si>
  <si>
    <t>Working capital facilities operating on annual renewal cycles show their original sanction-letter validity dates. These dates reflect the last formal renewal letter. Update Column AD in the Facility Master with the current validity date from the relationship manager after each renewal. Until updated, the status 'Annual Renewal — Confirm with Ops' is informational and does not indicate an operational breach.</t>
  </si>
  <si>
    <t>SCENARIO ANALYSIS — Stress Testing</t>
  </si>
  <si>
    <t>Scenario Inputs</t>
  </si>
  <si>
    <t>Base</t>
  </si>
  <si>
    <t>Stress</t>
  </si>
  <si>
    <t>Severe Stress</t>
  </si>
  <si>
    <t>Rate Shock (parallel +bps)</t>
  </si>
  <si>
    <t>Spread Increase</t>
  </si>
  <si>
    <t>Utilisation Change %</t>
  </si>
  <si>
    <t>EBITDA Change %</t>
  </si>
  <si>
    <t>Total Debt Change %</t>
  </si>
  <si>
    <t>Scenario Outputs</t>
  </si>
  <si>
    <t>Annual Bucket 1 Interest Cost (₹ Cr)</t>
  </si>
  <si>
    <t>DSCR (Stressed)</t>
  </si>
  <si>
    <t>Total Debt / EBITDA (Stressed)</t>
  </si>
  <si>
    <t>ICR (EBITDA / Stressed Interest)</t>
  </si>
  <si>
    <t>Rate Sensitivity — Annual Interest Impact of +100 bps on each benchmark</t>
  </si>
  <si>
    <t>Δ Interest @ +100 bps (₹ Cr)</t>
  </si>
  <si>
    <t>BFRR (Bajaj)</t>
  </si>
  <si>
    <t>DEBT PRICING TABLE</t>
  </si>
  <si>
    <t>Ccy</t>
  </si>
  <si>
    <t>Benchmark / Reference Rate</t>
  </si>
  <si>
    <t>Eff. Rate p.a.</t>
  </si>
  <si>
    <t>VALIDATION ENGINE</t>
  </si>
  <si>
    <t>Integrity Indicator</t>
  </si>
  <si>
    <t>Detailed Checks</t>
  </si>
  <si>
    <t>Check ID</t>
  </si>
  <si>
    <t>Severity</t>
  </si>
  <si>
    <t>VVE-01</t>
  </si>
  <si>
    <t>FM row count = 34</t>
  </si>
  <si>
    <t>Critical</t>
  </si>
  <si>
    <t>FM</t>
  </si>
  <si>
    <t>VVE-02</t>
  </si>
  <si>
    <t>Sub-limit count</t>
  </si>
  <si>
    <t>High</t>
  </si>
  <si>
    <t>VVE-03</t>
  </si>
  <si>
    <t>Bucket 1 (FB Mains) count = 4</t>
  </si>
  <si>
    <t>VVE-04</t>
  </si>
  <si>
    <t>Bucket 2 (NFB Mains) count = 4</t>
  </si>
  <si>
    <t>VVE-05</t>
  </si>
  <si>
    <t>Bucket 3 (FD-Backed) count = 1</t>
  </si>
  <si>
    <t>VVE-06</t>
  </si>
  <si>
    <t>All 5 lenders represented</t>
  </si>
  <si>
    <t>VVE-07</t>
  </si>
  <si>
    <t>No outstanding &gt; sanctioned</t>
  </si>
  <si>
    <t>VVE-08</t>
  </si>
  <si>
    <t>No TL maturity &lt; drawdown</t>
  </si>
  <si>
    <t>VVE-09</t>
  </si>
  <si>
    <t>Sanctioned Debt (B1+B2) = ₹1,320.7 Cr</t>
  </si>
  <si>
    <t>VVE-10</t>
  </si>
  <si>
    <t>FB Mains (Bucket 1) = ₹720.7 Cr</t>
  </si>
  <si>
    <t>VVE-11</t>
  </si>
  <si>
    <t>NFB Mains (Bucket 2) = ₹600.0 Cr</t>
  </si>
  <si>
    <t>VVE-12</t>
  </si>
  <si>
    <t>NFB Contingent = ₹815.0 Cr</t>
  </si>
  <si>
    <t>VVE-13</t>
  </si>
  <si>
    <t>FD-Backed (Bucket 3) = ₹100.0 Cr</t>
  </si>
  <si>
    <t>VVE-14</t>
  </si>
  <si>
    <t>Hedge Notional Memo = ₹23.0 Cr (LER 20 + SIB Forward 3)</t>
  </si>
  <si>
    <t>VVE-15</t>
  </si>
  <si>
    <t>B1 + B2 + B3 + B0 + Memo = sum of all amounts</t>
  </si>
  <si>
    <t>TL</t>
  </si>
  <si>
    <t>VVE-16</t>
  </si>
  <si>
    <t>YBL TL principal value</t>
  </si>
  <si>
    <t>VVE-17</t>
  </si>
  <si>
    <t>Bajaj TL principal value</t>
  </si>
  <si>
    <t>VVE-18</t>
  </si>
  <si>
    <t>Repayment schedule sanctioned (YBL+Bajaj only) = ₹470.7 Cr</t>
  </si>
  <si>
    <t>VVE-19</t>
  </si>
  <si>
    <t>Covenant count = 24</t>
  </si>
  <si>
    <t>Cov</t>
  </si>
  <si>
    <t>VVE-20</t>
  </si>
  <si>
    <t>EBITDA populated</t>
  </si>
  <si>
    <t>Inputs</t>
  </si>
  <si>
    <t>VVE-21</t>
  </si>
  <si>
    <t>TotalDebt populated</t>
  </si>
  <si>
    <t>VVE-22</t>
  </si>
  <si>
    <t>TNW populated</t>
  </si>
  <si>
    <t>VVE-23</t>
  </si>
  <si>
    <t>AsOfDate set</t>
  </si>
  <si>
    <t>VVE-24</t>
  </si>
  <si>
    <t>FX rate positive</t>
  </si>
  <si>
    <t>VVE-25</t>
  </si>
  <si>
    <t>DaysInYear &gt; 0</t>
  </si>
  <si>
    <t>VVE-26</t>
  </si>
  <si>
    <t>All facilities have bucket assignment</t>
  </si>
  <si>
    <t>Arch</t>
  </si>
  <si>
    <t>VVE-27</t>
  </si>
  <si>
    <t>Total facilities = sublimits + B1 + B2 + B3 + Memo</t>
  </si>
  <si>
    <t>VVE-28</t>
  </si>
  <si>
    <t>No facility both bucket and sub-limit</t>
  </si>
  <si>
    <t>VVE-29</t>
  </si>
  <si>
    <t>RBL Sanctioned Debt = ₹300 Cr (TL ₹200 + LC ₹100)</t>
  </si>
  <si>
    <t>Caps</t>
  </si>
  <si>
    <t>VVE-30</t>
  </si>
  <si>
    <t>YBL Sanctioned Debt = ₹520.7 Cr (TL ₹320.7 + LC ₹200)</t>
  </si>
  <si>
    <t>VVE-31</t>
  </si>
  <si>
    <t>ICICI Sanctioned Debt = ₹200 Cr</t>
  </si>
  <si>
    <t>VVE-32</t>
  </si>
  <si>
    <t>SIB Sanctioned Debt = ₹150 Cr</t>
  </si>
  <si>
    <t>VVE-33</t>
  </si>
  <si>
    <t>Bajaj Sanctioned Debt = ₹150 Cr</t>
  </si>
  <si>
    <t>VVE-34</t>
  </si>
  <si>
    <t>All FB sub-limits flagged correctly (no FB sub in Bucket 1)</t>
  </si>
  <si>
    <t>VVE-35</t>
  </si>
  <si>
    <t>All NFB sub-limits flagged correctly (no NFB sub in Bucket 2)</t>
  </si>
  <si>
    <t>VVE-36</t>
  </si>
  <si>
    <t>FB Mains (Bucket 1) = ₹720.7 Cr  [B1 only check]</t>
  </si>
  <si>
    <t>VVE-37</t>
  </si>
  <si>
    <t>RBL TL Maturity = 31-Mar-2029 (cosmetic only; drawdown pending)</t>
  </si>
  <si>
    <t>Low</t>
  </si>
  <si>
    <t>Dates</t>
  </si>
  <si>
    <t>VVE-38</t>
  </si>
  <si>
    <t>VVE-39</t>
  </si>
  <si>
    <t>YBL TL Maturity = 30-Sep-2036</t>
  </si>
  <si>
    <t>VVE-40</t>
  </si>
  <si>
    <t>VVE-41</t>
  </si>
  <si>
    <t>MCLR_RBL_1Y in [0,25%]</t>
  </si>
  <si>
    <t>Rates</t>
  </si>
  <si>
    <t>VVE-42</t>
  </si>
  <si>
    <t>MCLR_YBL_3M in range</t>
  </si>
  <si>
    <t>VVE-43</t>
  </si>
  <si>
    <t>SOFR_3M in range</t>
  </si>
  <si>
    <t>VVE-44</t>
  </si>
  <si>
    <t>BFRR_Bajaj in range</t>
  </si>
  <si>
    <t>VVE-45</t>
  </si>
  <si>
    <t>FinBasis valid</t>
  </si>
  <si>
    <t>VVE-46</t>
  </si>
  <si>
    <t>Bucket1_DebtTotal &gt; 0</t>
  </si>
  <si>
    <t>VVE-47</t>
  </si>
  <si>
    <t>Total facility count balance</t>
  </si>
  <si>
    <t>VVE-48</t>
  </si>
  <si>
    <t>Bucket 0 count (24 sub-limits + 1 hedge memo)</t>
  </si>
  <si>
    <t>VVE-49</t>
  </si>
  <si>
    <t>Bucket 1 Interest &gt; 0</t>
  </si>
  <si>
    <t>Medium</t>
  </si>
  <si>
    <t>Recon</t>
  </si>
  <si>
    <t>VVE-50</t>
  </si>
  <si>
    <t>Sanctioned Debt &gt; 1000 Cr</t>
  </si>
  <si>
    <t>VVE-51</t>
  </si>
  <si>
    <t>NFB Contingent flag = 6 facilities (S.Nos 1, 10, 11, 18, 25, 31)</t>
  </si>
  <si>
    <t>VVE Master Status</t>
  </si>
  <si>
    <t>Total Checks</t>
  </si>
  <si>
    <t>PASS</t>
  </si>
  <si>
    <t>FAIL</t>
  </si>
  <si>
    <t>Critical FAIL</t>
  </si>
  <si>
    <t>Overall Status</t>
  </si>
  <si>
    <t>Relative Share ▶</t>
  </si>
  <si>
    <t>Annual Bar ▶</t>
  </si>
  <si>
    <t>% of Sanctioned</t>
  </si>
  <si>
    <t>Visual</t>
  </si>
  <si>
    <t>Flags</t>
  </si>
  <si>
    <t>Pricing</t>
  </si>
  <si>
    <t>Repayment</t>
  </si>
  <si>
    <t>Reference &amp; Notes</t>
  </si>
  <si>
    <t xml:space="preserve">                 Financial Structure</t>
  </si>
  <si>
    <t>MODEL NOTES</t>
  </si>
  <si>
    <t>STRESS INTERPRETATION</t>
  </si>
  <si>
    <t>46 graduated quarterly tranches Jun-2025 to Sep-2036 per actual YBL Final Repayment Schedule (sanction ₹320.7 Cr; ₹295.96 Cr O/S as of 31-Mar-2026).</t>
  </si>
  <si>
    <t>Drawdown 25-Aug-2025 ₹150 Cr; 96 monthly EMIs (interest monthly, principal quarterly); 28 equal quarterly principal tranches of ₹5.357 Cr from Dec-2026 to Sep-2033; rate 8.6% (BFRR 8.5% + 10 bps).</t>
  </si>
  <si>
    <t>YBL TL RepStart = 30-Jun-2025 (graduated schedule)</t>
  </si>
  <si>
    <t>Prepared by Divyanshu Vatsa · Treasury · Last revised: 8 May 2026</t>
  </si>
  <si>
    <t>Bajaj TL Maturity = 25-Aug-2033 (per Bajaj PDF)</t>
  </si>
  <si>
    <t>JCL Debt Model  |  Fund-Based WC Lines  |  May 2026</t>
  </si>
  <si>
    <t>WC Headroom (Bucket 1 ex-TL: Sanctioned − Utilised)</t>
  </si>
  <si>
    <t>JCL Debt Model  |  Term Loan Summary  |  May 2026</t>
  </si>
  <si>
    <t>₹6.18–₹9.03 Cr (graduated)</t>
  </si>
  <si>
    <t>YBL TL Note: 46 graduated quarterly tranches Jun-2025 to Sep-2036 per the YBL Final Repayment Schedule (sanction ₹320.7 Cr; disbursed ₹306.59 Cr; first tranche ₹6.18 Cr Jun-2025; tranches step up across 7 tiers to ₹9.03 Cr; final two stub tranches ₹2.43 / ₹2.39 Cr).</t>
  </si>
  <si>
    <t>RBL TL Rate Note: Indicative 9.75% (1Y MCLR of 9.00% + spread of 75 bps). Sanction letter defers actual rate to drawdown. Update Facility Master row corresponding to RBL_TL_SNo (S.No 9) when RBL confirms the rate at drawdown.</t>
  </si>
  <si>
    <t>JCL Debt Model  |  Non-Fund Based (NFB) Lines  |  May 2026</t>
  </si>
  <si>
    <t>JCL Debt Model  |  Interest &amp; Commission Run-Rate  |  May 2026</t>
  </si>
  <si>
    <t>JCL Debt Model  |  Financial Covenant Compliance  |  May 2026</t>
  </si>
  <si>
    <t>Risk</t>
  </si>
  <si>
    <t>JCL Debt Model  |  Facility Utilisation &amp; Validity Monitor  |  May 2026</t>
  </si>
  <si>
    <t>JCL Debt Model  |  Sanction Validity &amp; Annual Renewal Schedule  |  May 2026</t>
  </si>
  <si>
    <t>Valid (incl. TLs on schedule)</t>
  </si>
  <si>
    <t>TLs Maturing (≤1yr)</t>
  </si>
  <si>
    <t>JCL Debt Model  |  Rate &amp; Credit Stress Testing  |  May 2026</t>
  </si>
  <si>
    <t>Base case reflects current rate environment, current utilisation, and FY26E financials. Stress applies a +100 bps parallel rate shock, +25 bps spread, +10% utilisation, -15% EBITDA, and +10% debt — testing typical mid-cycle stress. Severe Stress applies +200 bps rate shock, +50 bps spread, +20% utilisation, -30% EBITDA, and +25% debt — testing tail-risk conditions. The DSCR row indicates capacity to meet stressed debt service from operating cash flow; values below 1.25x warrant proactive lender engagement.
Note on base values: Scenario uses forward-looking Annual Bucket 1 Interest (₹40.06 Cr from current outstanding × effective rate) so the stress shocks act on the same basis. Covenant Tracker uses TTM Interest Expense (₹49.08 Cr from audited Section C) because most credit agreements test against audited financials. Both are correct for their purpose: Base DSCR here = 3.88x (run-rate basis), Covenant DSCR = 3.49x (TTM basis).</t>
  </si>
  <si>
    <t>JCL Debt Model  |  Benchmark Rates, Spreads &amp; Effective Cost  |  May 2026</t>
  </si>
  <si>
    <t>PRICING SUMMARY</t>
  </si>
  <si>
    <t>Floating (firm)</t>
  </si>
  <si>
    <t>JCL Debt Model  |  Automated Integrity Checks  |  May 2026</t>
  </si>
  <si>
    <t>JCL Debt Model  |  Collateral &amp; Personal Guarantee Register  |  May 2026</t>
  </si>
  <si>
    <t>RBL SBLC for BC ₹190 (sub of TL) and RBL Capex LC ₹25 (sub of TL) are NFB sub-limits of an FB-Main parent. Sit in Bucket 0 for sub-limit deduplication purposes, but flagged via 'NFB Contingent Flag' column AG in Facility Master to surface in NFB Contingent KPI (₹815 = Bucket 2 ₹600 + these two ₹215).</t>
  </si>
  <si>
    <t>NFB Contingent computed via column AG flag in Facility Master (TRUE for facilities contributing to NFB Contingent KPI). Lender Summary aggregates via SUMIFS on this flag plus H=2.</t>
  </si>
  <si>
    <t>Eff Current 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</si>
</sst>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
    <numFmt numFmtId="165" formatCode="dd/mmm/yyyy"/>
    <numFmt numFmtId="166" formatCode="dd\-mmm\-yyyy"/>
    <numFmt numFmtId="167" formatCode="0.0%"/>
    <numFmt numFmtId="168" formatCode="#,##0;\(#,##0\);\-"/>
    <numFmt numFmtId="169" formatCode="#,##0.0;\(#,##0.0\);\-"/>
    <numFmt numFmtId="170" formatCode="0%;\(0%\);\-"/>
    <numFmt numFmtId="171" formatCode="d\-mmm\-yy"/>
    <numFmt numFmtId="172" formatCode="#,##0.00;[Red]\(#,##0.00\);\-"/>
    <numFmt numFmtId="173" formatCode="#,##0.0;\(#,##0.0\);&quot;-&quot;"/>
    <numFmt numFmtId="174" formatCode="#,##0.00;\(#,##0.00\);\–"/>
    <numFmt numFmtId="175" formatCode="#,##0;\(#,##0\);\–"/>
    <numFmt numFmtId="176" formatCode="#,##0.00&quot;x&quot;"/>
    <numFmt numFmtId="177" formatCode="0.00%;\(0.00%\);\–"/>
  </numFmts>
  <fonts count="110" x14ac:knownFonts="1">
    <font>
      <sz val="11"/>
      <color theme="1"/>
      <name val="Calibri"/>
      <family val="2"/>
      <charset val="1"/>
    </font>
    <font>
      <sz val="11"/>
      <color theme="1"/>
      <name val="Calibri"/>
      <family val="2"/>
    </font>
    <font>
      <sz val="10"/>
      <name val="Arial"/>
      <family val="2"/>
    </font>
    <font>
      <b/>
      <sz val="24"/>
      <color rgb="FFFFFFFF"/>
      <name val="Calibri"/>
      <family val="2"/>
      <charset val="1"/>
    </font>
    <font>
      <sz val="13"/>
      <color rgb="FFFFFFFF"/>
      <name val="Calibri"/>
      <family val="2"/>
      <charset val="1"/>
    </font>
    <font>
      <b/>
      <sz val="11"/>
      <color rgb="FF1F3864"/>
      <name val="Calibri"/>
      <family val="2"/>
      <charset val="1"/>
    </font>
    <font>
      <b/>
      <sz val="10"/>
      <color rgb="FF1F3864"/>
      <name val="Calibri"/>
      <family val="2"/>
      <charset val="1"/>
    </font>
    <font>
      <b/>
      <sz val="11"/>
      <color rgb="FFFFFFFF"/>
      <name val="Calibri"/>
      <family val="2"/>
      <charset val="1"/>
    </font>
    <font>
      <sz val="10"/>
      <color rgb="FF1A1A2E"/>
      <name val="Calibri"/>
      <family val="2"/>
      <charset val="1"/>
    </font>
    <font>
      <sz val="10"/>
      <color rgb="FF222222"/>
      <name val="Calibri"/>
      <family val="2"/>
      <charset val="1"/>
    </font>
    <font>
      <b/>
      <sz val="10"/>
      <color rgb="FFFFFFFF"/>
      <name val="Calibri"/>
      <family val="2"/>
      <charset val="1"/>
    </font>
    <font>
      <i/>
      <sz val="10"/>
      <color rgb="FF595959"/>
      <name val="Calibri"/>
      <family val="2"/>
      <charset val="1"/>
    </font>
    <font>
      <sz val="6"/>
      <color theme="1"/>
      <name val="Calibri"/>
      <family val="2"/>
      <charset val="1"/>
    </font>
    <font>
      <sz val="10"/>
      <color rgb="FF333333"/>
      <name val="Calibri"/>
      <family val="2"/>
      <charset val="1"/>
    </font>
    <font>
      <b/>
      <sz val="11"/>
      <color rgb="FFC00000"/>
      <name val="Cambria"/>
      <family val="1"/>
    </font>
    <font>
      <b/>
      <sz val="11"/>
      <color rgb="FF1F4E78"/>
      <name val="Cambria"/>
      <family val="1"/>
    </font>
    <font>
      <b/>
      <sz val="11"/>
      <color rgb="FF548235"/>
      <name val="Cambria"/>
      <family val="1"/>
    </font>
    <font>
      <b/>
      <sz val="11"/>
      <color rgb="FF808080"/>
      <name val="Cambria"/>
      <family val="1"/>
    </font>
    <font>
      <i/>
      <sz val="11"/>
      <color rgb="FF808080"/>
      <name val="Cambria"/>
      <family val="1"/>
    </font>
    <font>
      <b/>
      <sz val="16"/>
      <color rgb="FFFFFFFF"/>
      <name val="Calibri"/>
      <family val="2"/>
      <charset val="1"/>
    </font>
    <font>
      <i/>
      <sz val="10"/>
      <color rgb="FFFFFFFF"/>
      <name val="Calibri"/>
      <family val="2"/>
      <charset val="1"/>
    </font>
    <font>
      <b/>
      <sz val="9"/>
      <color rgb="FFFFFFFF"/>
      <name val="Calibri"/>
      <family val="2"/>
      <charset val="1"/>
    </font>
    <font>
      <b/>
      <sz val="20"/>
      <color rgb="FF1F3864"/>
      <name val="Calibri"/>
      <family val="2"/>
      <charset val="1"/>
    </font>
    <font>
      <b/>
      <sz val="20"/>
      <color rgb="FF2E75B6"/>
      <name val="Calibri"/>
      <family val="2"/>
      <charset val="1"/>
    </font>
    <font>
      <b/>
      <sz val="20"/>
      <color rgb="FF375623"/>
      <name val="Calibri"/>
      <family val="2"/>
      <charset val="1"/>
    </font>
    <font>
      <b/>
      <sz val="20"/>
      <color rgb="FF843C0C"/>
      <name val="Calibri"/>
      <family val="2"/>
      <charset val="1"/>
    </font>
    <font>
      <i/>
      <sz val="8"/>
      <color rgb="FF595959"/>
      <name val="Calibri"/>
      <family val="2"/>
      <charset val="1"/>
    </font>
    <font>
      <b/>
      <sz val="20"/>
      <color rgb="FF44546A"/>
      <name val="Calibri"/>
      <family val="2"/>
      <charset val="1"/>
    </font>
    <font>
      <b/>
      <sz val="16"/>
      <color rgb="FF1F3864"/>
      <name val="Calibri"/>
      <family val="2"/>
      <charset val="1"/>
    </font>
    <font>
      <sz val="10"/>
      <name val="Cambria"/>
      <family val="1"/>
    </font>
    <font>
      <sz val="9"/>
      <color rgb="FF595959"/>
      <name val="Calibri"/>
      <family val="2"/>
      <charset val="1"/>
    </font>
    <font>
      <b/>
      <sz val="20"/>
      <color rgb="FF70AD47"/>
      <name val="Calibri"/>
      <family val="2"/>
      <charset val="1"/>
    </font>
    <font>
      <i/>
      <sz val="9"/>
      <color rgb="FF595959"/>
      <name val="Cambria"/>
      <family val="1"/>
    </font>
    <font>
      <i/>
      <sz val="9"/>
      <color rgb="FF595959"/>
      <name val="Calibri"/>
      <family val="2"/>
      <charset val="1"/>
    </font>
    <font>
      <b/>
      <sz val="14"/>
      <color rgb="FFFFFFFF"/>
      <name val="Calibri"/>
      <family val="2"/>
      <charset val="1"/>
    </font>
    <font>
      <b/>
      <sz val="10"/>
      <color rgb="FF0070C0"/>
      <name val="Calibri"/>
      <family val="2"/>
      <charset val="1"/>
    </font>
    <font>
      <sz val="10"/>
      <color rgb="FF1F3864"/>
      <name val="Calibri"/>
      <family val="2"/>
      <charset val="1"/>
    </font>
    <font>
      <b/>
      <sz val="9"/>
      <color rgb="FF1F3864"/>
      <name val="Calibri"/>
      <family val="2"/>
      <charset val="1"/>
    </font>
    <font>
      <b/>
      <sz val="9"/>
      <color rgb="FF1C1C1C"/>
      <name val="Calibri"/>
      <family val="2"/>
      <charset val="1"/>
    </font>
    <font>
      <sz val="9"/>
      <color rgb="FF1C1C1C"/>
      <name val="Calibri"/>
      <family val="2"/>
      <charset val="1"/>
    </font>
    <font>
      <b/>
      <sz val="11"/>
      <color rgb="FFFFFFFF"/>
      <name val="Cambria"/>
      <family val="1"/>
    </font>
    <font>
      <b/>
      <sz val="10"/>
      <color rgb="FF375623"/>
      <name val="Calibri"/>
      <family val="2"/>
      <charset val="1"/>
    </font>
    <font>
      <b/>
      <sz val="12"/>
      <color rgb="FF1F3864"/>
      <name val="Calibri"/>
      <family val="2"/>
      <charset val="1"/>
    </font>
    <font>
      <i/>
      <sz val="9"/>
      <color rgb="FFFFFFFF"/>
      <name val="Calibri"/>
      <family val="2"/>
      <charset val="1"/>
    </font>
    <font>
      <b/>
      <sz val="9"/>
      <color rgb="FF375623"/>
      <name val="Calibri"/>
      <family val="2"/>
      <charset val="1"/>
    </font>
    <font>
      <sz val="11"/>
      <color rgb="FF1F3864"/>
      <name val="Calibri"/>
      <family val="2"/>
      <charset val="1"/>
    </font>
    <font>
      <b/>
      <i/>
      <sz val="10"/>
      <color rgb="FF1F3864"/>
      <name val="Cambria"/>
      <family val="1"/>
    </font>
    <font>
      <i/>
      <sz val="10"/>
      <color rgb="FF2F5496"/>
      <name val="Cambria"/>
      <family val="1"/>
    </font>
    <font>
      <b/>
      <sz val="11"/>
      <color rgb="FFFFFFFF"/>
      <name val="Calibri"/>
      <family val="2"/>
    </font>
    <font>
      <b/>
      <sz val="10"/>
      <color rgb="FF1F3864"/>
      <name val="Calibri"/>
      <family val="2"/>
    </font>
    <font>
      <sz val="10"/>
      <color rgb="FF1A1A2E"/>
      <name val="Calibri"/>
      <family val="2"/>
    </font>
    <font>
      <b/>
      <sz val="14"/>
      <color rgb="FFFFFFFF"/>
      <name val="Calibri"/>
      <family val="2"/>
    </font>
    <font>
      <b/>
      <sz val="15"/>
      <color rgb="FFFFFFFF"/>
      <name val="Calibri"/>
      <family val="2"/>
    </font>
    <font>
      <b/>
      <sz val="12"/>
      <color rgb="FFFFFFFF"/>
      <name val="Calibri"/>
      <family val="2"/>
    </font>
    <font>
      <sz val="8"/>
      <color rgb="FF1F3864"/>
      <name val="Calibri"/>
      <family val="2"/>
      <charset val="1"/>
    </font>
    <font>
      <sz val="8"/>
      <color rgb="FF0F5463"/>
      <name val="Calibri"/>
      <family val="2"/>
      <charset val="1"/>
    </font>
    <font>
      <sz val="8"/>
      <color rgb="FF622E8F"/>
      <name val="Calibri"/>
      <family val="2"/>
      <charset val="1"/>
    </font>
    <font>
      <sz val="8"/>
      <color rgb="FF164E7C"/>
      <name val="Calibri"/>
      <family val="2"/>
      <charset val="1"/>
    </font>
    <font>
      <sz val="8"/>
      <color rgb="FF6D5611"/>
      <name val="Calibri"/>
      <family val="2"/>
      <charset val="1"/>
    </font>
    <font>
      <sz val="8"/>
      <color rgb="FF2E75B6"/>
      <name val="Calibri"/>
      <family val="2"/>
      <charset val="1"/>
    </font>
    <font>
      <i/>
      <sz val="10"/>
      <color rgb="FF1F3864"/>
      <name val="Calibri"/>
      <family val="2"/>
      <charset val="1"/>
    </font>
    <font>
      <sz val="8"/>
      <color rgb="FF808080"/>
      <name val="Calibri"/>
      <family val="2"/>
      <charset val="1"/>
    </font>
    <font>
      <b/>
      <sz val="14"/>
      <color rgb="FF2F5496"/>
      <name val="Cambria"/>
      <family val="1"/>
    </font>
    <font>
      <sz val="10"/>
      <color rgb="FF444444"/>
      <name val="Calibri"/>
      <family val="2"/>
      <charset val="1"/>
    </font>
    <font>
      <b/>
      <sz val="10"/>
      <color rgb="FF7F6000"/>
      <name val="Calibri"/>
      <family val="2"/>
      <charset val="1"/>
    </font>
    <font>
      <b/>
      <sz val="9"/>
      <color rgb="FFFFFFFF"/>
      <name val="Calibri"/>
      <family val="2"/>
    </font>
    <font>
      <b/>
      <sz val="10"/>
      <color rgb="FFFFFFFF"/>
      <name val="Calibri"/>
      <family val="2"/>
    </font>
    <font>
      <sz val="9"/>
      <color theme="1"/>
      <name val="Calibri"/>
      <family val="2"/>
      <charset val="1"/>
    </font>
    <font>
      <i/>
      <sz val="9"/>
      <color rgb="FF595959"/>
      <name val="Calibri"/>
      <family val="2"/>
    </font>
    <font>
      <i/>
      <sz val="9"/>
      <color rgb="FF6B7280"/>
      <name val="Calibri"/>
      <family val="2"/>
    </font>
    <font>
      <b/>
      <sz val="9"/>
      <color rgb="FF374151"/>
      <name val="Calibri"/>
      <family val="2"/>
    </font>
    <font>
      <b/>
      <i/>
      <sz val="9"/>
      <color rgb="FF374151"/>
      <name val="Calibri"/>
      <family val="2"/>
    </font>
    <font>
      <b/>
      <sz val="8"/>
      <color rgb="FFFFFFFF"/>
      <name val="Calibri"/>
      <family val="2"/>
    </font>
    <font>
      <i/>
      <sz val="8"/>
      <color rgb="FF374151"/>
      <name val="Calibri"/>
      <family val="2"/>
    </font>
    <font>
      <sz val="8"/>
      <color rgb="FF374151"/>
      <name val="Calibri"/>
      <family val="2"/>
    </font>
    <font>
      <b/>
      <sz val="8"/>
      <color rgb="FF374151"/>
      <name val="Calibri"/>
      <family val="2"/>
    </font>
    <font>
      <b/>
      <i/>
      <sz val="9"/>
      <color rgb="FF9CA3AF"/>
      <name val="Calibri"/>
      <family val="2"/>
    </font>
    <font>
      <i/>
      <sz val="9"/>
      <color rgb="FF9CA3AF"/>
      <name val="Calibri"/>
      <family val="2"/>
    </font>
    <font>
      <b/>
      <sz val="8"/>
      <color rgb="FF1F2D3D"/>
      <name val="Calibri"/>
      <family val="2"/>
    </font>
    <font>
      <sz val="8"/>
      <color rgb="FF1F2D3D"/>
      <name val="Calibri"/>
      <family val="2"/>
    </font>
    <font>
      <i/>
      <sz val="8"/>
      <color rgb="FF9CA3AF"/>
      <name val="Calibri"/>
      <family val="2"/>
    </font>
    <font>
      <b/>
      <i/>
      <sz val="8"/>
      <color rgb="FF9CA3AF"/>
      <name val="Calibri"/>
      <family val="2"/>
    </font>
    <font>
      <b/>
      <sz val="9"/>
      <color rgb="FF166534"/>
      <name val="Calibri"/>
      <family val="2"/>
    </font>
    <font>
      <b/>
      <sz val="9"/>
      <color rgb="FF991B1B"/>
      <name val="Calibri"/>
      <family val="2"/>
    </font>
    <font>
      <i/>
      <sz val="8"/>
      <color rgb="FF6B7280"/>
      <name val="Calibri"/>
      <family val="2"/>
    </font>
    <font>
      <sz val="9"/>
      <color rgb="FF92400E"/>
      <name val="Calibri"/>
      <family val="2"/>
    </font>
    <font>
      <sz val="9"/>
      <color rgb="FF991B1B"/>
      <name val="Calibri"/>
      <family val="2"/>
    </font>
    <font>
      <sz val="9"/>
      <color rgb="FF166534"/>
      <name val="Calibri"/>
      <family val="2"/>
    </font>
    <font>
      <b/>
      <sz val="8"/>
      <color rgb="FFD1D5DB"/>
      <name val="Calibri"/>
      <family val="2"/>
    </font>
    <font>
      <b/>
      <sz val="10"/>
      <color rgb="FF166534"/>
      <name val="Calibri"/>
      <family val="2"/>
    </font>
    <font>
      <sz val="9"/>
      <color rgb="FF1F2D3D"/>
      <name val="Calibri"/>
      <family val="2"/>
    </font>
    <font>
      <b/>
      <sz val="9"/>
      <color rgb="FF1F2D3D"/>
      <name val="Calibri"/>
      <family val="2"/>
    </font>
    <font>
      <i/>
      <sz val="9"/>
      <color rgb="FF1F2D3D"/>
      <name val="Calibri"/>
      <family val="2"/>
    </font>
    <font>
      <i/>
      <sz val="10"/>
      <color rgb="FF595959"/>
      <name val="Calibri"/>
      <family val="2"/>
    </font>
    <font>
      <b/>
      <sz val="9"/>
      <color rgb="FFD1D5DB"/>
      <name val="Calibri"/>
      <family val="2"/>
    </font>
    <font>
      <b/>
      <sz val="9"/>
      <color rgb="FFF9FAFB"/>
      <name val="Calibri"/>
      <family val="2"/>
    </font>
    <font>
      <sz val="9"/>
      <color rgb="FF374151"/>
      <name val="Calibri"/>
      <family val="2"/>
    </font>
    <font>
      <b/>
      <i/>
      <sz val="8"/>
      <color rgb="FFFFFFFF"/>
      <name val="Calibri"/>
      <family val="2"/>
    </font>
    <font>
      <b/>
      <sz val="9"/>
      <color rgb="FF1A4971"/>
      <name val="Calibri"/>
      <family val="2"/>
    </font>
    <font>
      <b/>
      <i/>
      <sz val="9"/>
      <color rgb="FF1A4971"/>
      <name val="Calibri"/>
      <family val="2"/>
    </font>
    <font>
      <i/>
      <sz val="9"/>
      <color rgb="FF374151"/>
      <name val="Calibri"/>
      <family val="2"/>
    </font>
    <font>
      <b/>
      <i/>
      <sz val="9"/>
      <color rgb="FFF3F4F6"/>
      <name val="Calibri"/>
      <family val="2"/>
    </font>
    <font>
      <b/>
      <i/>
      <sz val="8"/>
      <color rgb="FFF3F4F6"/>
      <name val="Calibri"/>
      <family val="2"/>
    </font>
    <font>
      <b/>
      <sz val="10"/>
      <color rgb="FF1F2D3D"/>
      <name val="Calibri"/>
      <family val="2"/>
    </font>
    <font>
      <b/>
      <sz val="10"/>
      <color rgb="FF374151"/>
      <name val="Calibri"/>
      <family val="2"/>
    </font>
    <font>
      <b/>
      <sz val="11"/>
      <color rgb="FF166534"/>
      <name val="Calibri"/>
      <family val="2"/>
    </font>
    <font>
      <b/>
      <sz val="10"/>
      <color rgb="FF92400E"/>
      <name val="Calibri"/>
      <family val="2"/>
    </font>
    <font>
      <b/>
      <sz val="10"/>
      <color rgb="FF991B1B"/>
      <name val="Calibri"/>
      <family val="2"/>
    </font>
    <font>
      <sz val="9"/>
      <color rgb="FF1D4ED8"/>
      <name val="Calibri"/>
      <family val="2"/>
    </font>
    <font>
      <i/>
      <sz val="9"/>
      <color rgb="FF1D4ED8"/>
      <name val="Calibri"/>
      <family val="2"/>
    </font>
  </fonts>
  <fills count="65">
    <fill>
      <patternFill patternType="none"/>
    </fill>
    <fill>
      <patternFill patternType="gray125"/>
    </fill>
    <fill>
      <patternFill patternType="solid">
        <fgColor rgb="FF1F3864"/>
        <bgColor rgb="FF164E7C"/>
      </patternFill>
    </fill>
    <fill>
      <patternFill patternType="solid">
        <fgColor rgb="FF2777C5"/>
        <bgColor rgb="FF4776C5"/>
      </patternFill>
    </fill>
    <fill>
      <patternFill patternType="solid">
        <fgColor rgb="FFD9E1F2"/>
        <bgColor rgb="FFD8DCF1"/>
      </patternFill>
    </fill>
    <fill>
      <patternFill patternType="solid">
        <fgColor rgb="FFFFFFFF"/>
        <bgColor rgb="FFF6F8FD"/>
      </patternFill>
    </fill>
    <fill>
      <patternFill patternType="darkGray">
        <fgColor rgb="FFF6F8FD"/>
        <bgColor rgb="FFF2F5FB"/>
      </patternFill>
    </fill>
    <fill>
      <patternFill patternType="solid">
        <fgColor rgb="FFF2F5FB"/>
        <bgColor rgb="FFEEF5FF"/>
      </patternFill>
    </fill>
    <fill>
      <patternFill patternType="solid">
        <fgColor rgb="FF2B5D20"/>
        <bgColor rgb="FF006000"/>
      </patternFill>
    </fill>
    <fill>
      <patternFill patternType="solid">
        <fgColor rgb="FF622E8F"/>
        <bgColor rgb="FF4D5864"/>
      </patternFill>
    </fill>
    <fill>
      <patternFill patternType="solid">
        <fgColor rgb="FF4D5864"/>
        <bgColor rgb="FF2B5D20"/>
      </patternFill>
    </fill>
    <fill>
      <patternFill patternType="darkGray">
        <fgColor rgb="FF87040B"/>
        <bgColor rgb="FF622E8F"/>
      </patternFill>
    </fill>
    <fill>
      <patternFill patternType="solid">
        <fgColor rgb="FFF6F8FD"/>
        <bgColor rgb="FFF2F5FB"/>
      </patternFill>
    </fill>
    <fill>
      <patternFill patternType="solid">
        <fgColor rgb="FF164E7C"/>
        <bgColor rgb="FF0F5463"/>
      </patternFill>
    </fill>
    <fill>
      <patternFill patternType="solid">
        <fgColor rgb="FFEAF0F9"/>
        <bgColor rgb="FFE8EEF8"/>
      </patternFill>
    </fill>
    <fill>
      <patternFill patternType="solid">
        <fgColor rgb="FF0F5463"/>
        <bgColor rgb="FF164E7C"/>
      </patternFill>
    </fill>
    <fill>
      <patternFill patternType="mediumGray">
        <fgColor rgb="FF4D5864"/>
        <bgColor rgb="FF6D5611"/>
      </patternFill>
    </fill>
    <fill>
      <patternFill patternType="solid">
        <fgColor rgb="FFFFF2CC"/>
        <bgColor rgb="FFFDEAD6"/>
      </patternFill>
    </fill>
    <fill>
      <patternFill patternType="solid">
        <fgColor rgb="FF2777C5"/>
        <bgColor indexed="64"/>
      </patternFill>
    </fill>
    <fill>
      <patternFill patternType="solid">
        <fgColor rgb="FFFFFFFF"/>
        <bgColor indexed="64"/>
      </patternFill>
    </fill>
    <fill>
      <patternFill patternType="solid">
        <fgColor rgb="FFD9E1F2"/>
        <bgColor indexed="64"/>
      </patternFill>
    </fill>
    <fill>
      <patternFill patternType="solid">
        <fgColor rgb="FFEEF3FB"/>
        <bgColor indexed="64"/>
      </patternFill>
    </fill>
    <fill>
      <patternFill patternType="solid">
        <fgColor rgb="FFF2F5FB"/>
        <bgColor indexed="64"/>
      </patternFill>
    </fill>
    <fill>
      <patternFill patternType="solid">
        <fgColor rgb="FF1F3864"/>
        <bgColor indexed="64"/>
      </patternFill>
    </fill>
    <fill>
      <patternFill patternType="solid">
        <fgColor rgb="FFF7F9FC"/>
        <bgColor indexed="64"/>
      </patternFill>
    </fill>
    <fill>
      <patternFill patternType="solid">
        <fgColor theme="0"/>
        <bgColor rgb="FFEFF2FA"/>
      </patternFill>
    </fill>
    <fill>
      <patternFill patternType="solid">
        <fgColor theme="0"/>
        <bgColor indexed="64"/>
      </patternFill>
    </fill>
    <fill>
      <patternFill patternType="solid">
        <fgColor rgb="FF164E7C"/>
        <bgColor indexed="64"/>
      </patternFill>
    </fill>
    <fill>
      <patternFill patternType="solid">
        <fgColor rgb="FFEAF0F9"/>
        <bgColor indexed="64"/>
      </patternFill>
    </fill>
    <fill>
      <patternFill patternType="solid">
        <fgColor rgb="FF4D5864"/>
        <bgColor indexed="64"/>
      </patternFill>
    </fill>
    <fill>
      <patternFill patternType="solid">
        <fgColor rgb="FFEAF4EA"/>
        <bgColor indexed="64"/>
      </patternFill>
    </fill>
    <fill>
      <patternFill patternType="solid">
        <fgColor rgb="FFFFF2CC"/>
        <bgColor indexed="64"/>
      </patternFill>
    </fill>
    <fill>
      <patternFill patternType="solid">
        <fgColor rgb="FF1F2D3D"/>
        <bgColor indexed="64"/>
      </patternFill>
    </fill>
    <fill>
      <patternFill patternType="solid">
        <fgColor rgb="FFEEF2F7"/>
        <bgColor indexed="64"/>
      </patternFill>
    </fill>
    <fill>
      <patternFill patternType="solid">
        <fgColor rgb="FFEDF5ED"/>
        <bgColor indexed="64"/>
      </patternFill>
    </fill>
    <fill>
      <patternFill patternType="solid">
        <fgColor rgb="FFFFF8EE"/>
        <bgColor indexed="64"/>
      </patternFill>
    </fill>
    <fill>
      <patternFill patternType="solid">
        <fgColor rgb="FFF5F0FA"/>
        <bgColor indexed="64"/>
      </patternFill>
    </fill>
    <fill>
      <patternFill patternType="solid">
        <fgColor rgb="FFF9FAFB"/>
        <bgColor indexed="64"/>
      </patternFill>
    </fill>
    <fill>
      <patternFill patternType="solid">
        <fgColor rgb="FF1C3E6E"/>
        <bgColor indexed="64"/>
      </patternFill>
    </fill>
    <fill>
      <patternFill patternType="solid">
        <fgColor rgb="FF1A5276"/>
        <bgColor indexed="64"/>
      </patternFill>
    </fill>
    <fill>
      <patternFill patternType="solid">
        <fgColor rgb="FF145A32"/>
        <bgColor indexed="64"/>
      </patternFill>
    </fill>
    <fill>
      <patternFill patternType="solid">
        <fgColor rgb="FF374151"/>
        <bgColor indexed="64"/>
      </patternFill>
    </fill>
    <fill>
      <patternFill patternType="solid">
        <fgColor rgb="FFFFFBEB"/>
        <bgColor indexed="64"/>
      </patternFill>
    </fill>
    <fill>
      <patternFill patternType="solid">
        <fgColor rgb="FFFFFDE7"/>
        <bgColor indexed="64"/>
      </patternFill>
    </fill>
    <fill>
      <patternFill patternType="solid">
        <fgColor rgb="FF6B7280"/>
        <bgColor indexed="64"/>
      </patternFill>
    </fill>
    <fill>
      <patternFill patternType="solid">
        <fgColor rgb="FF4A235A"/>
        <bgColor indexed="64"/>
      </patternFill>
    </fill>
    <fill>
      <patternFill patternType="solid">
        <fgColor rgb="FFFFF3E0"/>
        <bgColor indexed="64"/>
      </patternFill>
    </fill>
    <fill>
      <patternFill patternType="solid">
        <fgColor rgb="FFB45309"/>
        <bgColor indexed="64"/>
      </patternFill>
    </fill>
    <fill>
      <patternFill patternType="solid">
        <fgColor rgb="FF991B1B"/>
        <bgColor indexed="64"/>
      </patternFill>
    </fill>
    <fill>
      <patternFill patternType="solid">
        <fgColor rgb="FFDCFCE7"/>
        <bgColor indexed="64"/>
      </patternFill>
    </fill>
    <fill>
      <patternFill patternType="solid">
        <fgColor rgb="FFF3F4F6"/>
        <bgColor indexed="64"/>
      </patternFill>
    </fill>
    <fill>
      <patternFill patternType="solid">
        <fgColor rgb="FF4B5563"/>
        <bgColor indexed="64"/>
      </patternFill>
    </fill>
    <fill>
      <patternFill patternType="solid">
        <fgColor rgb="FFFEF3C7"/>
        <bgColor indexed="64"/>
      </patternFill>
    </fill>
    <fill>
      <patternFill patternType="solid">
        <fgColor rgb="FF243F60"/>
        <bgColor indexed="64"/>
      </patternFill>
    </fill>
    <fill>
      <patternFill patternType="solid">
        <fgColor rgb="FF3D5A7A"/>
        <bgColor indexed="64"/>
      </patternFill>
    </fill>
    <fill>
      <patternFill patternType="solid">
        <fgColor rgb="FF1A4971"/>
        <bgColor indexed="64"/>
      </patternFill>
    </fill>
    <fill>
      <patternFill patternType="solid">
        <fgColor rgb="FF2E6596"/>
        <bgColor indexed="64"/>
      </patternFill>
    </fill>
    <fill>
      <patternFill patternType="solid">
        <fgColor rgb="FF1F5C8A"/>
        <bgColor indexed="64"/>
      </patternFill>
    </fill>
    <fill>
      <patternFill patternType="solid">
        <fgColor rgb="FF27527E"/>
        <bgColor indexed="64"/>
      </patternFill>
    </fill>
    <fill>
      <patternFill patternType="solid">
        <fgColor rgb="FF35607F"/>
        <bgColor indexed="64"/>
      </patternFill>
    </fill>
    <fill>
      <patternFill patternType="solid">
        <fgColor rgb="FFE6EBF5"/>
        <bgColor indexed="64"/>
      </patternFill>
    </fill>
    <fill>
      <patternFill patternType="solid">
        <fgColor rgb="FFE3F0E3"/>
        <bgColor indexed="64"/>
      </patternFill>
    </fill>
    <fill>
      <patternFill patternType="solid">
        <fgColor rgb="FFFFE8CC"/>
        <bgColor indexed="64"/>
      </patternFill>
    </fill>
    <fill>
      <patternFill patternType="solid">
        <fgColor rgb="FFEDE5F5"/>
        <bgColor indexed="64"/>
      </patternFill>
    </fill>
    <fill>
      <patternFill patternType="solid">
        <fgColor rgb="FF166534"/>
        <bgColor indexed="64"/>
      </patternFill>
    </fill>
  </fills>
  <borders count="289">
    <border>
      <left/>
      <right/>
      <top/>
      <bottom/>
      <diagonal/>
    </border>
    <border>
      <left style="thin">
        <color rgb="FFC8D4E8"/>
      </left>
      <right style="thin">
        <color rgb="FFC8D4E8"/>
      </right>
      <top style="thin">
        <color rgb="FFC8D4E8"/>
      </top>
      <bottom style="thin">
        <color rgb="FFC8D4E8"/>
      </bottom>
      <diagonal/>
    </border>
    <border>
      <left style="thin">
        <color rgb="FFC8D4E8"/>
      </left>
      <right style="medium">
        <color rgb="FF1F3864"/>
      </right>
      <top style="thin">
        <color rgb="FFC8D4E8"/>
      </top>
      <bottom style="thin">
        <color rgb="FFC8D4E8"/>
      </bottom>
      <diagonal/>
    </border>
    <border>
      <left style="thin">
        <color rgb="FFC8D4E8"/>
      </left>
      <right style="thin">
        <color rgb="FFC8D4E8"/>
      </right>
      <top style="thin">
        <color rgb="FFC8D4E8"/>
      </top>
      <bottom style="medium">
        <color rgb="FF1F3864"/>
      </bottom>
      <diagonal/>
    </border>
    <border>
      <left style="thin">
        <color rgb="FFC8D4E8"/>
      </left>
      <right style="medium">
        <color rgb="FF1F3864"/>
      </right>
      <top style="thin">
        <color rgb="FFC8D4E8"/>
      </top>
      <bottom style="medium">
        <color rgb="FF1F3864"/>
      </bottom>
      <diagonal/>
    </border>
    <border>
      <left/>
      <right style="thin">
        <color rgb="FFC8D4E8"/>
      </right>
      <top style="thin">
        <color rgb="FFC8D4E8"/>
      </top>
      <bottom style="medium">
        <color rgb="FF1F3864"/>
      </bottom>
      <diagonal/>
    </border>
    <border>
      <left style="thin">
        <color rgb="FFC0CBDF"/>
      </left>
      <right style="thin">
        <color rgb="FFC0CBDF"/>
      </right>
      <top style="thin">
        <color rgb="FFC0CBDF"/>
      </top>
      <bottom style="thin">
        <color rgb="FFC0CBDF"/>
      </bottom>
      <diagonal/>
    </border>
    <border>
      <left style="thin">
        <color rgb="FF1F3864"/>
      </left>
      <right/>
      <top/>
      <bottom/>
      <diagonal/>
    </border>
    <border>
      <left/>
      <right style="thin">
        <color rgb="FF1F3864"/>
      </right>
      <top/>
      <bottom/>
      <diagonal/>
    </border>
    <border>
      <left/>
      <right/>
      <top style="thin">
        <color rgb="FFC8D4E8"/>
      </top>
      <bottom/>
      <diagonal/>
    </border>
    <border>
      <left/>
      <right style="medium">
        <color rgb="FF4776C5"/>
      </right>
      <top style="thin">
        <color rgb="FFC8D4E8"/>
      </top>
      <bottom/>
      <diagonal/>
    </border>
    <border>
      <left/>
      <right/>
      <top style="thin">
        <color rgb="FF1F3864"/>
      </top>
      <bottom/>
      <diagonal/>
    </border>
    <border>
      <left/>
      <right style="medium">
        <color rgb="FF4776C5"/>
      </right>
      <top style="thin">
        <color rgb="FF1F3864"/>
      </top>
      <bottom/>
      <diagonal/>
    </border>
    <border>
      <left style="medium">
        <color rgb="FF4776C5"/>
      </left>
      <right/>
      <top/>
      <bottom/>
      <diagonal/>
    </border>
    <border>
      <left/>
      <right style="medium">
        <color rgb="FF4776C5"/>
      </right>
      <top/>
      <bottom/>
      <diagonal/>
    </border>
    <border>
      <left/>
      <right/>
      <top style="thin">
        <color rgb="FF4776C5"/>
      </top>
      <bottom/>
      <diagonal/>
    </border>
    <border>
      <left style="thin">
        <color rgb="FF1F3864"/>
      </left>
      <right/>
      <top style="thin">
        <color rgb="FF1F3864"/>
      </top>
      <bottom/>
      <diagonal/>
    </border>
    <border>
      <left style="thin">
        <color rgb="FF0384E8"/>
      </left>
      <right/>
      <top style="thin">
        <color rgb="FF0384E8"/>
      </top>
      <bottom/>
      <diagonal/>
    </border>
    <border>
      <left style="thin">
        <color rgb="FF006000"/>
      </left>
      <right/>
      <top style="thin">
        <color rgb="FF006000"/>
      </top>
      <bottom/>
      <diagonal/>
    </border>
    <border>
      <left style="thin">
        <color rgb="FF87040B"/>
      </left>
      <right style="thin">
        <color rgb="FF87040B"/>
      </right>
      <top style="thin">
        <color rgb="FF87040B"/>
      </top>
      <bottom/>
      <diagonal/>
    </border>
    <border>
      <left style="thin">
        <color rgb="FF0384E8"/>
      </left>
      <right/>
      <top/>
      <bottom/>
      <diagonal/>
    </border>
    <border>
      <left style="thin">
        <color rgb="FF006000"/>
      </left>
      <right/>
      <top/>
      <bottom/>
      <diagonal/>
    </border>
    <border>
      <left style="thin">
        <color rgb="FF87040B"/>
      </left>
      <right style="thin">
        <color rgb="FF87040B"/>
      </right>
      <top/>
      <bottom/>
      <diagonal/>
    </border>
    <border>
      <left style="thin">
        <color rgb="FF4D5864"/>
      </left>
      <right/>
      <top/>
      <bottom/>
      <diagonal/>
    </border>
    <border>
      <left style="thin">
        <color rgb="FF4D5864"/>
      </left>
      <right style="thin">
        <color rgb="FF4D5864"/>
      </right>
      <top/>
      <bottom/>
      <diagonal/>
    </border>
    <border>
      <left/>
      <right/>
      <top/>
      <bottom style="medium">
        <color rgb="FF1F3864"/>
      </bottom>
      <diagonal/>
    </border>
    <border>
      <left/>
      <right style="medium">
        <color rgb="FF1F3864"/>
      </right>
      <top style="medium">
        <color rgb="FF1F3864"/>
      </top>
      <bottom style="thin">
        <color rgb="FFC0CBDF"/>
      </bottom>
      <diagonal/>
    </border>
    <border>
      <left/>
      <right/>
      <top style="thin">
        <color rgb="FFC0CBDF"/>
      </top>
      <bottom style="thin">
        <color rgb="FFC0CBDF"/>
      </bottom>
      <diagonal/>
    </border>
    <border>
      <left/>
      <right style="medium">
        <color rgb="FF1F3864"/>
      </right>
      <top style="thin">
        <color rgb="FFC0CBDF"/>
      </top>
      <bottom style="thin">
        <color rgb="FFC0CBDF"/>
      </bottom>
      <diagonal/>
    </border>
    <border>
      <left/>
      <right style="medium">
        <color rgb="FF1F3864"/>
      </right>
      <top style="thin">
        <color rgb="FFC0CBDF"/>
      </top>
      <bottom style="medium">
        <color rgb="FF1F3864"/>
      </bottom>
      <diagonal/>
    </border>
    <border>
      <left/>
      <right/>
      <top/>
      <bottom style="thin">
        <color rgb="FF4D5864"/>
      </bottom>
      <diagonal/>
    </border>
    <border>
      <left/>
      <right style="thin">
        <color rgb="FFC8D4E8"/>
      </right>
      <top style="thin">
        <color rgb="FF4776C5"/>
      </top>
      <bottom/>
      <diagonal/>
    </border>
    <border>
      <left style="thin">
        <color rgb="FFC8D4E8"/>
      </left>
      <right style="thin">
        <color rgb="FFC8D4E8"/>
      </right>
      <top style="thin">
        <color rgb="FF4776C5"/>
      </top>
      <bottom/>
      <diagonal/>
    </border>
    <border>
      <left style="thin">
        <color rgb="FFC8D4E8"/>
      </left>
      <right style="thin">
        <color rgb="FFC8D4E8"/>
      </right>
      <top/>
      <bottom/>
      <diagonal/>
    </border>
    <border>
      <left style="thin">
        <color rgb="FFC8D4E8"/>
      </left>
      <right style="medium">
        <color rgb="FF1F3864"/>
      </right>
      <top/>
      <bottom/>
      <diagonal/>
    </border>
    <border>
      <left/>
      <right/>
      <top style="medium">
        <color rgb="FF1F3864"/>
      </top>
      <bottom/>
      <diagonal/>
    </border>
    <border>
      <left/>
      <right/>
      <top style="medium">
        <color rgb="FF4776C5"/>
      </top>
      <bottom/>
      <diagonal/>
    </border>
    <border>
      <left/>
      <right style="thin">
        <color rgb="FFC8D4E8"/>
      </right>
      <top style="thin">
        <color rgb="FFC8D4E8"/>
      </top>
      <bottom style="thin">
        <color rgb="FFC8D4E8"/>
      </bottom>
      <diagonal/>
    </border>
    <border>
      <left/>
      <right style="medium">
        <color rgb="FF1F3864"/>
      </right>
      <top/>
      <bottom/>
      <diagonal/>
    </border>
    <border>
      <left style="thin">
        <color rgb="FFC1E5C2"/>
      </left>
      <right style="thin">
        <color rgb="FFC1E5C2"/>
      </right>
      <top style="thin">
        <color rgb="FFC1E5C2"/>
      </top>
      <bottom style="thin">
        <color rgb="FFC1E5C2"/>
      </bottom>
      <diagonal/>
    </border>
    <border>
      <left/>
      <right style="medium">
        <color rgb="FF1F3864"/>
      </right>
      <top style="medium">
        <color rgb="FF1F3864"/>
      </top>
      <bottom style="thin">
        <color rgb="FFC8D4E8"/>
      </bottom>
      <diagonal/>
    </border>
    <border>
      <left/>
      <right style="medium">
        <color rgb="FF1F3864"/>
      </right>
      <top style="thin">
        <color rgb="FFC8D4E8"/>
      </top>
      <bottom style="thin">
        <color rgb="FFC8D4E8"/>
      </bottom>
      <diagonal/>
    </border>
    <border>
      <left/>
      <right/>
      <top style="thin">
        <color rgb="FF1F3864"/>
      </top>
      <bottom style="thin">
        <color rgb="FF1F3864"/>
      </bottom>
      <diagonal/>
    </border>
    <border>
      <left style="thin">
        <color rgb="FFC0CBDF"/>
      </left>
      <right style="thin">
        <color rgb="FFC0CBDF"/>
      </right>
      <top style="thin">
        <color rgb="FFC0CBDF"/>
      </top>
      <bottom/>
      <diagonal/>
    </border>
    <border>
      <left style="thin">
        <color rgb="FFC0CBDF"/>
      </left>
      <right style="thin">
        <color rgb="FFC0CBDF"/>
      </right>
      <top/>
      <bottom style="thin">
        <color rgb="FFC0CBDF"/>
      </bottom>
      <diagonal/>
    </border>
    <border>
      <left style="medium">
        <color rgb="FF4D5864"/>
      </left>
      <right style="thin">
        <color rgb="FFC0CBDF"/>
      </right>
      <top style="thin">
        <color rgb="FFC0CBDF"/>
      </top>
      <bottom style="thin">
        <color rgb="FFC0CBDF"/>
      </bottom>
      <diagonal/>
    </border>
    <border>
      <left style="medium">
        <color rgb="FF4D5864"/>
      </left>
      <right style="thin">
        <color rgb="FFC0CBDF"/>
      </right>
      <top style="thin">
        <color rgb="FFC0CBDF"/>
      </top>
      <bottom style="medium">
        <color rgb="FF4D5864"/>
      </bottom>
      <diagonal/>
    </border>
    <border>
      <left style="thin">
        <color rgb="FFC0CBDF"/>
      </left>
      <right style="thin">
        <color rgb="FFC0CBDF"/>
      </right>
      <top style="thin">
        <color rgb="FFC0CBDF"/>
      </top>
      <bottom style="medium">
        <color rgb="FF4D5864"/>
      </bottom>
      <diagonal/>
    </border>
    <border>
      <left/>
      <right/>
      <top/>
      <bottom style="thin">
        <color rgb="FF1F3864"/>
      </bottom>
      <diagonal/>
    </border>
    <border>
      <left style="thin">
        <color rgb="FF1F3864"/>
      </left>
      <right/>
      <top style="thin">
        <color rgb="FF1F3864"/>
      </top>
      <bottom style="thin">
        <color rgb="FF1F3864"/>
      </bottom>
      <diagonal/>
    </border>
    <border>
      <left/>
      <right style="thin">
        <color rgb="FF1F3864"/>
      </right>
      <top style="thin">
        <color rgb="FF1F3864"/>
      </top>
      <bottom/>
      <diagonal/>
    </border>
    <border>
      <left style="thin">
        <color rgb="FF1F3864"/>
      </left>
      <right/>
      <top style="thin">
        <color rgb="FF1F3864"/>
      </top>
      <bottom style="thin">
        <color rgb="FFC8D4E8"/>
      </bottom>
      <diagonal/>
    </border>
    <border>
      <left/>
      <right/>
      <top style="thin">
        <color rgb="FF1F3864"/>
      </top>
      <bottom style="thin">
        <color rgb="FFC8D4E8"/>
      </bottom>
      <diagonal/>
    </border>
    <border>
      <left/>
      <right style="thin">
        <color rgb="FF1F3864"/>
      </right>
      <top style="thin">
        <color rgb="FF1F3864"/>
      </top>
      <bottom style="thin">
        <color rgb="FFC8D4E8"/>
      </bottom>
      <diagonal/>
    </border>
    <border>
      <left style="thin">
        <color rgb="FF1F3864"/>
      </left>
      <right/>
      <top style="thin">
        <color rgb="FFC8D4E8"/>
      </top>
      <bottom style="thin">
        <color rgb="FFC8D4E8"/>
      </bottom>
      <diagonal/>
    </border>
    <border>
      <left/>
      <right/>
      <top style="thin">
        <color rgb="FFC8D4E8"/>
      </top>
      <bottom style="thin">
        <color rgb="FFC8D4E8"/>
      </bottom>
      <diagonal/>
    </border>
    <border>
      <left/>
      <right style="thin">
        <color rgb="FF1F3864"/>
      </right>
      <top style="thin">
        <color rgb="FFC8D4E8"/>
      </top>
      <bottom style="thin">
        <color rgb="FFC8D4E8"/>
      </bottom>
      <diagonal/>
    </border>
    <border>
      <left style="thin">
        <color rgb="FF1F3864"/>
      </left>
      <right/>
      <top style="thin">
        <color rgb="FFC8D4E8"/>
      </top>
      <bottom style="thin">
        <color rgb="FF1F3864"/>
      </bottom>
      <diagonal/>
    </border>
    <border>
      <left/>
      <right/>
      <top style="thin">
        <color rgb="FFC8D4E8"/>
      </top>
      <bottom style="thin">
        <color rgb="FF1F3864"/>
      </bottom>
      <diagonal/>
    </border>
    <border>
      <left/>
      <right style="thin">
        <color rgb="FF1F3864"/>
      </right>
      <top style="thin">
        <color rgb="FFC8D4E8"/>
      </top>
      <bottom style="thin">
        <color rgb="FF1F3864"/>
      </bottom>
      <diagonal/>
    </border>
    <border>
      <left style="medium">
        <color rgb="FF1F3864"/>
      </left>
      <right/>
      <top style="thin">
        <color rgb="FF1F3864"/>
      </top>
      <bottom style="thin">
        <color rgb="FFC8D4E8"/>
      </bottom>
      <diagonal/>
    </border>
    <border>
      <left style="medium">
        <color rgb="FF1F3864"/>
      </left>
      <right/>
      <top style="thin">
        <color rgb="FFC8D4E8"/>
      </top>
      <bottom style="thin">
        <color rgb="FFC8D4E8"/>
      </bottom>
      <diagonal/>
    </border>
    <border>
      <left style="thin">
        <color rgb="FFC8D4E8"/>
      </left>
      <right style="thin">
        <color rgb="FF1F3864"/>
      </right>
      <top style="thin">
        <color rgb="FF1F3864"/>
      </top>
      <bottom/>
      <diagonal/>
    </border>
    <border>
      <left style="thin">
        <color rgb="FF1F3864"/>
      </left>
      <right style="medium">
        <color rgb="FF1F3864"/>
      </right>
      <top style="thin">
        <color rgb="FF1F3864"/>
      </top>
      <bottom/>
      <diagonal/>
    </border>
    <border>
      <left style="thin">
        <color rgb="FFC8D4E8"/>
      </left>
      <right style="thin">
        <color rgb="FF1F3864"/>
      </right>
      <top style="thin">
        <color rgb="FFC8D4E8"/>
      </top>
      <bottom/>
      <diagonal/>
    </border>
    <border>
      <left style="thin">
        <color rgb="FF1F3864"/>
      </left>
      <right style="medium">
        <color rgb="FF1F3864"/>
      </right>
      <top style="thin">
        <color rgb="FFC8D4E8"/>
      </top>
      <bottom/>
      <diagonal/>
    </border>
    <border>
      <left/>
      <right/>
      <top/>
      <bottom style="thin">
        <color rgb="FFC8D4E8"/>
      </bottom>
      <diagonal/>
    </border>
    <border>
      <left/>
      <right style="thin">
        <color rgb="FF1F3864"/>
      </right>
      <top style="thin">
        <color rgb="FFC8D4E8"/>
      </top>
      <bottom/>
      <diagonal/>
    </border>
    <border>
      <left style="thin">
        <color rgb="FF1F3864"/>
      </left>
      <right/>
      <top style="thin">
        <color rgb="FFC8D4E8"/>
      </top>
      <bottom/>
      <diagonal/>
    </border>
    <border>
      <left style="thin">
        <color rgb="FF1F3864"/>
      </left>
      <right/>
      <top/>
      <bottom style="thin">
        <color rgb="FFC8D4E8"/>
      </bottom>
      <diagonal/>
    </border>
    <border>
      <left style="thin">
        <color rgb="FFC8D4E8"/>
      </left>
      <right style="thin">
        <color rgb="FFC8D4E8"/>
      </right>
      <top style="thin">
        <color rgb="FF1F3864"/>
      </top>
      <bottom style="thin">
        <color rgb="FF1F3864"/>
      </bottom>
      <diagonal/>
    </border>
    <border>
      <left style="thin">
        <color rgb="FF1F3864"/>
      </left>
      <right style="thin">
        <color rgb="FF1F3864"/>
      </right>
      <top style="thin">
        <color rgb="FFC8D4E8"/>
      </top>
      <bottom style="thin">
        <color rgb="FF1F3864"/>
      </bottom>
      <diagonal/>
    </border>
    <border>
      <left style="medium">
        <color rgb="FF1F3864"/>
      </left>
      <right/>
      <top style="thin">
        <color rgb="FF1F3864"/>
      </top>
      <bottom style="thin">
        <color rgb="FF1F3864"/>
      </bottom>
      <diagonal/>
    </border>
    <border>
      <left style="medium">
        <color rgb="FF1F3864"/>
      </left>
      <right/>
      <top/>
      <bottom/>
      <diagonal/>
    </border>
    <border>
      <left style="medium">
        <color rgb="FF1F3864"/>
      </left>
      <right/>
      <top style="thin">
        <color rgb="FFC8D4E8"/>
      </top>
      <bottom/>
      <diagonal/>
    </border>
    <border>
      <left style="thin">
        <color rgb="FFC8D4E8"/>
      </left>
      <right/>
      <top style="thin">
        <color rgb="FFC8D4E8"/>
      </top>
      <bottom style="thin">
        <color rgb="FF1F3864"/>
      </bottom>
      <diagonal/>
    </border>
    <border>
      <left style="medium">
        <color rgb="FF4776C5"/>
      </left>
      <right style="medium">
        <color rgb="FF4776C5"/>
      </right>
      <top style="medium">
        <color rgb="FF1F3864"/>
      </top>
      <bottom/>
      <diagonal/>
    </border>
    <border>
      <left style="medium">
        <color rgb="FF1F3864"/>
      </left>
      <right style="medium">
        <color rgb="FF4776C5"/>
      </right>
      <top style="medium">
        <color rgb="FF1F3864"/>
      </top>
      <bottom/>
      <diagonal/>
    </border>
    <border>
      <left style="medium">
        <color rgb="FF1F3864"/>
      </left>
      <right/>
      <top style="medium">
        <color rgb="FF4776C5"/>
      </top>
      <bottom style="thin">
        <color rgb="FF4776C5"/>
      </bottom>
      <diagonal/>
    </border>
    <border>
      <left style="medium">
        <color rgb="FF1F3864"/>
      </left>
      <right style="medium">
        <color rgb="FF4776C5"/>
      </right>
      <top/>
      <bottom/>
      <diagonal/>
    </border>
    <border>
      <left style="medium">
        <color rgb="FF1F3864"/>
      </left>
      <right style="medium">
        <color rgb="FF4776C5"/>
      </right>
      <top style="thin">
        <color rgb="FF1F3864"/>
      </top>
      <bottom/>
      <diagonal/>
    </border>
    <border>
      <left style="medium">
        <color rgb="FF1F3864"/>
      </left>
      <right style="thin">
        <color rgb="FF4776C5"/>
      </right>
      <top style="thin">
        <color rgb="FF1F3864"/>
      </top>
      <bottom/>
      <diagonal/>
    </border>
    <border>
      <left style="medium">
        <color rgb="FF1F3864"/>
      </left>
      <right style="medium">
        <color rgb="FF4776C5"/>
      </right>
      <top style="thin">
        <color rgb="FFC8D4E8"/>
      </top>
      <bottom/>
      <diagonal/>
    </border>
    <border>
      <left style="medium">
        <color rgb="FF1F3864"/>
      </left>
      <right style="thin">
        <color rgb="FF4776C5"/>
      </right>
      <top style="thin">
        <color rgb="FFC8D4E8"/>
      </top>
      <bottom/>
      <diagonal/>
    </border>
    <border>
      <left style="medium">
        <color rgb="FF1F3864"/>
      </left>
      <right style="medium">
        <color rgb="FF4776C5"/>
      </right>
      <top style="thin">
        <color rgb="FFC8D4E8"/>
      </top>
      <bottom style="thin">
        <color rgb="FFC8D4E8"/>
      </bottom>
      <diagonal/>
    </border>
    <border>
      <left style="medium">
        <color rgb="FF1F3864"/>
      </left>
      <right style="thin">
        <color rgb="FF4776C5"/>
      </right>
      <top style="thin">
        <color rgb="FFC8D4E8"/>
      </top>
      <bottom style="thin">
        <color rgb="FFC8D4E8"/>
      </bottom>
      <diagonal/>
    </border>
    <border>
      <left style="medium">
        <color rgb="FF4776C5"/>
      </left>
      <right style="thin">
        <color rgb="FF1F3864"/>
      </right>
      <top style="medium">
        <color rgb="FF1F3864"/>
      </top>
      <bottom/>
      <diagonal/>
    </border>
    <border>
      <left style="thin">
        <color rgb="FF1F3864"/>
      </left>
      <right style="thin">
        <color rgb="FF1F3864"/>
      </right>
      <top style="medium">
        <color rgb="FF4776C5"/>
      </top>
      <bottom style="thin">
        <color rgb="FF4776C5"/>
      </bottom>
      <diagonal/>
    </border>
    <border>
      <left style="medium">
        <color rgb="FF4776C5"/>
      </left>
      <right style="thin">
        <color rgb="FF1F3864"/>
      </right>
      <top style="thin">
        <color rgb="FF1F3864"/>
      </top>
      <bottom/>
      <diagonal/>
    </border>
    <border>
      <left style="thin">
        <color rgb="FF4776C5"/>
      </left>
      <right style="thin">
        <color rgb="FF1F3864"/>
      </right>
      <top style="thin">
        <color rgb="FF1F3864"/>
      </top>
      <bottom/>
      <diagonal/>
    </border>
    <border>
      <left style="medium">
        <color rgb="FF4776C5"/>
      </left>
      <right style="thin">
        <color rgb="FF1F3864"/>
      </right>
      <top style="thin">
        <color rgb="FFC8D4E8"/>
      </top>
      <bottom/>
      <diagonal/>
    </border>
    <border>
      <left style="thin">
        <color rgb="FF4776C5"/>
      </left>
      <right style="thin">
        <color rgb="FF1F3864"/>
      </right>
      <top style="thin">
        <color rgb="FFC8D4E8"/>
      </top>
      <bottom/>
      <diagonal/>
    </border>
    <border>
      <left style="medium">
        <color rgb="FF4776C5"/>
      </left>
      <right style="thin">
        <color rgb="FF1F3864"/>
      </right>
      <top style="thin">
        <color rgb="FFC8D4E8"/>
      </top>
      <bottom style="thin">
        <color rgb="FFC8D4E8"/>
      </bottom>
      <diagonal/>
    </border>
    <border>
      <left style="thin">
        <color rgb="FF4776C5"/>
      </left>
      <right style="thin">
        <color rgb="FF1F3864"/>
      </right>
      <top style="thin">
        <color rgb="FFC8D4E8"/>
      </top>
      <bottom style="thin">
        <color rgb="FFC8D4E8"/>
      </bottom>
      <diagonal/>
    </border>
    <border>
      <left style="thin">
        <color rgb="FF1F3864"/>
      </left>
      <right style="thin">
        <color rgb="FFC0CBDF"/>
      </right>
      <top style="thin">
        <color rgb="FFC0CBDF"/>
      </top>
      <bottom style="thin">
        <color rgb="FFC0CBDF"/>
      </bottom>
      <diagonal/>
    </border>
    <border>
      <left/>
      <right style="thin">
        <color rgb="FF1F3864"/>
      </right>
      <top style="thin">
        <color rgb="FFC0CBDF"/>
      </top>
      <bottom style="thin">
        <color rgb="FFC0CBDF"/>
      </bottom>
      <diagonal/>
    </border>
    <border>
      <left/>
      <right/>
      <top style="thin">
        <color rgb="FFC0CBDF"/>
      </top>
      <bottom style="thin">
        <color rgb="FF1F3864"/>
      </bottom>
      <diagonal/>
    </border>
    <border>
      <left/>
      <right style="thin">
        <color rgb="FF1F3864"/>
      </right>
      <top style="thin">
        <color rgb="FFC0CBDF"/>
      </top>
      <bottom style="thin">
        <color rgb="FF1F3864"/>
      </bottom>
      <diagonal/>
    </border>
    <border>
      <left/>
      <right/>
      <top/>
      <bottom style="thin">
        <color rgb="FFC0CBDF"/>
      </bottom>
      <diagonal/>
    </border>
    <border>
      <left/>
      <right style="thin">
        <color rgb="FF1F3864"/>
      </right>
      <top/>
      <bottom style="thin">
        <color rgb="FFC0CBDF"/>
      </bottom>
      <diagonal/>
    </border>
    <border>
      <left style="thin">
        <color rgb="FF1F3864"/>
      </left>
      <right/>
      <top style="thin">
        <color rgb="FFC0CBDF"/>
      </top>
      <bottom style="thin">
        <color rgb="FF1F3864"/>
      </bottom>
      <diagonal/>
    </border>
    <border>
      <left style="medium">
        <color rgb="FF1F3864"/>
      </left>
      <right/>
      <top style="thin">
        <color rgb="FFC0CBDF"/>
      </top>
      <bottom style="thin">
        <color rgb="FF1F3864"/>
      </bottom>
      <diagonal/>
    </border>
    <border>
      <left style="thin">
        <color rgb="FF1F3864"/>
      </left>
      <right style="thin">
        <color rgb="FF1F3864"/>
      </right>
      <top style="thin">
        <color rgb="FFC0CBDF"/>
      </top>
      <bottom/>
      <diagonal/>
    </border>
    <border>
      <left style="thin">
        <color rgb="FF1F3864"/>
      </left>
      <right/>
      <top style="thin">
        <color rgb="FFC0CBDF"/>
      </top>
      <bottom/>
      <diagonal/>
    </border>
    <border>
      <left style="thin">
        <color rgb="FFC0CBDF"/>
      </left>
      <right/>
      <top style="thin">
        <color rgb="FFC0CBDF"/>
      </top>
      <bottom/>
      <diagonal/>
    </border>
    <border>
      <left style="medium">
        <color rgb="FF1F3864"/>
      </left>
      <right/>
      <top style="thin">
        <color rgb="FFC0CBDF"/>
      </top>
      <bottom/>
      <diagonal/>
    </border>
    <border>
      <left style="thin">
        <color rgb="FF1F3864"/>
      </left>
      <right style="thin">
        <color rgb="FF1F3864"/>
      </right>
      <top style="thin">
        <color rgb="FF1F3864"/>
      </top>
      <bottom/>
      <diagonal/>
    </border>
    <border>
      <left style="thin">
        <color rgb="FF1F3864"/>
      </left>
      <right/>
      <top style="thin">
        <color rgb="FFC0CBDF"/>
      </top>
      <bottom style="thin">
        <color rgb="FFC0CBDF"/>
      </bottom>
      <diagonal/>
    </border>
    <border>
      <left style="thin">
        <color rgb="FFC0CBDF"/>
      </left>
      <right/>
      <top style="thin">
        <color rgb="FF1F3864"/>
      </top>
      <bottom/>
      <diagonal/>
    </border>
    <border>
      <left style="thin">
        <color rgb="FFC0CBDF"/>
      </left>
      <right/>
      <top style="thin">
        <color rgb="FFC0CBDF"/>
      </top>
      <bottom style="thin">
        <color rgb="FFC0CBDF"/>
      </bottom>
      <diagonal/>
    </border>
    <border>
      <left/>
      <right style="thin">
        <color rgb="FF1F3864"/>
      </right>
      <top style="thin">
        <color rgb="FFC0CBDF"/>
      </top>
      <bottom/>
      <diagonal/>
    </border>
    <border>
      <left/>
      <right/>
      <top style="thin">
        <color rgb="FFC0CBDF"/>
      </top>
      <bottom/>
      <diagonal/>
    </border>
    <border>
      <left style="thin">
        <color rgb="FFC0CBDF"/>
      </left>
      <right style="thin">
        <color rgb="FF1F3864"/>
      </right>
      <top style="thin">
        <color rgb="FFC0CBDF"/>
      </top>
      <bottom/>
      <diagonal/>
    </border>
    <border>
      <left style="thin">
        <color rgb="FFC0CBDF"/>
      </left>
      <right style="medium">
        <color rgb="FF1F3864"/>
      </right>
      <top style="thin">
        <color rgb="FFC0CBDF"/>
      </top>
      <bottom/>
      <diagonal/>
    </border>
    <border>
      <left style="thin">
        <color rgb="FF1F3864"/>
      </left>
      <right/>
      <top/>
      <bottom style="thin">
        <color rgb="FFC0CBDF"/>
      </bottom>
      <diagonal/>
    </border>
    <border>
      <left style="medium">
        <color rgb="FF1F3864"/>
      </left>
      <right style="thin">
        <color rgb="FF1F3864"/>
      </right>
      <top style="thin">
        <color rgb="FFC0CBDF"/>
      </top>
      <bottom/>
      <diagonal/>
    </border>
    <border>
      <left style="medium">
        <color rgb="FF1F3864"/>
      </left>
      <right style="thin">
        <color rgb="FF1F3864"/>
      </right>
      <top style="thin">
        <color rgb="FF1F3864"/>
      </top>
      <bottom/>
      <diagonal/>
    </border>
    <border>
      <left style="medium">
        <color rgb="FF1F3864"/>
      </left>
      <right/>
      <top style="medium">
        <color rgb="FF1F3864"/>
      </top>
      <bottom/>
      <diagonal/>
    </border>
    <border>
      <left style="thin">
        <color rgb="FF1F3864"/>
      </left>
      <right/>
      <top style="medium">
        <color rgb="FFC0CBDF"/>
      </top>
      <bottom/>
      <diagonal/>
    </border>
    <border>
      <left/>
      <right/>
      <top style="medium">
        <color rgb="FFC0CBDF"/>
      </top>
      <bottom/>
      <diagonal/>
    </border>
    <border>
      <left/>
      <right style="thin">
        <color rgb="FF1F3864"/>
      </right>
      <top style="medium">
        <color rgb="FFC0CBDF"/>
      </top>
      <bottom/>
      <diagonal/>
    </border>
    <border>
      <left/>
      <right style="medium">
        <color rgb="FF4D5864"/>
      </right>
      <top style="medium">
        <color rgb="FF4D5864"/>
      </top>
      <bottom style="thin">
        <color rgb="FFC0CBDF"/>
      </bottom>
      <diagonal/>
    </border>
    <border>
      <left/>
      <right style="medium">
        <color rgb="FF4D5864"/>
      </right>
      <top style="thin">
        <color rgb="FFC0CBDF"/>
      </top>
      <bottom style="thin">
        <color rgb="FFC0CBDF"/>
      </bottom>
      <diagonal/>
    </border>
    <border>
      <left/>
      <right style="medium">
        <color rgb="FF4D5864"/>
      </right>
      <top style="thin">
        <color rgb="FFC0CBDF"/>
      </top>
      <bottom style="medium">
        <color rgb="FF4D5864"/>
      </bottom>
      <diagonal/>
    </border>
    <border>
      <left style="thin">
        <color rgb="FFC0CBDF"/>
      </left>
      <right style="thin">
        <color rgb="FF4D5864"/>
      </right>
      <top style="thin">
        <color rgb="FFC0CBDF"/>
      </top>
      <bottom style="thin">
        <color rgb="FFC0CBDF"/>
      </bottom>
      <diagonal/>
    </border>
    <border>
      <left style="thin">
        <color rgb="FFC0CBDF"/>
      </left>
      <right style="thin">
        <color rgb="FF4D5864"/>
      </right>
      <top style="thin">
        <color rgb="FFC0CBDF"/>
      </top>
      <bottom style="medium">
        <color rgb="FF4D5864"/>
      </bottom>
      <diagonal/>
    </border>
    <border>
      <left/>
      <right/>
      <top style="thin">
        <color rgb="FF4D5864"/>
      </top>
      <bottom/>
      <diagonal/>
    </border>
    <border>
      <left style="thin">
        <color rgb="FF1F3864"/>
      </left>
      <right style="thin">
        <color rgb="FFC0CBDF"/>
      </right>
      <top style="thin">
        <color rgb="FFC0CBDF"/>
      </top>
      <bottom/>
      <diagonal/>
    </border>
    <border>
      <left style="thin">
        <color rgb="FF1F3864"/>
      </left>
      <right/>
      <top/>
      <bottom style="medium">
        <color rgb="FF1F3864"/>
      </bottom>
      <diagonal/>
    </border>
    <border>
      <left/>
      <right style="thin">
        <color rgb="FF1F3864"/>
      </right>
      <top/>
      <bottom style="medium">
        <color rgb="FF1F3864"/>
      </bottom>
      <diagonal/>
    </border>
    <border>
      <left style="medium">
        <color rgb="FF4D5864"/>
      </left>
      <right style="thin">
        <color rgb="FFC0CBDF"/>
      </right>
      <top/>
      <bottom style="thin">
        <color rgb="FFC0CBDF"/>
      </bottom>
      <diagonal/>
    </border>
    <border>
      <left style="thin">
        <color rgb="FFC0CBDF"/>
      </left>
      <right style="thin">
        <color rgb="FF4D5864"/>
      </right>
      <top/>
      <bottom style="thin">
        <color rgb="FFC0CBDF"/>
      </bottom>
      <diagonal/>
    </border>
    <border>
      <left/>
      <right/>
      <top style="thin">
        <color rgb="FF1F3864"/>
      </top>
      <bottom style="medium">
        <color rgb="FF4D5864"/>
      </bottom>
      <diagonal/>
    </border>
    <border>
      <left/>
      <right style="thin">
        <color rgb="FFC8D4E8"/>
      </right>
      <top/>
      <bottom/>
      <diagonal/>
    </border>
    <border>
      <left style="medium">
        <color rgb="FF1F3864"/>
      </left>
      <right/>
      <top style="medium">
        <color rgb="FF1F3864"/>
      </top>
      <bottom style="thin">
        <color rgb="FF1F3864"/>
      </bottom>
      <diagonal/>
    </border>
    <border>
      <left/>
      <right/>
      <top style="medium">
        <color rgb="FF1F3864"/>
      </top>
      <bottom style="thin">
        <color rgb="FF1F3864"/>
      </bottom>
      <diagonal/>
    </border>
    <border>
      <left/>
      <right style="medium">
        <color rgb="FF1F3864"/>
      </right>
      <top style="medium">
        <color rgb="FF1F3864"/>
      </top>
      <bottom style="thin">
        <color rgb="FF1F3864"/>
      </bottom>
      <diagonal/>
    </border>
    <border>
      <left style="medium">
        <color rgb="FF1F3864"/>
      </left>
      <right/>
      <top style="thin">
        <color rgb="FF4776C5"/>
      </top>
      <bottom/>
      <diagonal/>
    </border>
    <border>
      <left/>
      <right style="medium">
        <color rgb="FF1F3864"/>
      </right>
      <top style="thin">
        <color rgb="FF4776C5"/>
      </top>
      <bottom/>
      <diagonal/>
    </border>
    <border>
      <left style="medium">
        <color rgb="FF1F3864"/>
      </left>
      <right/>
      <top style="medium">
        <color rgb="FF1F3864"/>
      </top>
      <bottom style="thin">
        <color rgb="FFC8D4E8"/>
      </bottom>
      <diagonal/>
    </border>
    <border>
      <left/>
      <right/>
      <top style="medium">
        <color rgb="FF1F3864"/>
      </top>
      <bottom style="thin">
        <color rgb="FFC8D4E8"/>
      </bottom>
      <diagonal/>
    </border>
    <border>
      <left style="medium">
        <color rgb="FF1F3864"/>
      </left>
      <right/>
      <top style="thin">
        <color rgb="FFC8D4E8"/>
      </top>
      <bottom style="medium">
        <color rgb="FF1F3864"/>
      </bottom>
      <diagonal/>
    </border>
    <border>
      <left/>
      <right/>
      <top style="thin">
        <color rgb="FFC8D4E8"/>
      </top>
      <bottom style="medium">
        <color rgb="FF1F3864"/>
      </bottom>
      <diagonal/>
    </border>
    <border>
      <left/>
      <right style="medium">
        <color rgb="FF1F3864"/>
      </right>
      <top style="thin">
        <color rgb="FFC8D4E8"/>
      </top>
      <bottom style="medium">
        <color rgb="FF1F3864"/>
      </bottom>
      <diagonal/>
    </border>
    <border>
      <left style="thin">
        <color rgb="FF1F3864"/>
      </left>
      <right style="thin">
        <color rgb="FF1F3864"/>
      </right>
      <top style="thin">
        <color rgb="FFC8D4E8"/>
      </top>
      <bottom/>
      <diagonal/>
    </border>
    <border>
      <left style="medium">
        <color rgb="FF1F3864"/>
      </left>
      <right style="thin">
        <color rgb="FF4776C5"/>
      </right>
      <top style="thin">
        <color rgb="FFC8D4E8"/>
      </top>
      <bottom style="medium">
        <color rgb="FF1F3864"/>
      </bottom>
      <diagonal/>
    </border>
    <border>
      <left style="thin">
        <color rgb="FF1F3864"/>
      </left>
      <right/>
      <top style="thin">
        <color rgb="FFC8D4E8"/>
      </top>
      <bottom style="medium">
        <color rgb="FF1F3864"/>
      </bottom>
      <diagonal/>
    </border>
    <border>
      <left style="thin">
        <color rgb="FF1F3864"/>
      </left>
      <right style="thin">
        <color rgb="FF1F3864"/>
      </right>
      <top style="thin">
        <color rgb="FFC8D4E8"/>
      </top>
      <bottom style="medium">
        <color rgb="FF1F3864"/>
      </bottom>
      <diagonal/>
    </border>
    <border>
      <left/>
      <right style="medium">
        <color rgb="FF1F3864"/>
      </right>
      <top style="medium">
        <color rgb="FF1F3864"/>
      </top>
      <bottom/>
      <diagonal/>
    </border>
    <border>
      <left style="thin">
        <color rgb="FF1F3864"/>
      </left>
      <right style="thin">
        <color rgb="FF1F3864"/>
      </right>
      <top/>
      <bottom/>
      <diagonal/>
    </border>
    <border>
      <left/>
      <right style="medium">
        <color rgb="FF1F3864"/>
      </right>
      <top/>
      <bottom style="thin">
        <color rgb="FFC8D4E8"/>
      </bottom>
      <diagonal/>
    </border>
    <border>
      <left style="medium">
        <color rgb="FF1F3864"/>
      </left>
      <right/>
      <top style="thin">
        <color rgb="FFC8D4E8"/>
      </top>
      <bottom style="thin">
        <color rgb="FF1F3864"/>
      </bottom>
      <diagonal/>
    </border>
    <border>
      <left/>
      <right style="medium">
        <color rgb="FF1F3864"/>
      </right>
      <top style="thin">
        <color rgb="FFC8D4E8"/>
      </top>
      <bottom style="thin">
        <color rgb="FF1F3864"/>
      </bottom>
      <diagonal/>
    </border>
    <border>
      <left style="medium">
        <color rgb="FF1F3864"/>
      </left>
      <right/>
      <top style="medium">
        <color rgb="FF4776C5"/>
      </top>
      <bottom/>
      <diagonal/>
    </border>
    <border>
      <left style="medium">
        <color rgb="FF1F3864"/>
      </left>
      <right style="thin">
        <color rgb="FF4776C5"/>
      </right>
      <top/>
      <bottom/>
      <diagonal/>
    </border>
    <border>
      <left style="medium">
        <color rgb="FF1F3864"/>
      </left>
      <right style="thin">
        <color rgb="FF4776C5"/>
      </right>
      <top style="thin">
        <color rgb="FF4776C5"/>
      </top>
      <bottom/>
      <diagonal/>
    </border>
    <border>
      <left style="medium">
        <color rgb="FF1F3864"/>
      </left>
      <right style="thin">
        <color rgb="FFC8D4E8"/>
      </right>
      <top style="thin">
        <color rgb="FF1F3864"/>
      </top>
      <bottom style="thin">
        <color rgb="FF1F3864"/>
      </bottom>
      <diagonal/>
    </border>
    <border>
      <left style="medium">
        <color rgb="FF4776C5"/>
      </left>
      <right style="medium">
        <color rgb="FF1F3864"/>
      </right>
      <top style="medium">
        <color rgb="FF1F3864"/>
      </top>
      <bottom/>
      <diagonal/>
    </border>
    <border>
      <left/>
      <right style="medium">
        <color rgb="FF1F3864"/>
      </right>
      <top style="medium">
        <color rgb="FF4776C5"/>
      </top>
      <bottom/>
      <diagonal/>
    </border>
    <border>
      <left style="thin">
        <color rgb="FFC8D4E8"/>
      </left>
      <right style="medium">
        <color rgb="FF1F3864"/>
      </right>
      <top style="thin">
        <color rgb="FF4776C5"/>
      </top>
      <bottom/>
      <diagonal/>
    </border>
    <border>
      <left style="thin">
        <color rgb="FFC8D4E8"/>
      </left>
      <right style="medium">
        <color rgb="FF1F3864"/>
      </right>
      <top style="thin">
        <color rgb="FF1F3864"/>
      </top>
      <bottom style="thin">
        <color rgb="FF1F3864"/>
      </bottom>
      <diagonal/>
    </border>
    <border>
      <left style="thin">
        <color rgb="FFC8D4E8"/>
      </left>
      <right/>
      <top/>
      <bottom/>
      <diagonal/>
    </border>
    <border>
      <left style="thin">
        <color rgb="FF44546A"/>
      </left>
      <right style="thin">
        <color rgb="FFC8D4E8"/>
      </right>
      <top/>
      <bottom/>
      <diagonal/>
    </border>
    <border>
      <left style="thin">
        <color rgb="FF2B5D20"/>
      </left>
      <right style="thin">
        <color rgb="FFC8D4E8"/>
      </right>
      <top/>
      <bottom/>
      <diagonal/>
    </border>
    <border>
      <left style="thin">
        <color rgb="FF622E8F"/>
      </left>
      <right style="thin">
        <color rgb="FFC8D4E8"/>
      </right>
      <top/>
      <bottom/>
      <diagonal/>
    </border>
    <border>
      <left style="thin">
        <color rgb="FF0F5463"/>
      </left>
      <right style="thin">
        <color rgb="FFC8D4E8"/>
      </right>
      <top/>
      <bottom/>
      <diagonal/>
    </border>
    <border>
      <left style="thin">
        <color rgb="FF6D5611"/>
      </left>
      <right style="thin">
        <color rgb="FFC8D4E8"/>
      </right>
      <top/>
      <bottom/>
      <diagonal/>
    </border>
    <border>
      <left style="thin">
        <color rgb="FF164E7C"/>
      </left>
      <right/>
      <top/>
      <bottom/>
      <diagonal/>
    </border>
    <border>
      <left/>
      <right style="thin">
        <color rgb="FFC8D4E8"/>
      </right>
      <top style="medium">
        <color rgb="FF1F3864"/>
      </top>
      <bottom style="thin">
        <color rgb="FFC8D4E8"/>
      </bottom>
      <diagonal/>
    </border>
    <border>
      <left/>
      <right style="thin">
        <color rgb="FFC1E5C2"/>
      </right>
      <top style="thin">
        <color rgb="FFC1E5C2"/>
      </top>
      <bottom style="thin">
        <color rgb="FFC1E5C2"/>
      </bottom>
      <diagonal/>
    </border>
    <border>
      <left style="thin">
        <color rgb="FFC1E5C2"/>
      </left>
      <right style="thin">
        <color rgb="FFC1E5C2"/>
      </right>
      <top style="medium">
        <color rgb="FF2B5D20"/>
      </top>
      <bottom style="thin">
        <color rgb="FFC1E5C2"/>
      </bottom>
      <diagonal/>
    </border>
    <border>
      <left style="thin">
        <color rgb="FFC1E5C2"/>
      </left>
      <right style="thin">
        <color rgb="FFC1E5C2"/>
      </right>
      <top style="thin">
        <color rgb="FFC1E5C2"/>
      </top>
      <bottom style="medium">
        <color rgb="FF2B5D20"/>
      </bottom>
      <diagonal/>
    </border>
    <border>
      <left/>
      <right style="thin">
        <color rgb="FFC1E5C2"/>
      </right>
      <top style="medium">
        <color rgb="FF2B5D20"/>
      </top>
      <bottom style="thin">
        <color rgb="FFC1E5C2"/>
      </bottom>
      <diagonal/>
    </border>
    <border>
      <left/>
      <right style="thin">
        <color rgb="FFC1E5C2"/>
      </right>
      <top style="thin">
        <color rgb="FFC1E5C2"/>
      </top>
      <bottom style="medium">
        <color rgb="FF2B5D20"/>
      </bottom>
      <diagonal/>
    </border>
    <border>
      <left style="thin">
        <color rgb="FFC8D4E8"/>
      </left>
      <right style="thin">
        <color rgb="FFC8D4E8"/>
      </right>
      <top style="thin">
        <color rgb="FFE5E7EB"/>
      </top>
      <bottom style="thin">
        <color rgb="FFE5E7EB"/>
      </bottom>
      <diagonal/>
    </border>
    <border>
      <left style="thin">
        <color rgb="FFC8D4E8"/>
      </left>
      <right/>
      <top style="thin">
        <color rgb="FFE5E7EB"/>
      </top>
      <bottom style="thin">
        <color rgb="FFE5E7EB"/>
      </bottom>
      <diagonal/>
    </border>
    <border>
      <left style="medium">
        <color rgb="FF9CA3AF"/>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medium">
        <color rgb="FF9CA3AF"/>
      </left>
      <right style="thin">
        <color rgb="FFE5E7EB"/>
      </right>
      <top style="thin">
        <color rgb="FFE5E7EB"/>
      </top>
      <bottom style="thin">
        <color rgb="FF9CA3AF"/>
      </bottom>
      <diagonal/>
    </border>
    <border>
      <left style="thin">
        <color rgb="FFE5E7EB"/>
      </left>
      <right style="thin">
        <color rgb="FFE5E7EB"/>
      </right>
      <top style="thin">
        <color rgb="FFE5E7EB"/>
      </top>
      <bottom style="thin">
        <color rgb="FF9CA3AF"/>
      </bottom>
      <diagonal/>
    </border>
    <border>
      <left/>
      <right/>
      <top style="thin">
        <color rgb="FFE5E7EB"/>
      </top>
      <bottom style="thin">
        <color rgb="FFE5E7EB"/>
      </bottom>
      <diagonal/>
    </border>
    <border>
      <left/>
      <right style="thin">
        <color rgb="FF9CA3AF"/>
      </right>
      <top style="thin">
        <color rgb="FFE5E7EB"/>
      </top>
      <bottom style="thin">
        <color rgb="FFE5E7EB"/>
      </bottom>
      <diagonal/>
    </border>
    <border>
      <left/>
      <right/>
      <top style="thin">
        <color rgb="FFE5E7EB"/>
      </top>
      <bottom style="thin">
        <color rgb="FF9CA3AF"/>
      </bottom>
      <diagonal/>
    </border>
    <border>
      <left/>
      <right style="thin">
        <color rgb="FF9CA3AF"/>
      </right>
      <top style="thin">
        <color rgb="FFE5E7EB"/>
      </top>
      <bottom style="thin">
        <color rgb="FF9CA3AF"/>
      </bottom>
      <diagonal/>
    </border>
    <border>
      <left style="thin">
        <color rgb="FFE5E7EB"/>
      </left>
      <right style="thin">
        <color rgb="FF9CA3AF"/>
      </right>
      <top style="thin">
        <color rgb="FFE5E7EB"/>
      </top>
      <bottom style="thin">
        <color rgb="FFE5E7EB"/>
      </bottom>
      <diagonal/>
    </border>
    <border>
      <left style="thin">
        <color rgb="FFE5E7EB"/>
      </left>
      <right style="thin">
        <color rgb="FF9CA3AF"/>
      </right>
      <top style="thin">
        <color rgb="FFE5E7EB"/>
      </top>
      <bottom style="thin">
        <color rgb="FF9CA3AF"/>
      </bottom>
      <diagonal/>
    </border>
    <border>
      <left style="thin">
        <color rgb="FF9CA3AF"/>
      </left>
      <right style="thin">
        <color rgb="FFC8D4E8"/>
      </right>
      <top style="thin">
        <color rgb="FFE5E7EB"/>
      </top>
      <bottom style="thin">
        <color rgb="FFE5E7EB"/>
      </bottom>
      <diagonal/>
    </border>
    <border>
      <left style="thin">
        <color rgb="FF9CA3AF"/>
      </left>
      <right/>
      <top style="thin">
        <color rgb="FF9CA3AF"/>
      </top>
      <bottom style="thin">
        <color rgb="FFE5E7EB"/>
      </bottom>
      <diagonal/>
    </border>
    <border>
      <left/>
      <right/>
      <top style="thin">
        <color rgb="FF9CA3AF"/>
      </top>
      <bottom style="thin">
        <color rgb="FFE5E7EB"/>
      </bottom>
      <diagonal/>
    </border>
    <border>
      <left/>
      <right style="thin">
        <color rgb="FF9CA3AF"/>
      </right>
      <top style="thin">
        <color rgb="FF9CA3AF"/>
      </top>
      <bottom style="thin">
        <color rgb="FFE5E7EB"/>
      </bottom>
      <diagonal/>
    </border>
    <border>
      <left/>
      <right style="thin">
        <color rgb="FFC8D4E8"/>
      </right>
      <top style="thin">
        <color rgb="FFE5E7EB"/>
      </top>
      <bottom style="thin">
        <color rgb="FFE5E7EB"/>
      </bottom>
      <diagonal/>
    </border>
    <border>
      <left style="medium">
        <color rgb="FF4B6CB7"/>
      </left>
      <right style="thin">
        <color rgb="FF5B7DBF"/>
      </right>
      <top style="medium">
        <color rgb="FF4B6CB7"/>
      </top>
      <bottom/>
      <diagonal/>
    </border>
    <border>
      <left style="thin">
        <color rgb="FF5B7DBF"/>
      </left>
      <right style="thin">
        <color rgb="FF5B7DBF"/>
      </right>
      <top style="medium">
        <color rgb="FF4B6CB7"/>
      </top>
      <bottom/>
      <diagonal/>
    </border>
    <border>
      <left style="thin">
        <color rgb="FF5B7DBF"/>
      </left>
      <right style="medium">
        <color rgb="FF4B6CB7"/>
      </right>
      <top style="medium">
        <color rgb="FF4B6CB7"/>
      </top>
      <bottom/>
      <diagonal/>
    </border>
    <border>
      <left style="thin">
        <color rgb="FF375623"/>
      </left>
      <right style="thin">
        <color rgb="FFC8D4E8"/>
      </right>
      <top/>
      <bottom/>
      <diagonal/>
    </border>
    <border>
      <left style="thin">
        <color rgb="FF9CA3AF"/>
      </left>
      <right style="thin">
        <color rgb="FFE5E7EB"/>
      </right>
      <top style="thin">
        <color rgb="FF9CA3AF"/>
      </top>
      <bottom style="thin">
        <color rgb="FFD1D5DB"/>
      </bottom>
      <diagonal/>
    </border>
    <border>
      <left style="thin">
        <color rgb="FFE5E7EB"/>
      </left>
      <right style="thin">
        <color rgb="FFE5E7EB"/>
      </right>
      <top style="thin">
        <color rgb="FF9CA3AF"/>
      </top>
      <bottom style="thin">
        <color rgb="FFD1D5DB"/>
      </bottom>
      <diagonal/>
    </border>
    <border>
      <left style="thin">
        <color rgb="FFE5E7EB"/>
      </left>
      <right style="thin">
        <color rgb="FF9CA3AF"/>
      </right>
      <top style="thin">
        <color rgb="FF9CA3AF"/>
      </top>
      <bottom style="thin">
        <color rgb="FFD1D5DB"/>
      </bottom>
      <diagonal/>
    </border>
    <border>
      <left style="thin">
        <color rgb="FF9CA3AF"/>
      </left>
      <right style="thin">
        <color rgb="FFE5E7EB"/>
      </right>
      <top style="thin">
        <color rgb="FFD1D5DB"/>
      </top>
      <bottom style="thin">
        <color rgb="FFD1D5DB"/>
      </bottom>
      <diagonal/>
    </border>
    <border>
      <left style="thin">
        <color rgb="FFE5E7EB"/>
      </left>
      <right style="thin">
        <color rgb="FFE5E7EB"/>
      </right>
      <top style="thin">
        <color rgb="FFD1D5DB"/>
      </top>
      <bottom style="thin">
        <color rgb="FFD1D5DB"/>
      </bottom>
      <diagonal/>
    </border>
    <border>
      <left style="thin">
        <color rgb="FFE5E7EB"/>
      </left>
      <right style="thin">
        <color rgb="FF9CA3AF"/>
      </right>
      <top style="thin">
        <color rgb="FFD1D5DB"/>
      </top>
      <bottom style="thin">
        <color rgb="FFD1D5DB"/>
      </bottom>
      <diagonal/>
    </border>
    <border>
      <left style="thin">
        <color rgb="FF44546A"/>
      </left>
      <right/>
      <top style="thin">
        <color rgb="FF9CA3AF"/>
      </top>
      <bottom style="thin">
        <color rgb="FFE5E7EB"/>
      </bottom>
      <diagonal/>
    </border>
    <border>
      <left style="thin">
        <color rgb="FF2B5D20"/>
      </left>
      <right/>
      <top style="thin">
        <color rgb="FF9CA3AF"/>
      </top>
      <bottom style="thin">
        <color rgb="FFE5E7EB"/>
      </bottom>
      <diagonal/>
    </border>
    <border>
      <left style="thin">
        <color rgb="FF622E8F"/>
      </left>
      <right/>
      <top style="thin">
        <color rgb="FF9CA3AF"/>
      </top>
      <bottom style="thin">
        <color rgb="FFE5E7EB"/>
      </bottom>
      <diagonal/>
    </border>
    <border>
      <left style="thin">
        <color rgb="FF0F5463"/>
      </left>
      <right/>
      <top style="thin">
        <color rgb="FF9CA3AF"/>
      </top>
      <bottom style="thin">
        <color rgb="FFE5E7EB"/>
      </bottom>
      <diagonal/>
    </border>
    <border>
      <left style="thin">
        <color rgb="FF6D5611"/>
      </left>
      <right/>
      <top style="thin">
        <color rgb="FF9CA3AF"/>
      </top>
      <bottom style="thin">
        <color rgb="FFE5E7EB"/>
      </bottom>
      <diagonal/>
    </border>
    <border>
      <left style="thin">
        <color rgb="FF164E7C"/>
      </left>
      <right/>
      <top style="thin">
        <color rgb="FF9CA3AF"/>
      </top>
      <bottom style="thin">
        <color rgb="FFE5E7EB"/>
      </bottom>
      <diagonal/>
    </border>
    <border>
      <left style="thin">
        <color rgb="FF44546A"/>
      </left>
      <right style="thin">
        <color rgb="FFC8D4E8"/>
      </right>
      <top style="thin">
        <color rgb="FFE5E7EB"/>
      </top>
      <bottom style="thin">
        <color rgb="FFE5E7EB"/>
      </bottom>
      <diagonal/>
    </border>
    <border>
      <left style="thin">
        <color rgb="FF2B5D20"/>
      </left>
      <right style="thin">
        <color rgb="FFC8D4E8"/>
      </right>
      <top style="thin">
        <color rgb="FFE5E7EB"/>
      </top>
      <bottom style="thin">
        <color rgb="FFE5E7EB"/>
      </bottom>
      <diagonal/>
    </border>
    <border>
      <left style="thin">
        <color rgb="FF622E8F"/>
      </left>
      <right style="thin">
        <color rgb="FFC8D4E8"/>
      </right>
      <top style="thin">
        <color rgb="FFE5E7EB"/>
      </top>
      <bottom style="thin">
        <color rgb="FFE5E7EB"/>
      </bottom>
      <diagonal/>
    </border>
    <border>
      <left style="thin">
        <color rgb="FF0F5463"/>
      </left>
      <right style="thin">
        <color rgb="FFC8D4E8"/>
      </right>
      <top style="thin">
        <color rgb="FFE5E7EB"/>
      </top>
      <bottom style="thin">
        <color rgb="FFE5E7EB"/>
      </bottom>
      <diagonal/>
    </border>
    <border>
      <left style="thin">
        <color rgb="FF6D5611"/>
      </left>
      <right style="thin">
        <color rgb="FFC8D4E8"/>
      </right>
      <top style="thin">
        <color rgb="FFE5E7EB"/>
      </top>
      <bottom style="thin">
        <color rgb="FFE5E7EB"/>
      </bottom>
      <diagonal/>
    </border>
    <border>
      <left style="thin">
        <color rgb="FF164E7C"/>
      </left>
      <right/>
      <top style="thin">
        <color rgb="FFE5E7EB"/>
      </top>
      <bottom style="thin">
        <color rgb="FFE5E7EB"/>
      </bottom>
      <diagonal/>
    </border>
    <border>
      <left style="thin">
        <color rgb="FF9CA3AF"/>
      </left>
      <right/>
      <top style="thin">
        <color rgb="FFE5E7EB"/>
      </top>
      <bottom style="thin">
        <color rgb="FF9CA3AF"/>
      </bottom>
      <diagonal/>
    </border>
    <border>
      <left style="thin">
        <color rgb="FF44546A"/>
      </left>
      <right/>
      <top style="thin">
        <color rgb="FFE5E7EB"/>
      </top>
      <bottom style="thin">
        <color rgb="FF9CA3AF"/>
      </bottom>
      <diagonal/>
    </border>
    <border>
      <left style="thin">
        <color rgb="FF2B5D20"/>
      </left>
      <right/>
      <top style="thin">
        <color rgb="FFE5E7EB"/>
      </top>
      <bottom style="thin">
        <color rgb="FF9CA3AF"/>
      </bottom>
      <diagonal/>
    </border>
    <border>
      <left style="thin">
        <color rgb="FF622E8F"/>
      </left>
      <right/>
      <top style="thin">
        <color rgb="FFE5E7EB"/>
      </top>
      <bottom style="thin">
        <color rgb="FF9CA3AF"/>
      </bottom>
      <diagonal/>
    </border>
    <border>
      <left style="thin">
        <color rgb="FF0F5463"/>
      </left>
      <right/>
      <top style="thin">
        <color rgb="FFE5E7EB"/>
      </top>
      <bottom style="thin">
        <color rgb="FF9CA3AF"/>
      </bottom>
      <diagonal/>
    </border>
    <border>
      <left style="thin">
        <color rgb="FF6D5611"/>
      </left>
      <right/>
      <top style="thin">
        <color rgb="FFE5E7EB"/>
      </top>
      <bottom style="thin">
        <color rgb="FF9CA3AF"/>
      </bottom>
      <diagonal/>
    </border>
    <border>
      <left style="thin">
        <color rgb="FF164E7C"/>
      </left>
      <right/>
      <top style="thin">
        <color rgb="FFE5E7EB"/>
      </top>
      <bottom style="thin">
        <color rgb="FF9CA3AF"/>
      </bottom>
      <diagonal/>
    </border>
    <border>
      <left style="thin">
        <color rgb="FF9CA3AF"/>
      </left>
      <right style="thin">
        <color rgb="FFE5E7EB"/>
      </right>
      <top style="thin">
        <color rgb="FFD1D5DB"/>
      </top>
      <bottom/>
      <diagonal/>
    </border>
    <border>
      <left style="thin">
        <color rgb="FFE5E7EB"/>
      </left>
      <right style="thin">
        <color rgb="FFE5E7EB"/>
      </right>
      <top style="thin">
        <color rgb="FFD1D5DB"/>
      </top>
      <bottom/>
      <diagonal/>
    </border>
    <border>
      <left style="thin">
        <color rgb="FFE5E7EB"/>
      </left>
      <right style="thin">
        <color rgb="FF9CA3AF"/>
      </right>
      <top style="thin">
        <color rgb="FFD1D5DB"/>
      </top>
      <bottom/>
      <diagonal/>
    </border>
    <border>
      <left style="thin">
        <color rgb="FF9CA3AF"/>
      </left>
      <right style="thin">
        <color rgb="FFE5E7EB"/>
      </right>
      <top style="thin">
        <color rgb="FFD1D5DB"/>
      </top>
      <bottom style="medium">
        <color rgb="FF374151"/>
      </bottom>
      <diagonal/>
    </border>
    <border>
      <left style="thin">
        <color rgb="FFE5E7EB"/>
      </left>
      <right style="thin">
        <color rgb="FFE5E7EB"/>
      </right>
      <top style="thin">
        <color rgb="FFD1D5DB"/>
      </top>
      <bottom style="medium">
        <color rgb="FF374151"/>
      </bottom>
      <diagonal/>
    </border>
    <border>
      <left style="thin">
        <color rgb="FFE5E7EB"/>
      </left>
      <right style="thin">
        <color rgb="FF9CA3AF"/>
      </right>
      <top style="thin">
        <color rgb="FFD1D5DB"/>
      </top>
      <bottom style="medium">
        <color rgb="FF374151"/>
      </bottom>
      <diagonal/>
    </border>
    <border>
      <left style="thin">
        <color rgb="FFE5E7EB"/>
      </left>
      <right style="thin">
        <color rgb="FFE5E7EB"/>
      </right>
      <top style="thin">
        <color rgb="FF1F2D3D"/>
      </top>
      <bottom style="thin">
        <color rgb="FFE5E7EB"/>
      </bottom>
      <diagonal/>
    </border>
    <border>
      <left style="thin">
        <color rgb="FFE5E7EB"/>
      </left>
      <right style="thin">
        <color rgb="FF9CA3AF"/>
      </right>
      <top style="thin">
        <color rgb="FF1F2D3D"/>
      </top>
      <bottom style="thin">
        <color rgb="FFE5E7EB"/>
      </bottom>
      <diagonal/>
    </border>
    <border>
      <left/>
      <right/>
      <top style="thin">
        <color rgb="FF1F2D3D"/>
      </top>
      <bottom/>
      <diagonal/>
    </border>
    <border>
      <left/>
      <right/>
      <top/>
      <bottom style="thin">
        <color rgb="FF1F2D3D"/>
      </bottom>
      <diagonal/>
    </border>
    <border>
      <left style="thin">
        <color rgb="FF1F2D3D"/>
      </left>
      <right style="thin">
        <color rgb="FFE5E7EB"/>
      </right>
      <top style="thin">
        <color rgb="FF1F2D3D"/>
      </top>
      <bottom style="thin">
        <color rgb="FFE5E7EB"/>
      </bottom>
      <diagonal/>
    </border>
    <border>
      <left style="thin">
        <color rgb="FF1F2D3D"/>
      </left>
      <right style="thin">
        <color rgb="FFE5E7EB"/>
      </right>
      <top style="thin">
        <color rgb="FFE5E7EB"/>
      </top>
      <bottom style="thin">
        <color rgb="FFE5E7EB"/>
      </bottom>
      <diagonal/>
    </border>
    <border>
      <left style="thin">
        <color rgb="FF1F2D3D"/>
      </left>
      <right style="thin">
        <color rgb="FFE5E7EB"/>
      </right>
      <top style="thin">
        <color rgb="FFE5E7EB"/>
      </top>
      <bottom style="thin">
        <color rgb="FF9CA3AF"/>
      </bottom>
      <diagonal/>
    </border>
    <border>
      <left style="thin">
        <color rgb="FF1F2D3D"/>
      </left>
      <right/>
      <top/>
      <bottom style="thin">
        <color rgb="FF1F2D3D"/>
      </bottom>
      <diagonal/>
    </border>
    <border>
      <left/>
      <right style="thin">
        <color rgb="FF1F2D3D"/>
      </right>
      <top style="thin">
        <color rgb="FF1F2D3D"/>
      </top>
      <bottom/>
      <diagonal/>
    </border>
    <border>
      <left/>
      <right style="thin">
        <color rgb="FF1F2D3D"/>
      </right>
      <top style="medium">
        <color rgb="FF1F3864"/>
      </top>
      <bottom style="thin">
        <color rgb="FFC8D4E8"/>
      </bottom>
      <diagonal/>
    </border>
    <border>
      <left/>
      <right style="thin">
        <color rgb="FF1F2D3D"/>
      </right>
      <top style="thin">
        <color rgb="FFC8D4E8"/>
      </top>
      <bottom style="thin">
        <color rgb="FFC8D4E8"/>
      </bottom>
      <diagonal/>
    </border>
    <border>
      <left/>
      <right style="thin">
        <color rgb="FF1F2D3D"/>
      </right>
      <top style="thin">
        <color rgb="FFC8D4E8"/>
      </top>
      <bottom style="medium">
        <color rgb="FF1F3864"/>
      </bottom>
      <diagonal/>
    </border>
    <border>
      <left/>
      <right style="thin">
        <color rgb="FF1F2D3D"/>
      </right>
      <top/>
      <bottom style="thin">
        <color rgb="FF1F2D3D"/>
      </bottom>
      <diagonal/>
    </border>
    <border>
      <left/>
      <right style="thin">
        <color rgb="FF1F2D3D"/>
      </right>
      <top style="medium">
        <color rgb="FF87040B"/>
      </top>
      <bottom style="thin">
        <color rgb="FFF5C7A8"/>
      </bottom>
      <diagonal/>
    </border>
    <border>
      <left/>
      <right style="thin">
        <color rgb="FF1F2D3D"/>
      </right>
      <top style="thin">
        <color rgb="FFF5C7A8"/>
      </top>
      <bottom style="thin">
        <color rgb="FFF5C7A8"/>
      </bottom>
      <diagonal/>
    </border>
    <border>
      <left/>
      <right style="thin">
        <color rgb="FF1F2D3D"/>
      </right>
      <top style="thin">
        <color rgb="FFF5C7A8"/>
      </top>
      <bottom style="medium">
        <color rgb="FFC00000"/>
      </bottom>
      <diagonal/>
    </border>
    <border>
      <left style="thin">
        <color rgb="FFC1E5C2"/>
      </left>
      <right style="thin">
        <color rgb="FF1F2D3D"/>
      </right>
      <top style="medium">
        <color rgb="FF2B5D20"/>
      </top>
      <bottom style="thin">
        <color rgb="FFC1E5C2"/>
      </bottom>
      <diagonal/>
    </border>
    <border>
      <left style="thin">
        <color rgb="FFC1E5C2"/>
      </left>
      <right style="thin">
        <color rgb="FF1F2D3D"/>
      </right>
      <top style="thin">
        <color rgb="FFC1E5C2"/>
      </top>
      <bottom style="thin">
        <color rgb="FFC1E5C2"/>
      </bottom>
      <diagonal/>
    </border>
    <border>
      <left style="thin">
        <color rgb="FFC1E5C2"/>
      </left>
      <right style="thin">
        <color rgb="FF1F2D3D"/>
      </right>
      <top style="thin">
        <color rgb="FFC1E5C2"/>
      </top>
      <bottom style="medium">
        <color rgb="FF2B5D20"/>
      </bottom>
      <diagonal/>
    </border>
    <border>
      <left style="thin">
        <color rgb="FFC8D4E8"/>
      </left>
      <right style="thin">
        <color rgb="FF1F2D3D"/>
      </right>
      <top style="medium">
        <color rgb="FF1F3864"/>
      </top>
      <bottom style="thin">
        <color rgb="FFC8D4E8"/>
      </bottom>
      <diagonal/>
    </border>
    <border>
      <left style="thin">
        <color rgb="FFC8D4E8"/>
      </left>
      <right style="thin">
        <color rgb="FF1F2D3D"/>
      </right>
      <top style="thin">
        <color rgb="FFC8D4E8"/>
      </top>
      <bottom style="thin">
        <color rgb="FFC8D4E8"/>
      </bottom>
      <diagonal/>
    </border>
    <border>
      <left style="thin">
        <color rgb="FFC8D4E8"/>
      </left>
      <right style="thin">
        <color rgb="FF1F2D3D"/>
      </right>
      <top style="thin">
        <color rgb="FFC8D4E8"/>
      </top>
      <bottom style="medium">
        <color rgb="FF1F3864"/>
      </bottom>
      <diagonal/>
    </border>
    <border>
      <left style="thin">
        <color rgb="FF1F2D3D"/>
      </left>
      <right/>
      <top style="thin">
        <color rgb="FF1F2D3D"/>
      </top>
      <bottom/>
      <diagonal/>
    </border>
    <border>
      <left style="thin">
        <color rgb="FF1F2D3D"/>
      </left>
      <right/>
      <top style="thin">
        <color rgb="FF1F2D3D"/>
      </top>
      <bottom style="thin">
        <color rgb="FFE5E7EB"/>
      </bottom>
      <diagonal/>
    </border>
    <border>
      <left/>
      <right/>
      <top style="thin">
        <color rgb="FF1F2D3D"/>
      </top>
      <bottom style="thin">
        <color rgb="FFE5E7EB"/>
      </bottom>
      <diagonal/>
    </border>
    <border>
      <left/>
      <right style="thin">
        <color rgb="FF1F2D3D"/>
      </right>
      <top style="thin">
        <color rgb="FF1F2D3D"/>
      </top>
      <bottom style="thin">
        <color rgb="FFE5E7EB"/>
      </bottom>
      <diagonal/>
    </border>
    <border>
      <left style="thin">
        <color rgb="FF1F2D3D"/>
      </left>
      <right/>
      <top style="thin">
        <color rgb="FFE5E7EB"/>
      </top>
      <bottom style="thin">
        <color rgb="FFE5E7EB"/>
      </bottom>
      <diagonal/>
    </border>
    <border>
      <left/>
      <right style="thin">
        <color rgb="FF1F2D3D"/>
      </right>
      <top style="thin">
        <color rgb="FFE5E7EB"/>
      </top>
      <bottom style="thin">
        <color rgb="FFE5E7EB"/>
      </bottom>
      <diagonal/>
    </border>
    <border>
      <left style="thin">
        <color rgb="FF1F2D3D"/>
      </left>
      <right/>
      <top style="thin">
        <color rgb="FFE5E7EB"/>
      </top>
      <bottom style="thin">
        <color rgb="FF1F2D3D"/>
      </bottom>
      <diagonal/>
    </border>
    <border>
      <left/>
      <right/>
      <top style="thin">
        <color rgb="FFE5E7EB"/>
      </top>
      <bottom style="thin">
        <color rgb="FF1F2D3D"/>
      </bottom>
      <diagonal/>
    </border>
    <border>
      <left/>
      <right style="thin">
        <color rgb="FF1F2D3D"/>
      </right>
      <top style="thin">
        <color rgb="FFE5E7EB"/>
      </top>
      <bottom style="thin">
        <color rgb="FF1F2D3D"/>
      </bottom>
      <diagonal/>
    </border>
    <border>
      <left style="thin">
        <color rgb="FFE5E7EB"/>
      </left>
      <right style="thin">
        <color rgb="FFE5E7EB"/>
      </right>
      <top style="thin">
        <color rgb="FFE5E7EB"/>
      </top>
      <bottom style="thin">
        <color rgb="FF1F2D3D"/>
      </bottom>
      <diagonal/>
    </border>
    <border>
      <left style="thin">
        <color rgb="FF1F2D3D"/>
      </left>
      <right style="thin">
        <color rgb="FFE5E7EB"/>
      </right>
      <top style="thin">
        <color rgb="FFE5E7EB"/>
      </top>
      <bottom style="thin">
        <color rgb="FF1F2D3D"/>
      </bottom>
      <diagonal/>
    </border>
    <border>
      <left style="thin">
        <color rgb="FFE5E7EB"/>
      </left>
      <right style="thin">
        <color rgb="FF1F2D3D"/>
      </right>
      <top style="thin">
        <color rgb="FF1F2D3D"/>
      </top>
      <bottom style="thin">
        <color rgb="FFE5E7EB"/>
      </bottom>
      <diagonal/>
    </border>
    <border>
      <left style="thin">
        <color rgb="FFE5E7EB"/>
      </left>
      <right style="thin">
        <color rgb="FF1F2D3D"/>
      </right>
      <top style="thin">
        <color rgb="FFE5E7EB"/>
      </top>
      <bottom style="thin">
        <color rgb="FFE5E7EB"/>
      </bottom>
      <diagonal/>
    </border>
    <border>
      <left style="thin">
        <color rgb="FFE5E7EB"/>
      </left>
      <right style="thin">
        <color rgb="FF1F2D3D"/>
      </right>
      <top style="thin">
        <color rgb="FFE5E7EB"/>
      </top>
      <bottom style="thin">
        <color rgb="FF1F2D3D"/>
      </bottom>
      <diagonal/>
    </border>
    <border>
      <left style="thin">
        <color rgb="FF1F2D3D"/>
      </left>
      <right/>
      <top style="thin">
        <color rgb="FFE5E7EB"/>
      </top>
      <bottom/>
      <diagonal/>
    </border>
    <border>
      <left/>
      <right/>
      <top style="thin">
        <color rgb="FFE5E7EB"/>
      </top>
      <bottom/>
      <diagonal/>
    </border>
    <border>
      <left/>
      <right style="thin">
        <color rgb="FF1F2D3D"/>
      </right>
      <top style="thin">
        <color rgb="FFE5E7EB"/>
      </top>
      <bottom/>
      <diagonal/>
    </border>
    <border>
      <left style="thin">
        <color rgb="FF1F2D3D"/>
      </left>
      <right/>
      <top style="thin">
        <color rgb="FF1F2D3D"/>
      </top>
      <bottom style="thin">
        <color rgb="FFD1D5DB"/>
      </bottom>
      <diagonal/>
    </border>
    <border>
      <left/>
      <right/>
      <top style="thin">
        <color rgb="FF1F2D3D"/>
      </top>
      <bottom style="thin">
        <color rgb="FFD1D5DB"/>
      </bottom>
      <diagonal/>
    </border>
    <border>
      <left/>
      <right style="thin">
        <color rgb="FF1F2D3D"/>
      </right>
      <top style="thin">
        <color rgb="FF1F2D3D"/>
      </top>
      <bottom style="thin">
        <color rgb="FFD1D5DB"/>
      </bottom>
      <diagonal/>
    </border>
    <border>
      <left style="thin">
        <color rgb="FF1F2D3D"/>
      </left>
      <right/>
      <top style="thin">
        <color rgb="FFD1D5DB"/>
      </top>
      <bottom style="thin">
        <color rgb="FFD1D5DB"/>
      </bottom>
      <diagonal/>
    </border>
    <border>
      <left/>
      <right/>
      <top style="thin">
        <color rgb="FFD1D5DB"/>
      </top>
      <bottom style="thin">
        <color rgb="FFD1D5DB"/>
      </bottom>
      <diagonal/>
    </border>
    <border>
      <left/>
      <right style="thin">
        <color rgb="FF1F2D3D"/>
      </right>
      <top style="thin">
        <color rgb="FFD1D5DB"/>
      </top>
      <bottom style="thin">
        <color rgb="FFD1D5DB"/>
      </bottom>
      <diagonal/>
    </border>
    <border>
      <left style="thin">
        <color rgb="FF1F2D3D"/>
      </left>
      <right/>
      <top style="thin">
        <color rgb="FFD1D5DB"/>
      </top>
      <bottom style="thin">
        <color rgb="FF1F2D3D"/>
      </bottom>
      <diagonal/>
    </border>
    <border>
      <left/>
      <right/>
      <top style="thin">
        <color rgb="FFD1D5DB"/>
      </top>
      <bottom style="thin">
        <color rgb="FF1F2D3D"/>
      </bottom>
      <diagonal/>
    </border>
    <border>
      <left/>
      <right style="thin">
        <color rgb="FF1F2D3D"/>
      </right>
      <top style="thin">
        <color rgb="FFD1D5DB"/>
      </top>
      <bottom style="thin">
        <color rgb="FF1F2D3D"/>
      </bottom>
      <diagonal/>
    </border>
    <border>
      <left style="thin">
        <color rgb="FF1F2D3D"/>
      </left>
      <right style="thin">
        <color rgb="FF374151"/>
      </right>
      <top style="thin">
        <color rgb="FF1F2D3D"/>
      </top>
      <bottom/>
      <diagonal/>
    </border>
    <border>
      <left style="thin">
        <color rgb="FF374151"/>
      </left>
      <right style="thin">
        <color rgb="FF374151"/>
      </right>
      <top style="thin">
        <color rgb="FF1F2D3D"/>
      </top>
      <bottom/>
      <diagonal/>
    </border>
    <border>
      <left style="thin">
        <color rgb="FF374151"/>
      </left>
      <right style="thin">
        <color rgb="FF1F2D3D"/>
      </right>
      <top style="thin">
        <color rgb="FF1F2D3D"/>
      </top>
      <bottom/>
      <diagonal/>
    </border>
    <border>
      <left style="thin">
        <color rgb="FF374151"/>
      </left>
      <right/>
      <top style="thin">
        <color rgb="FF1F2D3D"/>
      </top>
      <bottom/>
      <diagonal/>
    </border>
    <border>
      <left style="thin">
        <color rgb="FFE5E7EB"/>
      </left>
      <right/>
      <top style="thin">
        <color rgb="FF1F2D3D"/>
      </top>
      <bottom style="thin">
        <color rgb="FFE5E7EB"/>
      </bottom>
      <diagonal/>
    </border>
    <border>
      <left style="thin">
        <color rgb="FFE5E7EB"/>
      </left>
      <right/>
      <top style="thin">
        <color rgb="FFE5E7EB"/>
      </top>
      <bottom style="thin">
        <color rgb="FFE5E7EB"/>
      </bottom>
      <diagonal/>
    </border>
    <border>
      <left style="thin">
        <color rgb="FFE5E7EB"/>
      </left>
      <right/>
      <top style="thin">
        <color rgb="FFE5E7EB"/>
      </top>
      <bottom style="thin">
        <color rgb="FF1F2D3D"/>
      </bottom>
      <diagonal/>
    </border>
    <border>
      <left/>
      <right style="thin">
        <color rgb="FF374151"/>
      </right>
      <top style="thin">
        <color rgb="FF1F2D3D"/>
      </top>
      <bottom/>
      <diagonal/>
    </border>
    <border>
      <left/>
      <right style="thin">
        <color rgb="FFE5E7EB"/>
      </right>
      <top style="thin">
        <color rgb="FF1F2D3D"/>
      </top>
      <bottom style="thin">
        <color rgb="FFE5E7EB"/>
      </bottom>
      <diagonal/>
    </border>
    <border>
      <left/>
      <right style="thin">
        <color rgb="FFE5E7EB"/>
      </right>
      <top style="thin">
        <color rgb="FFE5E7EB"/>
      </top>
      <bottom style="thin">
        <color rgb="FFE5E7EB"/>
      </bottom>
      <diagonal/>
    </border>
    <border>
      <left/>
      <right style="thin">
        <color rgb="FFE5E7EB"/>
      </right>
      <top style="thin">
        <color rgb="FFE5E7EB"/>
      </top>
      <bottom style="thin">
        <color rgb="FF1F2D3D"/>
      </bottom>
      <diagonal/>
    </border>
    <border>
      <left style="thin">
        <color rgb="FF374151"/>
      </left>
      <right style="medium">
        <color rgb="FF1F2D3D"/>
      </right>
      <top style="thin">
        <color rgb="FF1F2D3D"/>
      </top>
      <bottom/>
      <diagonal/>
    </border>
    <border>
      <left style="thin">
        <color rgb="FFE5E7EB"/>
      </left>
      <right style="medium">
        <color rgb="FF1F2D3D"/>
      </right>
      <top style="thin">
        <color rgb="FF1F2D3D"/>
      </top>
      <bottom style="thin">
        <color rgb="FFE5E7EB"/>
      </bottom>
      <diagonal/>
    </border>
    <border>
      <left style="thin">
        <color rgb="FFE5E7EB"/>
      </left>
      <right style="medium">
        <color rgb="FF1F2D3D"/>
      </right>
      <top style="thin">
        <color rgb="FFE5E7EB"/>
      </top>
      <bottom style="thin">
        <color rgb="FFE5E7EB"/>
      </bottom>
      <diagonal/>
    </border>
    <border>
      <left style="thin">
        <color rgb="FFE5E7EB"/>
      </left>
      <right style="medium">
        <color rgb="FF1F2D3D"/>
      </right>
      <top style="thin">
        <color rgb="FFE5E7EB"/>
      </top>
      <bottom style="thin">
        <color rgb="FF1F2D3D"/>
      </bottom>
      <diagonal/>
    </border>
  </borders>
  <cellStyleXfs count="1">
    <xf numFmtId="0" fontId="0" fillId="0" borderId="0"/>
  </cellStyleXfs>
  <cellXfs count="1236">
    <xf numFmtId="0" fontId="0" fillId="0" borderId="0" xfId="0"/>
    <xf numFmtId="0" fontId="0" fillId="5" borderId="0" xfId="0" applyFill="1"/>
    <xf numFmtId="0" fontId="12" fillId="2" borderId="0" xfId="0" applyFont="1" applyFill="1"/>
    <xf numFmtId="0" fontId="12" fillId="2" borderId="8" xfId="0" applyFont="1" applyFill="1" applyBorder="1"/>
    <xf numFmtId="0" fontId="13" fillId="5" borderId="9" xfId="0" applyFont="1" applyFill="1" applyBorder="1" applyAlignment="1">
      <alignment horizontal="left" vertical="top" wrapText="1"/>
    </xf>
    <xf numFmtId="0" fontId="13" fillId="5" borderId="10" xfId="0" applyFont="1" applyFill="1" applyBorder="1" applyAlignment="1">
      <alignment horizontal="left" vertical="top" wrapText="1"/>
    </xf>
    <xf numFmtId="0" fontId="0" fillId="5" borderId="11" xfId="0" applyFill="1" applyBorder="1"/>
    <xf numFmtId="0" fontId="0" fillId="5" borderId="12" xfId="0" applyFill="1" applyBorder="1"/>
    <xf numFmtId="0" fontId="7" fillId="2" borderId="13" xfId="0" applyFont="1" applyFill="1" applyBorder="1" applyAlignment="1">
      <alignment vertical="center"/>
    </xf>
    <xf numFmtId="0" fontId="7" fillId="2" borderId="0" xfId="0" applyFont="1" applyFill="1" applyAlignment="1">
      <alignment vertical="center"/>
    </xf>
    <xf numFmtId="0" fontId="7" fillId="2" borderId="14" xfId="0" applyFont="1" applyFill="1" applyBorder="1" applyAlignment="1">
      <alignment vertical="center"/>
    </xf>
    <xf numFmtId="0" fontId="19" fillId="14" borderId="0" xfId="0" applyFont="1" applyFill="1" applyAlignment="1">
      <alignment horizontal="center" vertical="center"/>
    </xf>
    <xf numFmtId="166" fontId="0" fillId="0" borderId="0" xfId="0" applyNumberFormat="1"/>
    <xf numFmtId="0" fontId="20" fillId="14" borderId="0" xfId="0" applyFont="1" applyFill="1" applyAlignment="1">
      <alignment horizontal="center" vertical="center"/>
    </xf>
    <xf numFmtId="0" fontId="0" fillId="14" borderId="0" xfId="0" applyFill="1"/>
    <xf numFmtId="0" fontId="26" fillId="14" borderId="0" xfId="0" applyFont="1" applyFill="1" applyAlignment="1">
      <alignment horizontal="center" vertical="center"/>
    </xf>
    <xf numFmtId="0" fontId="7" fillId="14" borderId="0" xfId="0" applyFont="1" applyFill="1" applyAlignment="1">
      <alignment horizontal="left" vertical="center"/>
    </xf>
    <xf numFmtId="0" fontId="6" fillId="4" borderId="0" xfId="0" applyFont="1" applyFill="1" applyAlignment="1">
      <alignment horizontal="center" vertical="center"/>
    </xf>
    <xf numFmtId="0" fontId="28" fillId="5" borderId="0" xfId="0" applyFont="1" applyFill="1" applyAlignment="1">
      <alignment horizontal="center" vertical="center"/>
    </xf>
    <xf numFmtId="167" fontId="28" fillId="5" borderId="0" xfId="0" applyNumberFormat="1" applyFont="1" applyFill="1" applyAlignment="1">
      <alignment horizontal="center" vertical="center"/>
    </xf>
    <xf numFmtId="0" fontId="11" fillId="14" borderId="0" xfId="0" applyFont="1" applyFill="1" applyAlignment="1">
      <alignment horizontal="left" vertical="center" wrapText="1"/>
    </xf>
    <xf numFmtId="165" fontId="9" fillId="7" borderId="6" xfId="0" applyNumberFormat="1" applyFont="1" applyFill="1" applyBorder="1" applyAlignment="1">
      <alignment horizontal="left" vertical="center"/>
    </xf>
    <xf numFmtId="165" fontId="9" fillId="5" borderId="6" xfId="0" applyNumberFormat="1" applyFont="1" applyFill="1" applyBorder="1" applyAlignment="1">
      <alignment horizontal="left" vertical="center"/>
    </xf>
    <xf numFmtId="0" fontId="9" fillId="14" borderId="26" xfId="0" applyFont="1" applyFill="1" applyBorder="1" applyAlignment="1">
      <alignment horizontal="left" vertical="top" wrapText="1"/>
    </xf>
    <xf numFmtId="0" fontId="9" fillId="14" borderId="28" xfId="0" applyFont="1" applyFill="1" applyBorder="1" applyAlignment="1">
      <alignment horizontal="left" vertical="top" wrapText="1"/>
    </xf>
    <xf numFmtId="0" fontId="9" fillId="14" borderId="29" xfId="0" applyFont="1" applyFill="1" applyBorder="1" applyAlignment="1">
      <alignment horizontal="left" vertical="top" wrapText="1"/>
    </xf>
    <xf numFmtId="0" fontId="33" fillId="14" borderId="0" xfId="0" applyFont="1" applyFill="1" applyAlignment="1">
      <alignment horizontal="left" vertical="center" wrapText="1"/>
    </xf>
    <xf numFmtId="0" fontId="36" fillId="6" borderId="32" xfId="0" applyFont="1" applyFill="1" applyBorder="1" applyAlignment="1">
      <alignment horizontal="left" vertical="center" wrapText="1"/>
    </xf>
    <xf numFmtId="2" fontId="35" fillId="17" borderId="31" xfId="0" applyNumberFormat="1" applyFont="1" applyFill="1" applyBorder="1" applyAlignment="1">
      <alignment horizontal="right" vertical="center"/>
    </xf>
    <xf numFmtId="0" fontId="36" fillId="5" borderId="32" xfId="0" applyFont="1" applyFill="1" applyBorder="1" applyAlignment="1">
      <alignment horizontal="left" vertical="center" wrapText="1"/>
    </xf>
    <xf numFmtId="0" fontId="35" fillId="17" borderId="31" xfId="0" applyFont="1" applyFill="1" applyBorder="1" applyAlignment="1">
      <alignment horizontal="right" vertical="center"/>
    </xf>
    <xf numFmtId="10" fontId="35" fillId="17" borderId="31" xfId="0" applyNumberFormat="1" applyFont="1" applyFill="1" applyBorder="1" applyAlignment="1">
      <alignment horizontal="right" vertical="center"/>
    </xf>
    <xf numFmtId="4" fontId="6" fillId="14" borderId="31" xfId="0" applyNumberFormat="1" applyFont="1" applyFill="1" applyBorder="1" applyAlignment="1">
      <alignment horizontal="right" vertical="center"/>
    </xf>
    <xf numFmtId="4" fontId="35" fillId="17" borderId="32" xfId="0" applyNumberFormat="1" applyFont="1" applyFill="1" applyBorder="1" applyAlignment="1">
      <alignment horizontal="left" vertical="center"/>
    </xf>
    <xf numFmtId="0" fontId="6" fillId="14" borderId="31" xfId="0" applyFont="1" applyFill="1" applyBorder="1" applyAlignment="1">
      <alignment horizontal="right" vertical="center"/>
    </xf>
    <xf numFmtId="0" fontId="35" fillId="17" borderId="32" xfId="0" applyFont="1" applyFill="1" applyBorder="1" applyAlignment="1">
      <alignment horizontal="left" vertical="center"/>
    </xf>
    <xf numFmtId="10" fontId="6" fillId="14" borderId="31" xfId="0" applyNumberFormat="1" applyFont="1" applyFill="1" applyBorder="1" applyAlignment="1">
      <alignment horizontal="right" vertical="center"/>
    </xf>
    <xf numFmtId="10" fontId="35" fillId="17" borderId="32" xfId="0" applyNumberFormat="1" applyFont="1" applyFill="1" applyBorder="1" applyAlignment="1">
      <alignment horizontal="left" vertical="center"/>
    </xf>
    <xf numFmtId="0" fontId="0" fillId="18" borderId="0" xfId="0" applyFill="1"/>
    <xf numFmtId="0" fontId="0" fillId="19" borderId="0" xfId="0" applyFill="1"/>
    <xf numFmtId="0" fontId="6" fillId="20" borderId="62" xfId="0" applyFont="1" applyFill="1" applyBorder="1" applyAlignment="1">
      <alignment horizontal="left" vertical="center"/>
    </xf>
    <xf numFmtId="1" fontId="42" fillId="19" borderId="63" xfId="0" applyNumberFormat="1" applyFont="1" applyFill="1" applyBorder="1" applyAlignment="1">
      <alignment horizontal="right" vertical="center"/>
    </xf>
    <xf numFmtId="0" fontId="6" fillId="21" borderId="64" xfId="0" applyFont="1" applyFill="1" applyBorder="1" applyAlignment="1">
      <alignment horizontal="left" vertical="center"/>
    </xf>
    <xf numFmtId="0" fontId="42" fillId="19" borderId="65" xfId="0" applyFont="1" applyFill="1" applyBorder="1" applyAlignment="1">
      <alignment horizontal="right" vertical="center"/>
    </xf>
    <xf numFmtId="0" fontId="6" fillId="20" borderId="64" xfId="0" applyFont="1" applyFill="1" applyBorder="1" applyAlignment="1">
      <alignment horizontal="left" vertical="center"/>
    </xf>
    <xf numFmtId="164" fontId="42" fillId="19" borderId="65" xfId="0" applyNumberFormat="1" applyFont="1" applyFill="1" applyBorder="1" applyAlignment="1">
      <alignment horizontal="right" vertical="center"/>
    </xf>
    <xf numFmtId="165" fontId="42" fillId="19" borderId="65" xfId="0" applyNumberFormat="1" applyFont="1" applyFill="1" applyBorder="1" applyAlignment="1">
      <alignment horizontal="right" vertical="center"/>
    </xf>
    <xf numFmtId="0" fontId="6" fillId="20" borderId="60" xfId="0" applyFont="1" applyFill="1" applyBorder="1" applyAlignment="1">
      <alignment horizontal="left" vertical="center" indent="1"/>
    </xf>
    <xf numFmtId="0" fontId="6" fillId="21" borderId="61" xfId="0" applyFont="1" applyFill="1" applyBorder="1" applyAlignment="1">
      <alignment horizontal="left" vertical="center" indent="1"/>
    </xf>
    <xf numFmtId="0" fontId="6" fillId="20" borderId="61" xfId="0" applyFont="1" applyFill="1" applyBorder="1" applyAlignment="1">
      <alignment horizontal="left" vertical="center" indent="1"/>
    </xf>
    <xf numFmtId="0" fontId="6" fillId="6" borderId="57" xfId="0" applyFont="1" applyFill="1" applyBorder="1" applyAlignment="1">
      <alignment horizontal="left" vertical="center" indent="1"/>
    </xf>
    <xf numFmtId="0" fontId="8" fillId="6" borderId="57" xfId="0" applyFont="1" applyFill="1" applyBorder="1" applyAlignment="1">
      <alignment horizontal="left" vertical="center" wrapText="1" indent="1"/>
    </xf>
    <xf numFmtId="0" fontId="0" fillId="0" borderId="75" xfId="0" applyBorder="1" applyAlignment="1">
      <alignment vertical="center"/>
    </xf>
    <xf numFmtId="0" fontId="0" fillId="0" borderId="58" xfId="0" applyBorder="1" applyAlignment="1">
      <alignment vertical="center" wrapText="1"/>
    </xf>
    <xf numFmtId="0" fontId="0" fillId="22" borderId="58" xfId="0" applyFill="1" applyBorder="1" applyAlignment="1">
      <alignment vertical="center" wrapText="1"/>
    </xf>
    <xf numFmtId="0" fontId="0" fillId="22" borderId="59" xfId="0" applyFill="1" applyBorder="1" applyAlignment="1">
      <alignment vertical="center" wrapText="1"/>
    </xf>
    <xf numFmtId="0" fontId="6" fillId="20" borderId="51" xfId="0" applyFont="1" applyFill="1" applyBorder="1" applyAlignment="1">
      <alignment horizontal="left" vertical="center"/>
    </xf>
    <xf numFmtId="0" fontId="45" fillId="19" borderId="52" xfId="0" applyFont="1" applyFill="1" applyBorder="1" applyAlignment="1">
      <alignment vertical="center"/>
    </xf>
    <xf numFmtId="0" fontId="45" fillId="19" borderId="53" xfId="0" applyFont="1" applyFill="1" applyBorder="1" applyAlignment="1">
      <alignment vertical="center"/>
    </xf>
    <xf numFmtId="0" fontId="6" fillId="21" borderId="54" xfId="0" applyFont="1" applyFill="1" applyBorder="1" applyAlignment="1">
      <alignment horizontal="left" vertical="center"/>
    </xf>
    <xf numFmtId="0" fontId="45" fillId="19" borderId="55" xfId="0" applyFont="1" applyFill="1" applyBorder="1" applyAlignment="1">
      <alignment vertical="center"/>
    </xf>
    <xf numFmtId="0" fontId="45" fillId="19" borderId="56" xfId="0" applyFont="1" applyFill="1" applyBorder="1" applyAlignment="1">
      <alignment vertical="center"/>
    </xf>
    <xf numFmtId="0" fontId="6" fillId="20" borderId="54" xfId="0" applyFont="1" applyFill="1" applyBorder="1" applyAlignment="1">
      <alignment horizontal="left" vertical="center"/>
    </xf>
    <xf numFmtId="0" fontId="6" fillId="21" borderId="55" xfId="0" applyFont="1" applyFill="1" applyBorder="1" applyAlignment="1">
      <alignment horizontal="left" vertical="center" indent="1"/>
    </xf>
    <xf numFmtId="0" fontId="6" fillId="21" borderId="67" xfId="0" applyFont="1" applyFill="1" applyBorder="1" applyAlignment="1">
      <alignment horizontal="left" vertical="center"/>
    </xf>
    <xf numFmtId="164" fontId="42" fillId="19" borderId="68" xfId="0" applyNumberFormat="1" applyFont="1" applyFill="1" applyBorder="1" applyAlignment="1">
      <alignment horizontal="right" vertical="center"/>
    </xf>
    <xf numFmtId="0" fontId="6" fillId="20" borderId="57" xfId="0" applyFont="1" applyFill="1" applyBorder="1" applyAlignment="1">
      <alignment horizontal="left" vertical="center"/>
    </xf>
    <xf numFmtId="0" fontId="6" fillId="20" borderId="58" xfId="0" applyFont="1" applyFill="1" applyBorder="1" applyAlignment="1">
      <alignment horizontal="left" vertical="center" indent="1"/>
    </xf>
    <xf numFmtId="0" fontId="6" fillId="20" borderId="59" xfId="0" applyFont="1" applyFill="1" applyBorder="1" applyAlignment="1">
      <alignment horizontal="left" vertical="center"/>
    </xf>
    <xf numFmtId="0" fontId="46" fillId="19" borderId="57" xfId="0" applyFont="1" applyFill="1" applyBorder="1" applyAlignment="1">
      <alignment horizontal="right" vertical="center"/>
    </xf>
    <xf numFmtId="0" fontId="45" fillId="19" borderId="58" xfId="0" applyFont="1" applyFill="1" applyBorder="1" applyAlignment="1">
      <alignment vertical="center"/>
    </xf>
    <xf numFmtId="0" fontId="45" fillId="19" borderId="59" xfId="0" applyFont="1" applyFill="1" applyBorder="1" applyAlignment="1">
      <alignment vertical="center"/>
    </xf>
    <xf numFmtId="0" fontId="0" fillId="5" borderId="13" xfId="0" applyFill="1" applyBorder="1"/>
    <xf numFmtId="0" fontId="7" fillId="18" borderId="79" xfId="0" applyFont="1" applyFill="1" applyBorder="1" applyAlignment="1">
      <alignment horizontal="left" vertical="center" indent="1"/>
    </xf>
    <xf numFmtId="0" fontId="49" fillId="21" borderId="81" xfId="0" applyFont="1" applyFill="1" applyBorder="1" applyAlignment="1">
      <alignment horizontal="left" vertical="top" wrapText="1" indent="1"/>
    </xf>
    <xf numFmtId="0" fontId="49" fillId="19" borderId="82" xfId="0" applyFont="1" applyFill="1" applyBorder="1" applyAlignment="1">
      <alignment horizontal="left" vertical="top" indent="1"/>
    </xf>
    <xf numFmtId="0" fontId="49" fillId="21" borderId="82" xfId="0" applyFont="1" applyFill="1" applyBorder="1" applyAlignment="1">
      <alignment horizontal="left" vertical="top" wrapText="1" indent="1"/>
    </xf>
    <xf numFmtId="0" fontId="49" fillId="19" borderId="83" xfId="0" applyFont="1" applyFill="1" applyBorder="1" applyAlignment="1">
      <alignment horizontal="left" vertical="top" wrapText="1" indent="1"/>
    </xf>
    <xf numFmtId="0" fontId="49" fillId="21" borderId="84" xfId="0" applyFont="1" applyFill="1" applyBorder="1" applyAlignment="1">
      <alignment horizontal="left" vertical="top" indent="1"/>
    </xf>
    <xf numFmtId="0" fontId="8" fillId="18" borderId="79" xfId="0" applyFont="1" applyFill="1" applyBorder="1" applyAlignment="1">
      <alignment horizontal="left" vertical="top" wrapText="1" indent="1"/>
    </xf>
    <xf numFmtId="0" fontId="14" fillId="24" borderId="80" xfId="0" applyFont="1" applyFill="1" applyBorder="1" applyAlignment="1">
      <alignment horizontal="center" vertical="top" wrapText="1" indent="1"/>
    </xf>
    <xf numFmtId="0" fontId="14" fillId="19" borderId="82" xfId="0" applyFont="1" applyFill="1" applyBorder="1" applyAlignment="1">
      <alignment horizontal="center" vertical="top" indent="1"/>
    </xf>
    <xf numFmtId="0" fontId="14" fillId="24" borderId="82" xfId="0" applyFont="1" applyFill="1" applyBorder="1" applyAlignment="1">
      <alignment horizontal="center" vertical="top" wrapText="1" indent="1"/>
    </xf>
    <xf numFmtId="0" fontId="14" fillId="19" borderId="84" xfId="0" applyFont="1" applyFill="1" applyBorder="1" applyAlignment="1">
      <alignment horizontal="center" vertical="top" indent="1"/>
    </xf>
    <xf numFmtId="0" fontId="15" fillId="24" borderId="80" xfId="0" applyFont="1" applyFill="1" applyBorder="1" applyAlignment="1">
      <alignment horizontal="center" vertical="top" wrapText="1" indent="1"/>
    </xf>
    <xf numFmtId="0" fontId="15" fillId="19" borderId="82" xfId="0" applyFont="1" applyFill="1" applyBorder="1" applyAlignment="1">
      <alignment horizontal="center" vertical="top" indent="1"/>
    </xf>
    <xf numFmtId="0" fontId="15" fillId="24" borderId="82" xfId="0" applyFont="1" applyFill="1" applyBorder="1" applyAlignment="1">
      <alignment horizontal="center" vertical="top" wrapText="1" indent="1"/>
    </xf>
    <xf numFmtId="0" fontId="15" fillId="24" borderId="84" xfId="0" applyFont="1" applyFill="1" applyBorder="1" applyAlignment="1">
      <alignment horizontal="center" vertical="top" wrapText="1" indent="1"/>
    </xf>
    <xf numFmtId="0" fontId="13" fillId="18" borderId="73" xfId="0" applyFont="1" applyFill="1" applyBorder="1" applyAlignment="1">
      <alignment horizontal="left" vertical="top" wrapText="1"/>
    </xf>
    <xf numFmtId="0" fontId="16" fillId="24" borderId="80" xfId="0" applyFont="1" applyFill="1" applyBorder="1" applyAlignment="1">
      <alignment horizontal="center" vertical="top" wrapText="1" indent="1"/>
    </xf>
    <xf numFmtId="0" fontId="16" fillId="19" borderId="83" xfId="0" applyFont="1" applyFill="1" applyBorder="1" applyAlignment="1">
      <alignment horizontal="center" vertical="top" wrapText="1"/>
    </xf>
    <xf numFmtId="0" fontId="16" fillId="24" borderId="82" xfId="0" applyFont="1" applyFill="1" applyBorder="1" applyAlignment="1">
      <alignment horizontal="center" vertical="top" indent="1"/>
    </xf>
    <xf numFmtId="0" fontId="16" fillId="19" borderId="82" xfId="0" applyFont="1" applyFill="1" applyBorder="1" applyAlignment="1">
      <alignment horizontal="center" vertical="top" wrapText="1" indent="1"/>
    </xf>
    <xf numFmtId="0" fontId="16" fillId="24" borderId="83" xfId="0" applyFont="1" applyFill="1" applyBorder="1" applyAlignment="1">
      <alignment horizontal="center" vertical="top" wrapText="1"/>
    </xf>
    <xf numFmtId="0" fontId="16" fillId="19" borderId="82" xfId="0" applyFont="1" applyFill="1" applyBorder="1" applyAlignment="1">
      <alignment horizontal="center" vertical="top" indent="1"/>
    </xf>
    <xf numFmtId="0" fontId="17" fillId="24" borderId="80" xfId="0" applyFont="1" applyFill="1" applyBorder="1" applyAlignment="1">
      <alignment horizontal="center" vertical="top" wrapText="1" indent="1"/>
    </xf>
    <xf numFmtId="0" fontId="17" fillId="19" borderId="83" xfId="0" applyFont="1" applyFill="1" applyBorder="1" applyAlignment="1">
      <alignment horizontal="center" vertical="top" wrapText="1"/>
    </xf>
    <xf numFmtId="0" fontId="17" fillId="24" borderId="82" xfId="0" applyFont="1" applyFill="1" applyBorder="1" applyAlignment="1">
      <alignment horizontal="center" vertical="top" indent="1"/>
    </xf>
    <xf numFmtId="0" fontId="17" fillId="19" borderId="82" xfId="0" applyFont="1" applyFill="1" applyBorder="1" applyAlignment="1">
      <alignment horizontal="center" vertical="top" wrapText="1" indent="1"/>
    </xf>
    <xf numFmtId="0" fontId="17" fillId="24" borderId="85" xfId="0" applyFont="1" applyFill="1" applyBorder="1" applyAlignment="1">
      <alignment horizontal="center" vertical="top" wrapText="1"/>
    </xf>
    <xf numFmtId="0" fontId="0" fillId="18" borderId="8" xfId="0" applyFill="1" applyBorder="1"/>
    <xf numFmtId="0" fontId="50" fillId="21" borderId="89" xfId="0" applyFont="1" applyFill="1" applyBorder="1" applyAlignment="1">
      <alignment vertical="top" wrapText="1"/>
    </xf>
    <xf numFmtId="0" fontId="50" fillId="19" borderId="90" xfId="0" applyFont="1" applyFill="1" applyBorder="1" applyAlignment="1">
      <alignment vertical="top" wrapText="1"/>
    </xf>
    <xf numFmtId="0" fontId="50" fillId="21" borderId="90" xfId="0" applyFont="1" applyFill="1" applyBorder="1" applyAlignment="1">
      <alignment vertical="top" wrapText="1"/>
    </xf>
    <xf numFmtId="0" fontId="50" fillId="19" borderId="91" xfId="0" applyFont="1" applyFill="1" applyBorder="1" applyAlignment="1">
      <alignment vertical="top" wrapText="1"/>
    </xf>
    <xf numFmtId="0" fontId="50" fillId="21" borderId="92" xfId="0" applyFont="1" applyFill="1" applyBorder="1" applyAlignment="1">
      <alignment vertical="top" wrapText="1"/>
    </xf>
    <xf numFmtId="0" fontId="50" fillId="24" borderId="88" xfId="0" applyFont="1" applyFill="1" applyBorder="1" applyAlignment="1">
      <alignment vertical="top" wrapText="1"/>
    </xf>
    <xf numFmtId="0" fontId="50" fillId="24" borderId="90" xfId="0" applyFont="1" applyFill="1" applyBorder="1" applyAlignment="1">
      <alignment vertical="top" wrapText="1"/>
    </xf>
    <xf numFmtId="0" fontId="50" fillId="19" borderId="92" xfId="0" applyFont="1" applyFill="1" applyBorder="1" applyAlignment="1">
      <alignment vertical="top" wrapText="1"/>
    </xf>
    <xf numFmtId="0" fontId="50" fillId="24" borderId="92" xfId="0" applyFont="1" applyFill="1" applyBorder="1" applyAlignment="1">
      <alignment vertical="top" wrapText="1"/>
    </xf>
    <xf numFmtId="0" fontId="13" fillId="18" borderId="8" xfId="0" applyFont="1" applyFill="1" applyBorder="1" applyAlignment="1">
      <alignment horizontal="left" vertical="top" wrapText="1"/>
    </xf>
    <xf numFmtId="0" fontId="50" fillId="24" borderId="91" xfId="0" applyFont="1" applyFill="1" applyBorder="1" applyAlignment="1">
      <alignment vertical="top" wrapText="1"/>
    </xf>
    <xf numFmtId="0" fontId="50" fillId="24" borderId="93" xfId="0" applyFont="1" applyFill="1" applyBorder="1" applyAlignment="1">
      <alignment vertical="top" wrapText="1"/>
    </xf>
    <xf numFmtId="0" fontId="8" fillId="25" borderId="0" xfId="0" applyFont="1" applyFill="1" applyAlignment="1">
      <alignment vertical="top" wrapText="1"/>
    </xf>
    <xf numFmtId="0" fontId="0" fillId="26" borderId="0" xfId="0" applyFill="1"/>
    <xf numFmtId="0" fontId="0" fillId="22" borderId="0" xfId="0" applyFill="1"/>
    <xf numFmtId="0" fontId="0" fillId="22" borderId="8" xfId="0" applyFill="1" applyBorder="1"/>
    <xf numFmtId="0" fontId="0" fillId="22" borderId="27" xfId="0" applyFill="1" applyBorder="1"/>
    <xf numFmtId="0" fontId="0" fillId="22" borderId="95" xfId="0" applyFill="1" applyBorder="1"/>
    <xf numFmtId="0" fontId="0" fillId="19" borderId="27" xfId="0" applyFill="1" applyBorder="1"/>
    <xf numFmtId="0" fontId="0" fillId="19" borderId="95" xfId="0" applyFill="1" applyBorder="1"/>
    <xf numFmtId="0" fontId="0" fillId="22" borderId="98" xfId="0" applyFill="1" applyBorder="1"/>
    <xf numFmtId="0" fontId="0" fillId="22" borderId="99" xfId="0" applyFill="1" applyBorder="1"/>
    <xf numFmtId="0" fontId="6" fillId="20" borderId="103" xfId="0" applyFont="1" applyFill="1" applyBorder="1" applyAlignment="1">
      <alignment horizontal="center" vertical="center"/>
    </xf>
    <xf numFmtId="0" fontId="6" fillId="20" borderId="104" xfId="0" applyFont="1" applyFill="1" applyBorder="1" applyAlignment="1">
      <alignment horizontal="center" vertical="center"/>
    </xf>
    <xf numFmtId="164" fontId="9" fillId="7" borderId="16" xfId="0" applyNumberFormat="1" applyFont="1" applyFill="1" applyBorder="1" applyAlignment="1">
      <alignment horizontal="right" vertical="center"/>
    </xf>
    <xf numFmtId="167" fontId="9" fillId="7" borderId="108" xfId="0" applyNumberFormat="1" applyFont="1" applyFill="1" applyBorder="1" applyAlignment="1">
      <alignment horizontal="right" vertical="center"/>
    </xf>
    <xf numFmtId="167" fontId="9" fillId="7" borderId="63" xfId="0" applyNumberFormat="1" applyFont="1" applyFill="1" applyBorder="1" applyAlignment="1">
      <alignment horizontal="right" vertical="center"/>
    </xf>
    <xf numFmtId="164" fontId="9" fillId="5" borderId="103" xfId="0" applyNumberFormat="1" applyFont="1" applyFill="1" applyBorder="1" applyAlignment="1">
      <alignment horizontal="right" vertical="center"/>
    </xf>
    <xf numFmtId="167" fontId="9" fillId="5" borderId="104" xfId="0" applyNumberFormat="1" applyFont="1" applyFill="1" applyBorder="1" applyAlignment="1">
      <alignment horizontal="right" vertical="center"/>
    </xf>
    <xf numFmtId="164" fontId="9" fillId="7" borderId="103" xfId="0" applyNumberFormat="1" applyFont="1" applyFill="1" applyBorder="1" applyAlignment="1">
      <alignment horizontal="right" vertical="center"/>
    </xf>
    <xf numFmtId="167" fontId="9" fillId="7" borderId="104" xfId="0" applyNumberFormat="1" applyFont="1" applyFill="1" applyBorder="1" applyAlignment="1">
      <alignment horizontal="right" vertical="center"/>
    </xf>
    <xf numFmtId="0" fontId="10" fillId="2" borderId="106" xfId="0" applyFont="1" applyFill="1" applyBorder="1" applyAlignment="1">
      <alignment horizontal="left" vertical="center" indent="1"/>
    </xf>
    <xf numFmtId="0" fontId="10" fillId="15" borderId="102" xfId="0" applyFont="1" applyFill="1" applyBorder="1" applyAlignment="1">
      <alignment horizontal="left" vertical="center" indent="1"/>
    </xf>
    <xf numFmtId="0" fontId="10" fillId="9" borderId="102" xfId="0" applyFont="1" applyFill="1" applyBorder="1" applyAlignment="1">
      <alignment horizontal="left" vertical="center" indent="1"/>
    </xf>
    <xf numFmtId="0" fontId="10" fillId="13" borderId="102" xfId="0" applyFont="1" applyFill="1" applyBorder="1" applyAlignment="1">
      <alignment horizontal="left" vertical="center" indent="1"/>
    </xf>
    <xf numFmtId="0" fontId="6" fillId="20" borderId="102" xfId="0" applyFont="1" applyFill="1" applyBorder="1" applyAlignment="1">
      <alignment horizontal="left" vertical="center" indent="1"/>
    </xf>
    <xf numFmtId="0" fontId="55" fillId="19" borderId="105" xfId="0" applyFont="1" applyFill="1" applyBorder="1" applyAlignment="1">
      <alignment horizontal="left" vertical="center"/>
    </xf>
    <xf numFmtId="0" fontId="56" fillId="22" borderId="105" xfId="0" applyFont="1" applyFill="1" applyBorder="1" applyAlignment="1">
      <alignment horizontal="left" vertical="center"/>
    </xf>
    <xf numFmtId="0" fontId="57" fillId="19" borderId="105" xfId="0" applyFont="1" applyFill="1" applyBorder="1" applyAlignment="1">
      <alignment horizontal="left" vertical="center"/>
    </xf>
    <xf numFmtId="167" fontId="9" fillId="5" borderId="103" xfId="0" applyNumberFormat="1" applyFont="1" applyFill="1" applyBorder="1" applyAlignment="1">
      <alignment horizontal="right" vertical="center"/>
    </xf>
    <xf numFmtId="167" fontId="9" fillId="7" borderId="103" xfId="0" applyNumberFormat="1" applyFont="1" applyFill="1" applyBorder="1" applyAlignment="1">
      <alignment horizontal="right" vertical="center"/>
    </xf>
    <xf numFmtId="0" fontId="0" fillId="19" borderId="111" xfId="0" applyFill="1" applyBorder="1"/>
    <xf numFmtId="0" fontId="0" fillId="19" borderId="110" xfId="0" applyFill="1" applyBorder="1"/>
    <xf numFmtId="0" fontId="0" fillId="22" borderId="111" xfId="0" applyFill="1" applyBorder="1"/>
    <xf numFmtId="0" fontId="0" fillId="22" borderId="110" xfId="0" applyFill="1" applyBorder="1"/>
    <xf numFmtId="0" fontId="37" fillId="20" borderId="96" xfId="0" applyFont="1" applyFill="1" applyBorder="1" applyAlignment="1">
      <alignment horizontal="right" vertical="center"/>
    </xf>
    <xf numFmtId="0" fontId="37" fillId="20" borderId="101" xfId="0" applyFont="1" applyFill="1" applyBorder="1" applyAlignment="1">
      <alignment horizontal="right" vertical="center"/>
    </xf>
    <xf numFmtId="0" fontId="37" fillId="20" borderId="97" xfId="0" applyFont="1" applyFill="1" applyBorder="1" applyAlignment="1">
      <alignment horizontal="right" vertical="center"/>
    </xf>
    <xf numFmtId="0" fontId="54" fillId="22" borderId="73" xfId="0" applyFont="1" applyFill="1" applyBorder="1" applyAlignment="1">
      <alignment horizontal="left" vertical="center"/>
    </xf>
    <xf numFmtId="0" fontId="9" fillId="7" borderId="94" xfId="0" applyFont="1" applyFill="1" applyBorder="1" applyAlignment="1">
      <alignment horizontal="left" vertical="center"/>
    </xf>
    <xf numFmtId="0" fontId="9" fillId="5" borderId="94" xfId="0" applyFont="1" applyFill="1" applyBorder="1" applyAlignment="1">
      <alignment horizontal="left" vertical="center"/>
    </xf>
    <xf numFmtId="0" fontId="6" fillId="4" borderId="94" xfId="0" applyFont="1" applyFill="1" applyBorder="1" applyAlignment="1">
      <alignment horizontal="center" vertical="center"/>
    </xf>
    <xf numFmtId="0" fontId="6" fillId="4" borderId="6" xfId="0" applyFont="1" applyFill="1" applyBorder="1" applyAlignment="1">
      <alignment horizontal="center" vertical="center"/>
    </xf>
    <xf numFmtId="0" fontId="6" fillId="4" borderId="109" xfId="0" applyFont="1" applyFill="1" applyBorder="1" applyAlignment="1">
      <alignment horizontal="center" vertical="center"/>
    </xf>
    <xf numFmtId="0" fontId="37" fillId="20" borderId="27" xfId="0" applyFont="1" applyFill="1" applyBorder="1" applyAlignment="1">
      <alignment horizontal="right"/>
    </xf>
    <xf numFmtId="0" fontId="37" fillId="20" borderId="95" xfId="0" applyFont="1" applyFill="1" applyBorder="1" applyAlignment="1">
      <alignment horizontal="right"/>
    </xf>
    <xf numFmtId="4" fontId="9" fillId="7" borderId="109" xfId="0" applyNumberFormat="1" applyFont="1" applyFill="1" applyBorder="1" applyAlignment="1">
      <alignment horizontal="right" vertical="center"/>
    </xf>
    <xf numFmtId="0" fontId="6" fillId="4" borderId="112" xfId="0" applyFont="1" applyFill="1" applyBorder="1" applyAlignment="1">
      <alignment horizontal="center" vertical="center"/>
    </xf>
    <xf numFmtId="0" fontId="37" fillId="20" borderId="103" xfId="0" applyFont="1" applyFill="1" applyBorder="1" applyAlignment="1">
      <alignment horizontal="right"/>
    </xf>
    <xf numFmtId="4" fontId="9" fillId="5" borderId="109" xfId="0" applyNumberFormat="1" applyFont="1" applyFill="1" applyBorder="1" applyAlignment="1">
      <alignment horizontal="right" vertical="center"/>
    </xf>
    <xf numFmtId="4" fontId="9" fillId="7" borderId="113" xfId="0" applyNumberFormat="1" applyFont="1" applyFill="1" applyBorder="1" applyAlignment="1">
      <alignment horizontal="right" vertical="center"/>
    </xf>
    <xf numFmtId="0" fontId="59" fillId="22" borderId="105" xfId="0" applyFont="1" applyFill="1" applyBorder="1" applyAlignment="1">
      <alignment horizontal="left" vertical="center"/>
    </xf>
    <xf numFmtId="4" fontId="9" fillId="5" borderId="113" xfId="0" applyNumberFormat="1" applyFont="1" applyFill="1" applyBorder="1" applyAlignment="1">
      <alignment horizontal="right" vertical="center"/>
    </xf>
    <xf numFmtId="0" fontId="59" fillId="19" borderId="105" xfId="0" applyFont="1" applyFill="1" applyBorder="1" applyAlignment="1">
      <alignment horizontal="left" vertical="center"/>
    </xf>
    <xf numFmtId="0" fontId="37" fillId="20" borderId="96" xfId="0" applyFont="1" applyFill="1" applyBorder="1"/>
    <xf numFmtId="0" fontId="37" fillId="20" borderId="97" xfId="0" applyFont="1" applyFill="1" applyBorder="1"/>
    <xf numFmtId="0" fontId="6" fillId="4" borderId="100" xfId="0" applyFont="1" applyFill="1" applyBorder="1" applyAlignment="1">
      <alignment horizontal="left" vertical="center"/>
    </xf>
    <xf numFmtId="0" fontId="6" fillId="4" borderId="104" xfId="0" applyFont="1" applyFill="1" applyBorder="1" applyAlignment="1">
      <alignment horizontal="left" vertical="center"/>
    </xf>
    <xf numFmtId="0" fontId="37" fillId="20" borderId="115" xfId="0" applyFont="1" applyFill="1" applyBorder="1" applyAlignment="1">
      <alignment horizontal="center"/>
    </xf>
    <xf numFmtId="0" fontId="37" fillId="20" borderId="103" xfId="0" applyFont="1" applyFill="1" applyBorder="1" applyAlignment="1">
      <alignment horizontal="left"/>
    </xf>
    <xf numFmtId="164" fontId="9" fillId="7" borderId="108" xfId="0" applyNumberFormat="1" applyFont="1" applyFill="1" applyBorder="1" applyAlignment="1">
      <alignment horizontal="right" vertical="center"/>
    </xf>
    <xf numFmtId="0" fontId="54" fillId="22" borderId="16" xfId="0" applyFont="1" applyFill="1" applyBorder="1" applyAlignment="1">
      <alignment horizontal="left"/>
    </xf>
    <xf numFmtId="164" fontId="9" fillId="5" borderId="104" xfId="0" applyNumberFormat="1" applyFont="1" applyFill="1" applyBorder="1" applyAlignment="1">
      <alignment horizontal="right" vertical="center"/>
    </xf>
    <xf numFmtId="0" fontId="56" fillId="19" borderId="103" xfId="0" applyFont="1" applyFill="1" applyBorder="1" applyAlignment="1">
      <alignment horizontal="left"/>
    </xf>
    <xf numFmtId="164" fontId="9" fillId="7" borderId="104" xfId="0" applyNumberFormat="1" applyFont="1" applyFill="1" applyBorder="1" applyAlignment="1">
      <alignment horizontal="right" vertical="center"/>
    </xf>
    <xf numFmtId="0" fontId="57" fillId="22" borderId="103" xfId="0" applyFont="1" applyFill="1" applyBorder="1" applyAlignment="1">
      <alignment horizontal="left"/>
    </xf>
    <xf numFmtId="0" fontId="0" fillId="28" borderId="119" xfId="0" applyFill="1" applyBorder="1" applyAlignment="1">
      <alignment vertical="top" wrapText="1"/>
    </xf>
    <xf numFmtId="0" fontId="0" fillId="28" borderId="120" xfId="0" applyFill="1" applyBorder="1" applyAlignment="1">
      <alignment vertical="top" wrapText="1"/>
    </xf>
    <xf numFmtId="0" fontId="7" fillId="14" borderId="121" xfId="0" applyFont="1" applyFill="1" applyBorder="1" applyAlignment="1">
      <alignment horizontal="left" vertical="center"/>
    </xf>
    <xf numFmtId="0" fontId="30" fillId="14" borderId="122" xfId="0" applyFont="1" applyFill="1" applyBorder="1" applyAlignment="1">
      <alignment horizontal="center" vertical="center"/>
    </xf>
    <xf numFmtId="0" fontId="31" fillId="14" borderId="122" xfId="0" applyFont="1" applyFill="1" applyBorder="1" applyAlignment="1">
      <alignment horizontal="center" vertical="center"/>
    </xf>
    <xf numFmtId="0" fontId="30" fillId="14" borderId="123" xfId="0" applyFont="1" applyFill="1" applyBorder="1" applyAlignment="1">
      <alignment horizontal="center" vertical="center"/>
    </xf>
    <xf numFmtId="0" fontId="30" fillId="14" borderId="45" xfId="0" applyFont="1" applyFill="1" applyBorder="1" applyAlignment="1">
      <alignment horizontal="center" vertical="center"/>
    </xf>
    <xf numFmtId="0" fontId="31" fillId="14" borderId="45" xfId="0" applyFont="1" applyFill="1" applyBorder="1" applyAlignment="1">
      <alignment horizontal="center" vertical="center"/>
    </xf>
    <xf numFmtId="0" fontId="30" fillId="14" borderId="46" xfId="0" applyFont="1" applyFill="1" applyBorder="1" applyAlignment="1">
      <alignment horizontal="center" vertical="center"/>
    </xf>
    <xf numFmtId="0" fontId="30" fillId="5" borderId="47" xfId="0" applyFont="1" applyFill="1" applyBorder="1" applyAlignment="1">
      <alignment horizontal="center" vertical="center"/>
    </xf>
    <xf numFmtId="0" fontId="30" fillId="28" borderId="124" xfId="0" applyFont="1" applyFill="1" applyBorder="1" applyAlignment="1">
      <alignment horizontal="center" vertical="center"/>
    </xf>
    <xf numFmtId="0" fontId="31" fillId="28" borderId="124" xfId="0" applyFont="1" applyFill="1" applyBorder="1" applyAlignment="1">
      <alignment horizontal="center" vertical="center"/>
    </xf>
    <xf numFmtId="0" fontId="30" fillId="28" borderId="125" xfId="0" applyFont="1" applyFill="1" applyBorder="1" applyAlignment="1">
      <alignment horizontal="center" vertical="center"/>
    </xf>
    <xf numFmtId="0" fontId="0" fillId="14" borderId="30" xfId="0" applyFill="1" applyBorder="1"/>
    <xf numFmtId="0" fontId="0" fillId="14" borderId="126" xfId="0" applyFill="1" applyBorder="1"/>
    <xf numFmtId="0" fontId="0" fillId="14" borderId="48" xfId="0" applyFill="1" applyBorder="1"/>
    <xf numFmtId="0" fontId="10" fillId="16" borderId="102" xfId="0" applyFont="1" applyFill="1" applyBorder="1" applyAlignment="1">
      <alignment horizontal="left" vertical="center" indent="1"/>
    </xf>
    <xf numFmtId="0" fontId="58" fillId="22" borderId="105" xfId="0" applyFont="1" applyFill="1" applyBorder="1" applyAlignment="1">
      <alignment horizontal="left" vertical="center"/>
    </xf>
    <xf numFmtId="0" fontId="0" fillId="14" borderId="11" xfId="0" applyFill="1" applyBorder="1"/>
    <xf numFmtId="0" fontId="9" fillId="5" borderId="127" xfId="0" applyFont="1" applyFill="1" applyBorder="1" applyAlignment="1">
      <alignment horizontal="left" vertical="center"/>
    </xf>
    <xf numFmtId="165" fontId="9" fillId="5" borderId="43" xfId="0" applyNumberFormat="1" applyFont="1" applyFill="1" applyBorder="1" applyAlignment="1">
      <alignment horizontal="left" vertical="center"/>
    </xf>
    <xf numFmtId="4" fontId="9" fillId="5" borderId="104" xfId="0" applyNumberFormat="1" applyFont="1" applyFill="1" applyBorder="1" applyAlignment="1">
      <alignment horizontal="right" vertical="center"/>
    </xf>
    <xf numFmtId="164" fontId="18" fillId="14" borderId="111" xfId="0" applyNumberFormat="1" applyFont="1" applyFill="1" applyBorder="1"/>
    <xf numFmtId="0" fontId="61" fillId="19" borderId="103" xfId="0" applyFont="1" applyFill="1" applyBorder="1" applyAlignment="1">
      <alignment horizontal="left"/>
    </xf>
    <xf numFmtId="0" fontId="0" fillId="14" borderId="42" xfId="0" applyFill="1" applyBorder="1"/>
    <xf numFmtId="0" fontId="29" fillId="14" borderId="118" xfId="0" applyFont="1" applyFill="1" applyBorder="1" applyAlignment="1">
      <alignment vertical="top" wrapText="1"/>
    </xf>
    <xf numFmtId="0" fontId="0" fillId="14" borderId="132" xfId="0" applyFill="1" applyBorder="1"/>
    <xf numFmtId="167" fontId="36" fillId="22" borderId="116" xfId="0" applyNumberFormat="1" applyFont="1" applyFill="1" applyBorder="1" applyAlignment="1">
      <alignment horizontal="center"/>
    </xf>
    <xf numFmtId="167" fontId="36" fillId="19" borderId="115" xfId="0" applyNumberFormat="1" applyFont="1" applyFill="1" applyBorder="1" applyAlignment="1">
      <alignment horizontal="center"/>
    </xf>
    <xf numFmtId="167" fontId="36" fillId="22" borderId="115" xfId="0" applyNumberFormat="1" applyFont="1" applyFill="1" applyBorder="1" applyAlignment="1">
      <alignment horizontal="center"/>
    </xf>
    <xf numFmtId="167" fontId="60" fillId="19" borderId="102" xfId="0" applyNumberFormat="1" applyFont="1" applyFill="1" applyBorder="1" applyAlignment="1">
      <alignment horizontal="center"/>
    </xf>
    <xf numFmtId="0" fontId="62" fillId="7" borderId="73" xfId="0" applyFont="1" applyFill="1" applyBorder="1" applyAlignment="1">
      <alignment horizontal="center" vertical="top" wrapText="1"/>
    </xf>
    <xf numFmtId="0" fontId="62" fillId="5" borderId="105" xfId="0" applyFont="1" applyFill="1" applyBorder="1" applyAlignment="1">
      <alignment horizontal="center" vertical="top" wrapText="1"/>
    </xf>
    <xf numFmtId="0" fontId="62" fillId="7" borderId="105" xfId="0" applyFont="1" applyFill="1" applyBorder="1" applyAlignment="1">
      <alignment horizontal="center" vertical="top" wrapText="1"/>
    </xf>
    <xf numFmtId="0" fontId="62" fillId="14" borderId="118" xfId="0" applyFont="1" applyFill="1" applyBorder="1" applyAlignment="1">
      <alignment horizontal="center" vertical="top"/>
    </xf>
    <xf numFmtId="0" fontId="9" fillId="7" borderId="114" xfId="0" applyFont="1" applyFill="1" applyBorder="1" applyAlignment="1">
      <alignment horizontal="left" vertical="top" wrapText="1"/>
    </xf>
    <xf numFmtId="0" fontId="9" fillId="5" borderId="107" xfId="0" applyFont="1" applyFill="1" applyBorder="1" applyAlignment="1">
      <alignment horizontal="left" vertical="top" wrapText="1"/>
    </xf>
    <xf numFmtId="0" fontId="9" fillId="7" borderId="107" xfId="0" applyFont="1" applyFill="1" applyBorder="1" applyAlignment="1">
      <alignment horizontal="left" vertical="top" wrapText="1"/>
    </xf>
    <xf numFmtId="0" fontId="18" fillId="14" borderId="103" xfId="0" applyFont="1" applyFill="1" applyBorder="1" applyAlignment="1">
      <alignment vertical="top" wrapText="1"/>
    </xf>
    <xf numFmtId="0" fontId="36" fillId="18" borderId="15" xfId="0" applyFont="1" applyFill="1" applyBorder="1" applyAlignment="1">
      <alignment horizontal="right" vertical="center"/>
    </xf>
    <xf numFmtId="0" fontId="36" fillId="18" borderId="15" xfId="0" applyFont="1" applyFill="1" applyBorder="1" applyAlignment="1">
      <alignment horizontal="left" vertical="center"/>
    </xf>
    <xf numFmtId="0" fontId="36" fillId="18" borderId="15" xfId="0" applyFont="1" applyFill="1" applyBorder="1" applyAlignment="1">
      <alignment horizontal="left" vertical="center" wrapText="1"/>
    </xf>
    <xf numFmtId="0" fontId="9" fillId="18" borderId="35" xfId="0" applyFont="1" applyFill="1" applyBorder="1" applyAlignment="1">
      <alignment vertical="center"/>
    </xf>
    <xf numFmtId="0" fontId="9" fillId="18" borderId="35" xfId="0" applyFont="1" applyFill="1" applyBorder="1" applyAlignment="1">
      <alignment vertical="center" wrapText="1"/>
    </xf>
    <xf numFmtId="0" fontId="0" fillId="18" borderId="36" xfId="0" applyFill="1" applyBorder="1"/>
    <xf numFmtId="165" fontId="35" fillId="17" borderId="133" xfId="0" applyNumberFormat="1" applyFont="1" applyFill="1" applyBorder="1" applyAlignment="1">
      <alignment horizontal="right" vertical="center"/>
    </xf>
    <xf numFmtId="0" fontId="36" fillId="6" borderId="33" xfId="0" applyFont="1" applyFill="1" applyBorder="1" applyAlignment="1">
      <alignment horizontal="left" vertical="center" wrapText="1"/>
    </xf>
    <xf numFmtId="0" fontId="48" fillId="23" borderId="134" xfId="0" applyFont="1" applyFill="1" applyBorder="1" applyAlignment="1">
      <alignment horizontal="left" vertical="center" indent="1"/>
    </xf>
    <xf numFmtId="0" fontId="48" fillId="23" borderId="135" xfId="0" applyFont="1" applyFill="1" applyBorder="1" applyAlignment="1">
      <alignment horizontal="left" vertical="center" indent="1"/>
    </xf>
    <xf numFmtId="0" fontId="48" fillId="23" borderId="136" xfId="0" applyFont="1" applyFill="1" applyBorder="1" applyAlignment="1">
      <alignment horizontal="left" vertical="center" indent="1"/>
    </xf>
    <xf numFmtId="10" fontId="35" fillId="17" borderId="133" xfId="0" applyNumberFormat="1" applyFont="1" applyFill="1" applyBorder="1" applyAlignment="1">
      <alignment horizontal="right" vertical="center"/>
    </xf>
    <xf numFmtId="0" fontId="48" fillId="23" borderId="139" xfId="0" applyFont="1" applyFill="1" applyBorder="1" applyAlignment="1">
      <alignment horizontal="left" vertical="center" indent="1"/>
    </xf>
    <xf numFmtId="0" fontId="48" fillId="23" borderId="140" xfId="0" applyFont="1" applyFill="1" applyBorder="1" applyAlignment="1">
      <alignment horizontal="left" vertical="center" indent="1"/>
    </xf>
    <xf numFmtId="0" fontId="48" fillId="23" borderId="40" xfId="0" applyFont="1" applyFill="1" applyBorder="1" applyAlignment="1">
      <alignment horizontal="left" vertical="center" indent="1"/>
    </xf>
    <xf numFmtId="0" fontId="48" fillId="23" borderId="117" xfId="0" applyFont="1" applyFill="1" applyBorder="1" applyAlignment="1">
      <alignment horizontal="left" vertical="center" indent="1"/>
    </xf>
    <xf numFmtId="0" fontId="48" fillId="23" borderId="35" xfId="0" applyFont="1" applyFill="1" applyBorder="1" applyAlignment="1">
      <alignment horizontal="left" vertical="center" indent="1"/>
    </xf>
    <xf numFmtId="0" fontId="36" fillId="22" borderId="144" xfId="0" applyFont="1" applyFill="1" applyBorder="1" applyAlignment="1">
      <alignment horizontal="center" vertical="center"/>
    </xf>
    <xf numFmtId="0" fontId="36" fillId="19" borderId="144" xfId="0" applyFont="1" applyFill="1" applyBorder="1" applyAlignment="1">
      <alignment horizontal="center" vertical="center"/>
    </xf>
    <xf numFmtId="0" fontId="36" fillId="30" borderId="144" xfId="0" applyFont="1" applyFill="1" applyBorder="1" applyAlignment="1">
      <alignment horizontal="center" vertical="center"/>
    </xf>
    <xf numFmtId="0" fontId="36" fillId="31" borderId="144" xfId="0" applyFont="1" applyFill="1" applyBorder="1" applyAlignment="1">
      <alignment horizontal="center" vertical="center"/>
    </xf>
    <xf numFmtId="0" fontId="36" fillId="19" borderId="147" xfId="0" applyFont="1" applyFill="1" applyBorder="1" applyAlignment="1">
      <alignment horizontal="center" vertical="center"/>
    </xf>
    <xf numFmtId="0" fontId="48" fillId="23" borderId="148" xfId="0" applyFont="1" applyFill="1" applyBorder="1" applyAlignment="1">
      <alignment horizontal="left" vertical="center" indent="1"/>
    </xf>
    <xf numFmtId="0" fontId="36" fillId="22" borderId="149" xfId="0" applyFont="1" applyFill="1" applyBorder="1" applyAlignment="1">
      <alignment horizontal="center" vertical="center"/>
    </xf>
    <xf numFmtId="0" fontId="6" fillId="20" borderId="151" xfId="0" applyFont="1" applyFill="1" applyBorder="1" applyAlignment="1">
      <alignment horizontal="center" vertical="center"/>
    </xf>
    <xf numFmtId="0" fontId="6" fillId="20" borderId="71" xfId="0" applyFont="1" applyFill="1" applyBorder="1" applyAlignment="1">
      <alignment horizontal="center" vertical="center"/>
    </xf>
    <xf numFmtId="0" fontId="6" fillId="20" borderId="57" xfId="0" applyFont="1" applyFill="1" applyBorder="1" applyAlignment="1">
      <alignment horizontal="center" vertical="center"/>
    </xf>
    <xf numFmtId="0" fontId="6" fillId="20" borderId="58" xfId="0" applyFont="1" applyFill="1" applyBorder="1" applyAlignment="1">
      <alignment horizontal="center" vertical="center"/>
    </xf>
    <xf numFmtId="0" fontId="6" fillId="20" borderId="152" xfId="0" applyFont="1" applyFill="1" applyBorder="1" applyAlignment="1">
      <alignment horizontal="center" vertical="center"/>
    </xf>
    <xf numFmtId="0" fontId="6" fillId="22" borderId="73" xfId="0" applyFont="1" applyFill="1" applyBorder="1" applyAlignment="1">
      <alignment horizontal="left" vertical="center" indent="1"/>
    </xf>
    <xf numFmtId="0" fontId="6" fillId="19" borderId="74" xfId="0" applyFont="1" applyFill="1" applyBorder="1" applyAlignment="1">
      <alignment horizontal="left" vertical="center" indent="1"/>
    </xf>
    <xf numFmtId="0" fontId="6" fillId="22" borderId="74" xfId="0" applyFont="1" applyFill="1" applyBorder="1" applyAlignment="1">
      <alignment horizontal="left" vertical="center" indent="1"/>
    </xf>
    <xf numFmtId="0" fontId="41" fillId="30" borderId="74" xfId="0" applyFont="1" applyFill="1" applyBorder="1" applyAlignment="1">
      <alignment horizontal="left" vertical="center" indent="1"/>
    </xf>
    <xf numFmtId="0" fontId="64" fillId="31" borderId="74" xfId="0" applyFont="1" applyFill="1" applyBorder="1" applyAlignment="1">
      <alignment horizontal="left" vertical="center" indent="1"/>
    </xf>
    <xf numFmtId="0" fontId="6" fillId="19" borderId="141" xfId="0" applyFont="1" applyFill="1" applyBorder="1" applyAlignment="1">
      <alignment horizontal="left" vertical="center" indent="1"/>
    </xf>
    <xf numFmtId="0" fontId="63" fillId="22" borderId="7" xfId="0" applyFont="1" applyFill="1" applyBorder="1" applyAlignment="1">
      <alignment horizontal="left" vertical="center" indent="1"/>
    </xf>
    <xf numFmtId="0" fontId="63" fillId="22" borderId="66" xfId="0" applyFont="1" applyFill="1" applyBorder="1" applyAlignment="1">
      <alignment horizontal="left" vertical="center" indent="1"/>
    </xf>
    <xf numFmtId="0" fontId="63" fillId="22" borderId="150" xfId="0" applyFont="1" applyFill="1" applyBorder="1" applyAlignment="1">
      <alignment horizontal="left" vertical="center" indent="1"/>
    </xf>
    <xf numFmtId="0" fontId="63" fillId="19" borderId="68" xfId="0" applyFont="1" applyFill="1" applyBorder="1" applyAlignment="1">
      <alignment horizontal="left" vertical="center" indent="1"/>
    </xf>
    <xf numFmtId="0" fontId="63" fillId="19" borderId="55" xfId="0" applyFont="1" applyFill="1" applyBorder="1" applyAlignment="1">
      <alignment horizontal="left" vertical="center" indent="1"/>
    </xf>
    <xf numFmtId="0" fontId="63" fillId="19" borderId="41" xfId="0" applyFont="1" applyFill="1" applyBorder="1" applyAlignment="1">
      <alignment horizontal="left" vertical="center" indent="1"/>
    </xf>
    <xf numFmtId="0" fontId="63" fillId="22" borderId="68" xfId="0" applyFont="1" applyFill="1" applyBorder="1" applyAlignment="1">
      <alignment horizontal="left" vertical="center" indent="1"/>
    </xf>
    <xf numFmtId="0" fontId="63" fillId="22" borderId="55" xfId="0" applyFont="1" applyFill="1" applyBorder="1" applyAlignment="1">
      <alignment horizontal="left" vertical="center" indent="1"/>
    </xf>
    <xf numFmtId="0" fontId="63" fillId="22" borderId="41" xfId="0" applyFont="1" applyFill="1" applyBorder="1" applyAlignment="1">
      <alignment horizontal="left" vertical="center" indent="1"/>
    </xf>
    <xf numFmtId="0" fontId="63" fillId="30" borderId="68" xfId="0" applyFont="1" applyFill="1" applyBorder="1" applyAlignment="1">
      <alignment horizontal="left" vertical="center" indent="1"/>
    </xf>
    <xf numFmtId="0" fontId="63" fillId="30" borderId="55" xfId="0" applyFont="1" applyFill="1" applyBorder="1" applyAlignment="1">
      <alignment horizontal="left" vertical="center" indent="1"/>
    </xf>
    <xf numFmtId="0" fontId="63" fillId="30" borderId="41" xfId="0" applyFont="1" applyFill="1" applyBorder="1" applyAlignment="1">
      <alignment horizontal="left" vertical="center" indent="1"/>
    </xf>
    <xf numFmtId="0" fontId="63" fillId="31" borderId="68" xfId="0" applyFont="1" applyFill="1" applyBorder="1" applyAlignment="1">
      <alignment horizontal="left" vertical="center" indent="1"/>
    </xf>
    <xf numFmtId="0" fontId="63" fillId="31" borderId="55" xfId="0" applyFont="1" applyFill="1" applyBorder="1" applyAlignment="1">
      <alignment horizontal="left" vertical="center" indent="1"/>
    </xf>
    <xf numFmtId="0" fontId="63" fillId="31" borderId="41" xfId="0" applyFont="1" applyFill="1" applyBorder="1" applyAlignment="1">
      <alignment horizontal="left" vertical="center" indent="1"/>
    </xf>
    <xf numFmtId="0" fontId="63" fillId="19" borderId="146" xfId="0" applyFont="1" applyFill="1" applyBorder="1" applyAlignment="1">
      <alignment horizontal="left" vertical="center" indent="1"/>
    </xf>
    <xf numFmtId="0" fontId="63" fillId="19" borderId="142" xfId="0" applyFont="1" applyFill="1" applyBorder="1" applyAlignment="1">
      <alignment horizontal="left" vertical="center" indent="1"/>
    </xf>
    <xf numFmtId="0" fontId="63" fillId="19" borderId="143" xfId="0" applyFont="1" applyFill="1" applyBorder="1" applyAlignment="1">
      <alignment horizontal="left" vertical="center" indent="1"/>
    </xf>
    <xf numFmtId="0" fontId="6" fillId="20" borderId="70" xfId="0" applyFont="1" applyFill="1" applyBorder="1" applyAlignment="1">
      <alignment horizontal="center" vertical="center"/>
    </xf>
    <xf numFmtId="0" fontId="0" fillId="18" borderId="153" xfId="0" applyFill="1" applyBorder="1"/>
    <xf numFmtId="0" fontId="6" fillId="6" borderId="154" xfId="0" applyFont="1" applyFill="1" applyBorder="1" applyAlignment="1">
      <alignment horizontal="left" vertical="center" indent="1"/>
    </xf>
    <xf numFmtId="0" fontId="6" fillId="5" borderId="155" xfId="0" applyFont="1" applyFill="1" applyBorder="1" applyAlignment="1">
      <alignment horizontal="left" vertical="center" indent="1"/>
    </xf>
    <xf numFmtId="0" fontId="6" fillId="6" borderId="155" xfId="0" applyFont="1" applyFill="1" applyBorder="1" applyAlignment="1">
      <alignment horizontal="left" vertical="center" indent="1"/>
    </xf>
    <xf numFmtId="0" fontId="6" fillId="18" borderId="137" xfId="0" applyFont="1" applyFill="1" applyBorder="1" applyAlignment="1">
      <alignment horizontal="left" vertical="center"/>
    </xf>
    <xf numFmtId="0" fontId="9" fillId="18" borderId="117" xfId="0" applyFont="1" applyFill="1" applyBorder="1" applyAlignment="1">
      <alignment vertical="center"/>
    </xf>
    <xf numFmtId="0" fontId="6" fillId="20" borderId="156" xfId="0" applyFont="1" applyFill="1" applyBorder="1" applyAlignment="1">
      <alignment horizontal="center" vertical="center"/>
    </xf>
    <xf numFmtId="0" fontId="0" fillId="18" borderId="158" xfId="0" applyFill="1" applyBorder="1"/>
    <xf numFmtId="0" fontId="36" fillId="6" borderId="34" xfId="0" applyFont="1" applyFill="1" applyBorder="1" applyAlignment="1">
      <alignment horizontal="left" vertical="center"/>
    </xf>
    <xf numFmtId="0" fontId="36" fillId="5" borderId="159" xfId="0" applyFont="1" applyFill="1" applyBorder="1" applyAlignment="1">
      <alignment horizontal="left" vertical="center"/>
    </xf>
    <xf numFmtId="0" fontId="36" fillId="6" borderId="159" xfId="0" applyFont="1" applyFill="1" applyBorder="1" applyAlignment="1">
      <alignment horizontal="left" vertical="center"/>
    </xf>
    <xf numFmtId="0" fontId="36" fillId="18" borderId="138" xfId="0" applyFont="1" applyFill="1" applyBorder="1" applyAlignment="1">
      <alignment horizontal="left" vertical="center"/>
    </xf>
    <xf numFmtId="0" fontId="9" fillId="18" borderId="148" xfId="0" applyFont="1" applyFill="1" applyBorder="1" applyAlignment="1">
      <alignment vertical="center"/>
    </xf>
    <xf numFmtId="0" fontId="6" fillId="20" borderId="160" xfId="0" applyFont="1" applyFill="1" applyBorder="1" applyAlignment="1">
      <alignment horizontal="center" vertical="center"/>
    </xf>
    <xf numFmtId="0" fontId="36" fillId="22" borderId="159" xfId="0" applyFont="1" applyFill="1" applyBorder="1" applyAlignment="1">
      <alignment horizontal="left" vertical="center"/>
    </xf>
    <xf numFmtId="0" fontId="36" fillId="19" borderId="159" xfId="0" applyFont="1" applyFill="1" applyBorder="1" applyAlignment="1">
      <alignment horizontal="left" vertical="center"/>
    </xf>
    <xf numFmtId="0" fontId="9" fillId="18" borderId="73" xfId="0" applyFont="1" applyFill="1" applyBorder="1" applyAlignment="1">
      <alignment vertical="center"/>
    </xf>
    <xf numFmtId="0" fontId="9" fillId="18" borderId="0" xfId="0" applyFont="1" applyFill="1" applyAlignment="1">
      <alignment vertical="center"/>
    </xf>
    <xf numFmtId="0" fontId="9" fillId="18" borderId="0" xfId="0" applyFont="1" applyFill="1" applyAlignment="1">
      <alignment vertical="center" wrapText="1"/>
    </xf>
    <xf numFmtId="0" fontId="9" fillId="18" borderId="38" xfId="0" applyFont="1" applyFill="1" applyBorder="1" applyAlignment="1">
      <alignment vertical="center"/>
    </xf>
    <xf numFmtId="0" fontId="6" fillId="6" borderId="85" xfId="0" applyFont="1" applyFill="1" applyBorder="1" applyAlignment="1">
      <alignment horizontal="left" vertical="center" indent="1"/>
    </xf>
    <xf numFmtId="3" fontId="35" fillId="17" borderId="37" xfId="0" applyNumberFormat="1" applyFont="1" applyFill="1" applyBorder="1" applyAlignment="1">
      <alignment horizontal="right" vertical="center"/>
    </xf>
    <xf numFmtId="0" fontId="36" fillId="22" borderId="1" xfId="0" applyFont="1" applyFill="1" applyBorder="1" applyAlignment="1">
      <alignment horizontal="left" vertical="center" wrapText="1"/>
    </xf>
    <xf numFmtId="0" fontId="36" fillId="22" borderId="2" xfId="0" applyFont="1" applyFill="1" applyBorder="1" applyAlignment="1">
      <alignment horizontal="left" vertical="center"/>
    </xf>
    <xf numFmtId="0" fontId="6" fillId="5" borderId="85" xfId="0" applyFont="1" applyFill="1" applyBorder="1" applyAlignment="1">
      <alignment horizontal="left" vertical="center" indent="1"/>
    </xf>
    <xf numFmtId="0" fontId="36" fillId="19" borderId="1" xfId="0" applyFont="1" applyFill="1" applyBorder="1" applyAlignment="1">
      <alignment horizontal="left" vertical="center" wrapText="1"/>
    </xf>
    <xf numFmtId="0" fontId="36" fillId="19" borderId="2" xfId="0" applyFont="1" applyFill="1" applyBorder="1" applyAlignment="1">
      <alignment horizontal="left" vertical="center"/>
    </xf>
    <xf numFmtId="0" fontId="6" fillId="6" borderId="145" xfId="0" applyFont="1" applyFill="1" applyBorder="1" applyAlignment="1">
      <alignment horizontal="left" vertical="center" indent="1"/>
    </xf>
    <xf numFmtId="3" fontId="35" fillId="17" borderId="5" xfId="0" applyNumberFormat="1" applyFont="1" applyFill="1" applyBorder="1" applyAlignment="1">
      <alignment horizontal="right" vertical="center"/>
    </xf>
    <xf numFmtId="0" fontId="36" fillId="22" borderId="3" xfId="0" applyFont="1" applyFill="1" applyBorder="1" applyAlignment="1">
      <alignment horizontal="left" vertical="center" wrapText="1"/>
    </xf>
    <xf numFmtId="0" fontId="36" fillId="22" borderId="4" xfId="0" applyFont="1" applyFill="1" applyBorder="1" applyAlignment="1">
      <alignment horizontal="left" vertical="center"/>
    </xf>
    <xf numFmtId="165" fontId="35" fillId="17" borderId="37" xfId="0" applyNumberFormat="1" applyFont="1" applyFill="1" applyBorder="1" applyAlignment="1">
      <alignment horizontal="right" vertical="center"/>
    </xf>
    <xf numFmtId="0" fontId="6" fillId="5" borderId="145" xfId="0" applyFont="1" applyFill="1" applyBorder="1" applyAlignment="1">
      <alignment horizontal="left" vertical="center" indent="1"/>
    </xf>
    <xf numFmtId="165" fontId="35" fillId="17" borderId="5" xfId="0" applyNumberFormat="1" applyFont="1" applyFill="1" applyBorder="1" applyAlignment="1">
      <alignment horizontal="right" vertical="center"/>
    </xf>
    <xf numFmtId="0" fontId="36" fillId="19" borderId="3" xfId="0" applyFont="1" applyFill="1" applyBorder="1" applyAlignment="1">
      <alignment horizontal="left" vertical="center" wrapText="1"/>
    </xf>
    <xf numFmtId="0" fontId="36" fillId="19" borderId="4" xfId="0" applyFont="1" applyFill="1" applyBorder="1" applyAlignment="1">
      <alignment horizontal="left" vertical="center"/>
    </xf>
    <xf numFmtId="0" fontId="0" fillId="18" borderId="73" xfId="0" applyFill="1" applyBorder="1" applyAlignment="1">
      <alignment vertical="center"/>
    </xf>
    <xf numFmtId="0" fontId="0" fillId="18" borderId="38" xfId="0" applyFill="1" applyBorder="1"/>
    <xf numFmtId="0" fontId="35" fillId="17" borderId="37" xfId="0" applyFont="1" applyFill="1" applyBorder="1" applyAlignment="1">
      <alignment horizontal="right" vertical="center"/>
    </xf>
    <xf numFmtId="0" fontId="35" fillId="17" borderId="5" xfId="0" applyFont="1" applyFill="1" applyBorder="1" applyAlignment="1">
      <alignment horizontal="right" vertical="center"/>
    </xf>
    <xf numFmtId="0" fontId="51" fillId="23" borderId="50" xfId="0" applyFont="1" applyFill="1" applyBorder="1" applyAlignment="1">
      <alignment horizontal="left" vertical="center" indent="1"/>
    </xf>
    <xf numFmtId="0" fontId="1" fillId="0" borderId="0" xfId="0" applyFont="1"/>
    <xf numFmtId="0" fontId="79" fillId="5" borderId="177" xfId="0" applyFont="1" applyFill="1" applyBorder="1" applyAlignment="1">
      <alignment horizontal="center" vertical="center"/>
    </xf>
    <xf numFmtId="0" fontId="79" fillId="5" borderId="176" xfId="0" applyFont="1" applyFill="1" applyBorder="1"/>
    <xf numFmtId="0" fontId="79" fillId="5" borderId="177" xfId="0" applyFont="1" applyFill="1" applyBorder="1"/>
    <xf numFmtId="0" fontId="80" fillId="5" borderId="177" xfId="0" applyFont="1" applyFill="1" applyBorder="1"/>
    <xf numFmtId="0" fontId="78" fillId="5" borderId="177" xfId="0" applyFont="1" applyFill="1" applyBorder="1"/>
    <xf numFmtId="0" fontId="78" fillId="5" borderId="184" xfId="0" applyFont="1" applyFill="1" applyBorder="1"/>
    <xf numFmtId="166" fontId="79" fillId="5" borderId="177" xfId="0" applyNumberFormat="1" applyFont="1" applyFill="1" applyBorder="1" applyAlignment="1">
      <alignment horizontal="center" vertical="center"/>
    </xf>
    <xf numFmtId="0" fontId="80" fillId="5" borderId="177" xfId="0" applyFont="1" applyFill="1" applyBorder="1" applyAlignment="1">
      <alignment horizontal="center" vertical="center"/>
    </xf>
    <xf numFmtId="172" fontId="80" fillId="5" borderId="177" xfId="0" applyNumberFormat="1" applyFont="1" applyFill="1" applyBorder="1" applyAlignment="1">
      <alignment horizontal="right" vertical="center"/>
    </xf>
    <xf numFmtId="172" fontId="79" fillId="5" borderId="177" xfId="0" applyNumberFormat="1" applyFont="1" applyFill="1" applyBorder="1" applyAlignment="1">
      <alignment horizontal="right" vertical="center"/>
    </xf>
    <xf numFmtId="0" fontId="78" fillId="2" borderId="178" xfId="0" applyFont="1" applyFill="1" applyBorder="1"/>
    <xf numFmtId="172" fontId="81" fillId="2" borderId="179" xfId="0" applyNumberFormat="1" applyFont="1" applyFill="1" applyBorder="1" applyAlignment="1">
      <alignment horizontal="right" vertical="center"/>
    </xf>
    <xf numFmtId="0" fontId="81" fillId="2" borderId="179" xfId="0" applyFont="1" applyFill="1" applyBorder="1"/>
    <xf numFmtId="0" fontId="78" fillId="2" borderId="179" xfId="0" applyFont="1" applyFill="1" applyBorder="1"/>
    <xf numFmtId="0" fontId="78" fillId="2" borderId="185" xfId="0" applyFont="1" applyFill="1" applyBorder="1"/>
    <xf numFmtId="0" fontId="69" fillId="19" borderId="0" xfId="0" applyFont="1" applyFill="1"/>
    <xf numFmtId="0" fontId="90" fillId="37" borderId="174" xfId="0" applyFont="1" applyFill="1" applyBorder="1" applyAlignment="1">
      <alignment vertical="center"/>
    </xf>
    <xf numFmtId="0" fontId="84" fillId="19" borderId="0" xfId="0" applyFont="1" applyFill="1" applyAlignment="1">
      <alignment wrapText="1"/>
    </xf>
    <xf numFmtId="0" fontId="65" fillId="32" borderId="0" xfId="0" applyFont="1" applyFill="1" applyAlignment="1">
      <alignment horizontal="left" vertical="center"/>
    </xf>
    <xf numFmtId="0" fontId="88" fillId="41" borderId="177" xfId="0" applyFont="1" applyFill="1" applyBorder="1" applyAlignment="1">
      <alignment horizontal="center" vertical="center" wrapText="1"/>
    </xf>
    <xf numFmtId="0" fontId="88" fillId="41" borderId="184" xfId="0" applyFont="1" applyFill="1" applyBorder="1" applyAlignment="1">
      <alignment horizontal="center" vertical="center" wrapText="1"/>
    </xf>
    <xf numFmtId="0" fontId="88" fillId="41" borderId="0" xfId="0" applyFont="1" applyFill="1" applyAlignment="1">
      <alignment horizontal="center" vertical="center"/>
    </xf>
    <xf numFmtId="164" fontId="65" fillId="32" borderId="179" xfId="0" applyNumberFormat="1" applyFont="1" applyFill="1" applyBorder="1" applyAlignment="1">
      <alignment horizontal="right" vertical="center"/>
    </xf>
    <xf numFmtId="167" fontId="65" fillId="32" borderId="185" xfId="0" applyNumberFormat="1" applyFont="1" applyFill="1" applyBorder="1" applyAlignment="1">
      <alignment horizontal="right" vertical="center"/>
    </xf>
    <xf numFmtId="0" fontId="65" fillId="32" borderId="0" xfId="0" applyFont="1" applyFill="1" applyAlignment="1">
      <alignment horizontal="right" vertical="center"/>
    </xf>
    <xf numFmtId="0" fontId="84" fillId="42" borderId="0" xfId="0" applyFont="1" applyFill="1" applyAlignment="1">
      <alignment wrapText="1"/>
    </xf>
    <xf numFmtId="0" fontId="48" fillId="19" borderId="7" xfId="0" applyFont="1" applyFill="1" applyBorder="1" applyAlignment="1">
      <alignment horizontal="left" vertical="center"/>
    </xf>
    <xf numFmtId="0" fontId="48" fillId="19" borderId="0" xfId="0" applyFont="1" applyFill="1" applyAlignment="1">
      <alignment horizontal="left" vertical="center"/>
    </xf>
    <xf numFmtId="0" fontId="1" fillId="19" borderId="7" xfId="0" applyFont="1" applyFill="1" applyBorder="1"/>
    <xf numFmtId="0" fontId="1" fillId="19" borderId="0" xfId="0" applyFont="1" applyFill="1"/>
    <xf numFmtId="0" fontId="88" fillId="41" borderId="177" xfId="0" applyFont="1" applyFill="1" applyBorder="1" applyAlignment="1">
      <alignment horizontal="center" vertical="center"/>
    </xf>
    <xf numFmtId="0" fontId="88" fillId="41" borderId="184" xfId="0" applyFont="1" applyFill="1" applyBorder="1" applyAlignment="1">
      <alignment horizontal="center" vertical="center"/>
    </xf>
    <xf numFmtId="0" fontId="88" fillId="41" borderId="172" xfId="0" applyFont="1" applyFill="1" applyBorder="1" applyAlignment="1">
      <alignment horizontal="center" vertical="center"/>
    </xf>
    <xf numFmtId="0" fontId="88" fillId="41" borderId="170" xfId="0" applyFont="1" applyFill="1" applyBorder="1" applyAlignment="1">
      <alignment horizontal="center" vertical="center"/>
    </xf>
    <xf numFmtId="4" fontId="65" fillId="32" borderId="179" xfId="0" applyNumberFormat="1" applyFont="1" applyFill="1" applyBorder="1" applyAlignment="1">
      <alignment horizontal="right" vertical="center"/>
    </xf>
    <xf numFmtId="164" fontId="65" fillId="32" borderId="173" xfId="0" applyNumberFormat="1" applyFont="1" applyFill="1" applyBorder="1" applyAlignment="1">
      <alignment horizontal="right" vertical="center"/>
    </xf>
    <xf numFmtId="0" fontId="65" fillId="32" borderId="171" xfId="0" applyFont="1" applyFill="1" applyBorder="1" applyAlignment="1">
      <alignment horizontal="right" vertical="center"/>
    </xf>
    <xf numFmtId="0" fontId="94" fillId="41" borderId="0" xfId="0" applyFont="1" applyFill="1" applyAlignment="1">
      <alignment horizontal="left" vertical="center"/>
    </xf>
    <xf numFmtId="0" fontId="88" fillId="51" borderId="177" xfId="0" applyFont="1" applyFill="1" applyBorder="1" applyAlignment="1">
      <alignment horizontal="right" vertical="center"/>
    </xf>
    <xf numFmtId="4" fontId="88" fillId="51" borderId="184" xfId="0" applyNumberFormat="1" applyFont="1" applyFill="1" applyBorder="1" applyAlignment="1">
      <alignment horizontal="right" vertical="center"/>
    </xf>
    <xf numFmtId="0" fontId="88" fillId="51" borderId="168" xfId="0" applyFont="1" applyFill="1" applyBorder="1" applyAlignment="1">
      <alignment horizontal="right" vertical="center"/>
    </xf>
    <xf numFmtId="0" fontId="88" fillId="51" borderId="0" xfId="0" applyFont="1" applyFill="1" applyAlignment="1">
      <alignment horizontal="right" vertical="center"/>
    </xf>
    <xf numFmtId="0" fontId="95" fillId="51" borderId="179" xfId="0" applyFont="1" applyFill="1" applyBorder="1" applyAlignment="1">
      <alignment horizontal="right" vertical="center"/>
    </xf>
    <xf numFmtId="164" fontId="95" fillId="51" borderId="179" xfId="0" applyNumberFormat="1" applyFont="1" applyFill="1" applyBorder="1" applyAlignment="1">
      <alignment horizontal="right" vertical="center"/>
    </xf>
    <xf numFmtId="4" fontId="95" fillId="51" borderId="185" xfId="0" applyNumberFormat="1" applyFont="1" applyFill="1" applyBorder="1" applyAlignment="1">
      <alignment horizontal="right" vertical="center"/>
    </xf>
    <xf numFmtId="0" fontId="95" fillId="51" borderId="5" xfId="0" applyFont="1" applyFill="1" applyBorder="1" applyAlignment="1">
      <alignment horizontal="right" vertical="center"/>
    </xf>
    <xf numFmtId="0" fontId="95" fillId="51" borderId="0" xfId="0" applyFont="1" applyFill="1" applyAlignment="1">
      <alignment horizontal="right" vertical="center"/>
    </xf>
    <xf numFmtId="0" fontId="68" fillId="19" borderId="7" xfId="0" applyFont="1" applyFill="1" applyBorder="1" applyAlignment="1">
      <alignment horizontal="left" vertical="center" wrapText="1"/>
    </xf>
    <xf numFmtId="0" fontId="65" fillId="32" borderId="0" xfId="0" applyFont="1" applyFill="1"/>
    <xf numFmtId="0" fontId="74" fillId="37" borderId="0" xfId="0" applyFont="1" applyFill="1" applyAlignment="1">
      <alignment wrapText="1"/>
    </xf>
    <xf numFmtId="164" fontId="90" fillId="33" borderId="177" xfId="0" applyNumberFormat="1" applyFont="1" applyFill="1" applyBorder="1" applyAlignment="1">
      <alignment horizontal="right" vertical="center"/>
    </xf>
    <xf numFmtId="167" fontId="90" fillId="33" borderId="184" xfId="0" applyNumberFormat="1" applyFont="1" applyFill="1" applyBorder="1" applyAlignment="1">
      <alignment horizontal="right" vertical="center"/>
    </xf>
    <xf numFmtId="0" fontId="90" fillId="33" borderId="0" xfId="0" applyFont="1" applyFill="1" applyAlignment="1">
      <alignment horizontal="right" vertical="center"/>
    </xf>
    <xf numFmtId="164" fontId="90" fillId="34" borderId="177" xfId="0" applyNumberFormat="1" applyFont="1" applyFill="1" applyBorder="1" applyAlignment="1">
      <alignment horizontal="right" vertical="center"/>
    </xf>
    <xf numFmtId="167" fontId="90" fillId="34" borderId="184" xfId="0" applyNumberFormat="1" applyFont="1" applyFill="1" applyBorder="1" applyAlignment="1">
      <alignment horizontal="right" vertical="center"/>
    </xf>
    <xf numFmtId="0" fontId="90" fillId="34" borderId="0" xfId="0" applyFont="1" applyFill="1" applyAlignment="1">
      <alignment horizontal="right" vertical="center"/>
    </xf>
    <xf numFmtId="164" fontId="90" fillId="35" borderId="177" xfId="0" applyNumberFormat="1" applyFont="1" applyFill="1" applyBorder="1" applyAlignment="1">
      <alignment horizontal="right" vertical="center"/>
    </xf>
    <xf numFmtId="167" fontId="90" fillId="35" borderId="184" xfId="0" applyNumberFormat="1" applyFont="1" applyFill="1" applyBorder="1" applyAlignment="1">
      <alignment horizontal="right" vertical="center"/>
    </xf>
    <xf numFmtId="0" fontId="90" fillId="35" borderId="0" xfId="0" applyFont="1" applyFill="1" applyAlignment="1">
      <alignment horizontal="right" vertical="center"/>
    </xf>
    <xf numFmtId="164" fontId="90" fillId="46" borderId="177" xfId="0" applyNumberFormat="1" applyFont="1" applyFill="1" applyBorder="1" applyAlignment="1">
      <alignment horizontal="right" vertical="center"/>
    </xf>
    <xf numFmtId="167" fontId="90" fillId="46" borderId="184" xfId="0" applyNumberFormat="1" applyFont="1" applyFill="1" applyBorder="1" applyAlignment="1">
      <alignment horizontal="right" vertical="center"/>
    </xf>
    <xf numFmtId="0" fontId="90" fillId="46" borderId="0" xfId="0" applyFont="1" applyFill="1" applyAlignment="1">
      <alignment horizontal="right" vertical="center"/>
    </xf>
    <xf numFmtId="164" fontId="90" fillId="36" borderId="177" xfId="0" applyNumberFormat="1" applyFont="1" applyFill="1" applyBorder="1" applyAlignment="1">
      <alignment horizontal="right" vertical="center"/>
    </xf>
    <xf numFmtId="167" fontId="90" fillId="36" borderId="184" xfId="0" applyNumberFormat="1" applyFont="1" applyFill="1" applyBorder="1" applyAlignment="1">
      <alignment horizontal="right" vertical="center"/>
    </xf>
    <xf numFmtId="0" fontId="90" fillId="36" borderId="0" xfId="0" applyFont="1" applyFill="1" applyAlignment="1">
      <alignment horizontal="right" vertical="center"/>
    </xf>
    <xf numFmtId="164" fontId="92" fillId="33" borderId="177" xfId="0" applyNumberFormat="1" applyFont="1" applyFill="1" applyBorder="1" applyAlignment="1">
      <alignment horizontal="right" vertical="center"/>
    </xf>
    <xf numFmtId="164" fontId="92" fillId="34" borderId="177" xfId="0" applyNumberFormat="1" applyFont="1" applyFill="1" applyBorder="1" applyAlignment="1">
      <alignment horizontal="right" vertical="center"/>
    </xf>
    <xf numFmtId="164" fontId="92" fillId="35" borderId="177" xfId="0" applyNumberFormat="1" applyFont="1" applyFill="1" applyBorder="1" applyAlignment="1">
      <alignment horizontal="right" vertical="center"/>
    </xf>
    <xf numFmtId="164" fontId="92" fillId="46" borderId="177" xfId="0" applyNumberFormat="1" applyFont="1" applyFill="1" applyBorder="1" applyAlignment="1">
      <alignment horizontal="right" vertical="center"/>
    </xf>
    <xf numFmtId="164" fontId="92" fillId="36" borderId="177" xfId="0" applyNumberFormat="1" applyFont="1" applyFill="1" applyBorder="1" applyAlignment="1">
      <alignment horizontal="right" vertical="center"/>
    </xf>
    <xf numFmtId="4" fontId="90" fillId="33" borderId="169" xfId="0" applyNumberFormat="1" applyFont="1" applyFill="1" applyBorder="1" applyAlignment="1">
      <alignment horizontal="right" vertical="center"/>
    </xf>
    <xf numFmtId="0" fontId="90" fillId="33" borderId="39" xfId="0" applyFont="1" applyFill="1" applyBorder="1" applyAlignment="1">
      <alignment horizontal="right" vertical="center"/>
    </xf>
    <xf numFmtId="4" fontId="90" fillId="34" borderId="169" xfId="0" applyNumberFormat="1" applyFont="1" applyFill="1" applyBorder="1" applyAlignment="1">
      <alignment horizontal="right" vertical="center"/>
    </xf>
    <xf numFmtId="0" fontId="90" fillId="34" borderId="39" xfId="0" applyFont="1" applyFill="1" applyBorder="1" applyAlignment="1">
      <alignment horizontal="right" vertical="center"/>
    </xf>
    <xf numFmtId="4" fontId="90" fillId="35" borderId="169" xfId="0" applyNumberFormat="1" applyFont="1" applyFill="1" applyBorder="1" applyAlignment="1">
      <alignment horizontal="right" vertical="center"/>
    </xf>
    <xf numFmtId="0" fontId="90" fillId="35" borderId="39" xfId="0" applyFont="1" applyFill="1" applyBorder="1" applyAlignment="1">
      <alignment horizontal="right" vertical="center"/>
    </xf>
    <xf numFmtId="4" fontId="90" fillId="46" borderId="169" xfId="0" applyNumberFormat="1" applyFont="1" applyFill="1" applyBorder="1" applyAlignment="1">
      <alignment horizontal="right" vertical="center"/>
    </xf>
    <xf numFmtId="0" fontId="90" fillId="46" borderId="39" xfId="0" applyFont="1" applyFill="1" applyBorder="1" applyAlignment="1">
      <alignment horizontal="right" vertical="center"/>
    </xf>
    <xf numFmtId="4" fontId="90" fillId="36" borderId="169" xfId="0" applyNumberFormat="1" applyFont="1" applyFill="1" applyBorder="1" applyAlignment="1">
      <alignment horizontal="right" vertical="center"/>
    </xf>
    <xf numFmtId="0" fontId="90" fillId="36" borderId="39" xfId="0" applyFont="1" applyFill="1" applyBorder="1" applyAlignment="1">
      <alignment horizontal="right" vertical="center"/>
    </xf>
    <xf numFmtId="0" fontId="90" fillId="43" borderId="177" xfId="0" applyFont="1" applyFill="1" applyBorder="1" applyAlignment="1">
      <alignment horizontal="right" vertical="center"/>
    </xf>
    <xf numFmtId="4" fontId="90" fillId="43" borderId="184" xfId="0" applyNumberFormat="1" applyFont="1" applyFill="1" applyBorder="1" applyAlignment="1">
      <alignment horizontal="right" vertical="center" wrapText="1"/>
    </xf>
    <xf numFmtId="0" fontId="90" fillId="43" borderId="37" xfId="0" applyFont="1" applyFill="1" applyBorder="1" applyAlignment="1">
      <alignment horizontal="right" vertical="center"/>
    </xf>
    <xf numFmtId="0" fontId="90" fillId="43" borderId="0" xfId="0" applyFont="1" applyFill="1" applyAlignment="1">
      <alignment horizontal="right" vertical="center"/>
    </xf>
    <xf numFmtId="0" fontId="74" fillId="37" borderId="0" xfId="0" applyFont="1" applyFill="1" applyAlignment="1">
      <alignment horizontal="left" vertical="center" wrapText="1"/>
    </xf>
    <xf numFmtId="0" fontId="74" fillId="37" borderId="0" xfId="0" applyFont="1" applyFill="1" applyAlignment="1">
      <alignment horizontal="center" vertical="center" wrapText="1"/>
    </xf>
    <xf numFmtId="0" fontId="43" fillId="18" borderId="7" xfId="0" applyFont="1" applyFill="1" applyBorder="1"/>
    <xf numFmtId="0" fontId="72" fillId="53" borderId="191" xfId="0" applyFont="1" applyFill="1" applyBorder="1" applyAlignment="1">
      <alignment horizontal="center" vertical="center"/>
    </xf>
    <xf numFmtId="0" fontId="72" fillId="53" borderId="192" xfId="0" applyFont="1" applyFill="1" applyBorder="1" applyAlignment="1">
      <alignment horizontal="center" vertical="center"/>
    </xf>
    <xf numFmtId="0" fontId="72" fillId="54" borderId="192" xfId="0" applyFont="1" applyFill="1" applyBorder="1" applyAlignment="1">
      <alignment horizontal="center" vertical="center"/>
    </xf>
    <xf numFmtId="0" fontId="72" fillId="55" borderId="192" xfId="0" applyFont="1" applyFill="1" applyBorder="1" applyAlignment="1">
      <alignment horizontal="center" vertical="center"/>
    </xf>
    <xf numFmtId="0" fontId="72" fillId="56" borderId="192" xfId="0" applyFont="1" applyFill="1" applyBorder="1" applyAlignment="1">
      <alignment horizontal="center" vertical="center"/>
    </xf>
    <xf numFmtId="0" fontId="72" fillId="57" borderId="192" xfId="0" applyFont="1" applyFill="1" applyBorder="1" applyAlignment="1">
      <alignment horizontal="center" vertical="center"/>
    </xf>
    <xf numFmtId="0" fontId="72" fillId="58" borderId="192" xfId="0" applyFont="1" applyFill="1" applyBorder="1" applyAlignment="1">
      <alignment horizontal="center" vertical="center"/>
    </xf>
    <xf numFmtId="0" fontId="72" fillId="59" borderId="192" xfId="0" applyFont="1" applyFill="1" applyBorder="1" applyAlignment="1">
      <alignment horizontal="center" vertical="center"/>
    </xf>
    <xf numFmtId="0" fontId="72" fillId="59" borderId="193" xfId="0" applyFont="1" applyFill="1" applyBorder="1" applyAlignment="1">
      <alignment horizontal="center" vertical="center"/>
    </xf>
    <xf numFmtId="0" fontId="44" fillId="19" borderId="194" xfId="0" applyFont="1" applyFill="1" applyBorder="1" applyAlignment="1">
      <alignment horizontal="left" vertical="center"/>
    </xf>
    <xf numFmtId="0" fontId="39" fillId="19" borderId="33" xfId="0" applyFont="1" applyFill="1" applyBorder="1" applyAlignment="1">
      <alignment horizontal="left" vertical="center"/>
    </xf>
    <xf numFmtId="0" fontId="39" fillId="19" borderId="161" xfId="0" applyFont="1" applyFill="1" applyBorder="1" applyAlignment="1">
      <alignment horizontal="center" vertical="center"/>
    </xf>
    <xf numFmtId="0" fontId="39" fillId="19" borderId="162" xfId="0" applyFont="1" applyFill="1" applyBorder="1" applyAlignment="1">
      <alignment horizontal="center" vertical="center"/>
    </xf>
    <xf numFmtId="0" fontId="38" fillId="19" borderId="161" xfId="0" applyFont="1" applyFill="1" applyBorder="1" applyAlignment="1">
      <alignment horizontal="center" vertical="center"/>
    </xf>
    <xf numFmtId="0" fontId="39" fillId="19" borderId="163" xfId="0" applyFont="1" applyFill="1" applyBorder="1" applyAlignment="1">
      <alignment horizontal="center" vertical="center"/>
    </xf>
    <xf numFmtId="164" fontId="39" fillId="19" borderId="33" xfId="0" applyNumberFormat="1" applyFont="1" applyFill="1" applyBorder="1" applyAlignment="1">
      <alignment horizontal="right" vertical="center"/>
    </xf>
    <xf numFmtId="173" fontId="39" fillId="19" borderId="33" xfId="0" applyNumberFormat="1" applyFont="1" applyFill="1" applyBorder="1" applyAlignment="1">
      <alignment horizontal="right" vertical="center"/>
    </xf>
    <xf numFmtId="9" fontId="39" fillId="19" borderId="33" xfId="0" applyNumberFormat="1" applyFont="1" applyFill="1" applyBorder="1" applyAlignment="1">
      <alignment horizontal="center" vertical="center"/>
    </xf>
    <xf numFmtId="173" fontId="39" fillId="19" borderId="161" xfId="0" applyNumberFormat="1" applyFont="1" applyFill="1" applyBorder="1" applyAlignment="1">
      <alignment horizontal="right" vertical="center"/>
    </xf>
    <xf numFmtId="0" fontId="39" fillId="19" borderId="164" xfId="0" applyFont="1" applyFill="1" applyBorder="1" applyAlignment="1">
      <alignment horizontal="left" vertical="center"/>
    </xf>
    <xf numFmtId="10" fontId="39" fillId="19" borderId="33" xfId="0" applyNumberFormat="1" applyFont="1" applyFill="1" applyBorder="1" applyAlignment="1">
      <alignment horizontal="right" vertical="center"/>
    </xf>
    <xf numFmtId="168" fontId="39" fillId="19" borderId="161" xfId="0" applyNumberFormat="1" applyFont="1" applyFill="1" applyBorder="1" applyAlignment="1">
      <alignment horizontal="right" vertical="center"/>
    </xf>
    <xf numFmtId="0" fontId="39" fillId="19" borderId="165" xfId="0" applyFont="1" applyFill="1" applyBorder="1" applyAlignment="1">
      <alignment horizontal="center" vertical="center"/>
    </xf>
    <xf numFmtId="168" fontId="39" fillId="19" borderId="33" xfId="0" applyNumberFormat="1" applyFont="1" applyFill="1" applyBorder="1" applyAlignment="1">
      <alignment horizontal="right" vertical="center"/>
    </xf>
    <xf numFmtId="171" fontId="39" fillId="19" borderId="161" xfId="0" applyNumberFormat="1" applyFont="1" applyFill="1" applyBorder="1" applyAlignment="1">
      <alignment horizontal="center" vertical="center"/>
    </xf>
    <xf numFmtId="171" fontId="39" fillId="19" borderId="166" xfId="0" applyNumberFormat="1" applyFont="1" applyFill="1" applyBorder="1" applyAlignment="1">
      <alignment horizontal="center" vertical="center"/>
    </xf>
    <xf numFmtId="171" fontId="39" fillId="19" borderId="33" xfId="0" applyNumberFormat="1" applyFont="1" applyFill="1" applyBorder="1" applyAlignment="1">
      <alignment horizontal="center" vertical="center"/>
    </xf>
    <xf numFmtId="0" fontId="39" fillId="19" borderId="161" xfId="0" applyFont="1" applyFill="1" applyBorder="1" applyAlignment="1">
      <alignment horizontal="left" vertical="center"/>
    </xf>
    <xf numFmtId="0" fontId="39" fillId="19" borderId="167" xfId="0" applyFont="1" applyFill="1" applyBorder="1" applyAlignment="1">
      <alignment horizontal="left" vertical="center"/>
    </xf>
    <xf numFmtId="0" fontId="67" fillId="19" borderId="8" xfId="0" applyFont="1" applyFill="1" applyBorder="1" applyAlignment="1">
      <alignment horizontal="center" vertical="center"/>
    </xf>
    <xf numFmtId="0" fontId="72" fillId="32" borderId="195" xfId="0" applyFont="1" applyFill="1" applyBorder="1" applyAlignment="1">
      <alignment horizontal="left" vertical="center" wrapText="1"/>
    </xf>
    <xf numFmtId="0" fontId="72" fillId="32" borderId="196" xfId="0" applyFont="1" applyFill="1" applyBorder="1" applyAlignment="1">
      <alignment horizontal="left" vertical="center" wrapText="1"/>
    </xf>
    <xf numFmtId="0" fontId="72" fillId="32" borderId="196" xfId="0" applyFont="1" applyFill="1" applyBorder="1" applyAlignment="1">
      <alignment horizontal="center" vertical="center" wrapText="1"/>
    </xf>
    <xf numFmtId="0" fontId="72" fillId="32" borderId="197" xfId="0" applyFont="1" applyFill="1" applyBorder="1" applyAlignment="1">
      <alignment horizontal="center" vertical="center" wrapText="1"/>
    </xf>
    <xf numFmtId="0" fontId="90" fillId="60" borderId="198" xfId="0" applyFont="1" applyFill="1" applyBorder="1" applyAlignment="1">
      <alignment horizontal="center" vertical="center"/>
    </xf>
    <xf numFmtId="0" fontId="91" fillId="60" borderId="199" xfId="0" applyFont="1" applyFill="1" applyBorder="1" applyAlignment="1">
      <alignment horizontal="left" vertical="center"/>
    </xf>
    <xf numFmtId="0" fontId="96" fillId="60" borderId="199" xfId="0" applyFont="1" applyFill="1" applyBorder="1" applyAlignment="1">
      <alignment horizontal="left" vertical="center"/>
    </xf>
    <xf numFmtId="0" fontId="90" fillId="60" borderId="199" xfId="0" applyFont="1" applyFill="1" applyBorder="1" applyAlignment="1">
      <alignment horizontal="left" vertical="center"/>
    </xf>
    <xf numFmtId="0" fontId="90" fillId="60" borderId="199" xfId="0" applyFont="1" applyFill="1" applyBorder="1" applyAlignment="1">
      <alignment horizontal="center" vertical="center"/>
    </xf>
    <xf numFmtId="164" fontId="90" fillId="60" borderId="199" xfId="0" applyNumberFormat="1" applyFont="1" applyFill="1" applyBorder="1" applyAlignment="1">
      <alignment horizontal="right" vertical="center"/>
    </xf>
    <xf numFmtId="173" fontId="90" fillId="60" borderId="199" xfId="0" applyNumberFormat="1" applyFont="1" applyFill="1" applyBorder="1" applyAlignment="1">
      <alignment horizontal="right" vertical="center"/>
    </xf>
    <xf numFmtId="9" fontId="90" fillId="60" borderId="199" xfId="0" applyNumberFormat="1" applyFont="1" applyFill="1" applyBorder="1" applyAlignment="1">
      <alignment horizontal="center" vertical="center"/>
    </xf>
    <xf numFmtId="10" fontId="90" fillId="60" borderId="199" xfId="0" applyNumberFormat="1" applyFont="1" applyFill="1" applyBorder="1" applyAlignment="1">
      <alignment horizontal="right" vertical="center"/>
    </xf>
    <xf numFmtId="168" fontId="90" fillId="60" borderId="199" xfId="0" applyNumberFormat="1" applyFont="1" applyFill="1" applyBorder="1" applyAlignment="1">
      <alignment horizontal="right" vertical="center"/>
    </xf>
    <xf numFmtId="171" fontId="90" fillId="60" borderId="199" xfId="0" applyNumberFormat="1" applyFont="1" applyFill="1" applyBorder="1" applyAlignment="1">
      <alignment horizontal="center" vertical="center"/>
    </xf>
    <xf numFmtId="0" fontId="90" fillId="60" borderId="200" xfId="0" applyFont="1" applyFill="1" applyBorder="1" applyAlignment="1">
      <alignment horizontal="center" vertical="center"/>
    </xf>
    <xf numFmtId="0" fontId="90" fillId="33" borderId="198" xfId="0" applyFont="1" applyFill="1" applyBorder="1" applyAlignment="1">
      <alignment horizontal="center" vertical="center"/>
    </xf>
    <xf numFmtId="0" fontId="91" fillId="33" borderId="199" xfId="0" applyFont="1" applyFill="1" applyBorder="1" applyAlignment="1">
      <alignment horizontal="left" vertical="center" indent="2"/>
    </xf>
    <xf numFmtId="0" fontId="90" fillId="33" borderId="199" xfId="0" applyFont="1" applyFill="1" applyBorder="1" applyAlignment="1">
      <alignment horizontal="left" vertical="center"/>
    </xf>
    <xf numFmtId="0" fontId="90" fillId="33" borderId="199" xfId="0" applyFont="1" applyFill="1" applyBorder="1" applyAlignment="1">
      <alignment horizontal="center" vertical="center"/>
    </xf>
    <xf numFmtId="164" fontId="90" fillId="33" borderId="199" xfId="0" applyNumberFormat="1" applyFont="1" applyFill="1" applyBorder="1" applyAlignment="1">
      <alignment horizontal="right" vertical="center"/>
    </xf>
    <xf numFmtId="173" fontId="90" fillId="33" borderId="199" xfId="0" applyNumberFormat="1" applyFont="1" applyFill="1" applyBorder="1" applyAlignment="1">
      <alignment horizontal="right" vertical="center"/>
    </xf>
    <xf numFmtId="9" fontId="90" fillId="33" borderId="199" xfId="0" applyNumberFormat="1" applyFont="1" applyFill="1" applyBorder="1" applyAlignment="1">
      <alignment horizontal="center" vertical="center"/>
    </xf>
    <xf numFmtId="10" fontId="90" fillId="33" borderId="199" xfId="0" applyNumberFormat="1" applyFont="1" applyFill="1" applyBorder="1" applyAlignment="1">
      <alignment horizontal="right" vertical="center"/>
    </xf>
    <xf numFmtId="168" fontId="90" fillId="33" borderId="199" xfId="0" applyNumberFormat="1" applyFont="1" applyFill="1" applyBorder="1" applyAlignment="1">
      <alignment horizontal="right" vertical="center"/>
    </xf>
    <xf numFmtId="171" fontId="90" fillId="33" borderId="199" xfId="0" applyNumberFormat="1" applyFont="1" applyFill="1" applyBorder="1" applyAlignment="1">
      <alignment horizontal="center" vertical="center"/>
    </xf>
    <xf numFmtId="0" fontId="90" fillId="33" borderId="200" xfId="0" applyFont="1" applyFill="1" applyBorder="1" applyAlignment="1">
      <alignment horizontal="center" vertical="center"/>
    </xf>
    <xf numFmtId="0" fontId="91" fillId="60" borderId="199" xfId="0" applyFont="1" applyFill="1" applyBorder="1" applyAlignment="1">
      <alignment horizontal="left" vertical="center" indent="2"/>
    </xf>
    <xf numFmtId="0" fontId="91" fillId="33" borderId="199" xfId="0" applyFont="1" applyFill="1" applyBorder="1" applyAlignment="1">
      <alignment horizontal="left" vertical="center"/>
    </xf>
    <xf numFmtId="0" fontId="96" fillId="33" borderId="199" xfId="0" applyFont="1" applyFill="1" applyBorder="1" applyAlignment="1">
      <alignment horizontal="left" vertical="center"/>
    </xf>
    <xf numFmtId="0" fontId="90" fillId="61" borderId="198" xfId="0" applyFont="1" applyFill="1" applyBorder="1" applyAlignment="1">
      <alignment horizontal="center" vertical="center"/>
    </xf>
    <xf numFmtId="0" fontId="91" fillId="61" borderId="199" xfId="0" applyFont="1" applyFill="1" applyBorder="1" applyAlignment="1">
      <alignment horizontal="left" vertical="center" indent="2"/>
    </xf>
    <xf numFmtId="0" fontId="90" fillId="61" borderId="199" xfId="0" applyFont="1" applyFill="1" applyBorder="1" applyAlignment="1">
      <alignment horizontal="left" vertical="center"/>
    </xf>
    <xf numFmtId="0" fontId="90" fillId="61" borderId="199" xfId="0" applyFont="1" applyFill="1" applyBorder="1" applyAlignment="1">
      <alignment horizontal="center" vertical="center"/>
    </xf>
    <xf numFmtId="164" fontId="90" fillId="61" borderId="199" xfId="0" applyNumberFormat="1" applyFont="1" applyFill="1" applyBorder="1" applyAlignment="1">
      <alignment horizontal="right" vertical="center"/>
    </xf>
    <xf numFmtId="173" fontId="90" fillId="61" borderId="199" xfId="0" applyNumberFormat="1" applyFont="1" applyFill="1" applyBorder="1" applyAlignment="1">
      <alignment horizontal="right" vertical="center"/>
    </xf>
    <xf numFmtId="9" fontId="90" fillId="61" borderId="199" xfId="0" applyNumberFormat="1" applyFont="1" applyFill="1" applyBorder="1" applyAlignment="1">
      <alignment horizontal="center" vertical="center"/>
    </xf>
    <xf numFmtId="10" fontId="90" fillId="61" borderId="199" xfId="0" applyNumberFormat="1" applyFont="1" applyFill="1" applyBorder="1" applyAlignment="1">
      <alignment horizontal="right" vertical="center"/>
    </xf>
    <xf numFmtId="168" fontId="90" fillId="61" borderId="199" xfId="0" applyNumberFormat="1" applyFont="1" applyFill="1" applyBorder="1" applyAlignment="1">
      <alignment horizontal="right" vertical="center"/>
    </xf>
    <xf numFmtId="171" fontId="90" fillId="61" borderId="199" xfId="0" applyNumberFormat="1" applyFont="1" applyFill="1" applyBorder="1" applyAlignment="1">
      <alignment horizontal="center" vertical="center"/>
    </xf>
    <xf numFmtId="0" fontId="90" fillId="61" borderId="200" xfId="0" applyFont="1" applyFill="1" applyBorder="1" applyAlignment="1">
      <alignment horizontal="center" vertical="center"/>
    </xf>
    <xf numFmtId="0" fontId="90" fillId="34" borderId="198" xfId="0" applyFont="1" applyFill="1" applyBorder="1" applyAlignment="1">
      <alignment horizontal="center" vertical="center"/>
    </xf>
    <xf numFmtId="0" fontId="91" fillId="34" borderId="199" xfId="0" applyFont="1" applyFill="1" applyBorder="1" applyAlignment="1">
      <alignment horizontal="left" vertical="center" indent="2"/>
    </xf>
    <xf numFmtId="0" fontId="90" fillId="34" borderId="199" xfId="0" applyFont="1" applyFill="1" applyBorder="1" applyAlignment="1">
      <alignment horizontal="left" vertical="center"/>
    </xf>
    <xf numFmtId="0" fontId="90" fillId="34" borderId="199" xfId="0" applyFont="1" applyFill="1" applyBorder="1" applyAlignment="1">
      <alignment horizontal="center" vertical="center"/>
    </xf>
    <xf numFmtId="164" fontId="90" fillId="34" borderId="199" xfId="0" applyNumberFormat="1" applyFont="1" applyFill="1" applyBorder="1" applyAlignment="1">
      <alignment horizontal="right" vertical="center"/>
    </xf>
    <xf numFmtId="173" fontId="90" fillId="34" borderId="199" xfId="0" applyNumberFormat="1" applyFont="1" applyFill="1" applyBorder="1" applyAlignment="1">
      <alignment horizontal="right" vertical="center"/>
    </xf>
    <xf numFmtId="9" fontId="90" fillId="34" borderId="199" xfId="0" applyNumberFormat="1" applyFont="1" applyFill="1" applyBorder="1" applyAlignment="1">
      <alignment horizontal="center" vertical="center"/>
    </xf>
    <xf numFmtId="10" fontId="90" fillId="34" borderId="199" xfId="0" applyNumberFormat="1" applyFont="1" applyFill="1" applyBorder="1" applyAlignment="1">
      <alignment horizontal="right" vertical="center"/>
    </xf>
    <xf numFmtId="168" fontId="90" fillId="34" borderId="199" xfId="0" applyNumberFormat="1" applyFont="1" applyFill="1" applyBorder="1" applyAlignment="1">
      <alignment horizontal="right" vertical="center"/>
    </xf>
    <xf numFmtId="171" fontId="90" fillId="34" borderId="199" xfId="0" applyNumberFormat="1" applyFont="1" applyFill="1" applyBorder="1" applyAlignment="1">
      <alignment horizontal="center" vertical="center"/>
    </xf>
    <xf numFmtId="0" fontId="90" fillId="34" borderId="200" xfId="0" applyFont="1" applyFill="1" applyBorder="1" applyAlignment="1">
      <alignment horizontal="center" vertical="center"/>
    </xf>
    <xf numFmtId="0" fontId="91" fillId="61" borderId="199" xfId="0" applyFont="1" applyFill="1" applyBorder="1" applyAlignment="1">
      <alignment horizontal="left" vertical="center"/>
    </xf>
    <xf numFmtId="0" fontId="96" fillId="61" borderId="199" xfId="0" applyFont="1" applyFill="1" applyBorder="1" applyAlignment="1">
      <alignment horizontal="left" vertical="center"/>
    </xf>
    <xf numFmtId="0" fontId="91" fillId="34" borderId="199" xfId="0" applyFont="1" applyFill="1" applyBorder="1" applyAlignment="1">
      <alignment horizontal="left" vertical="center"/>
    </xf>
    <xf numFmtId="0" fontId="96" fillId="34" borderId="199" xfId="0" applyFont="1" applyFill="1" applyBorder="1" applyAlignment="1">
      <alignment horizontal="left" vertical="center"/>
    </xf>
    <xf numFmtId="0" fontId="90" fillId="35" borderId="198" xfId="0" applyFont="1" applyFill="1" applyBorder="1" applyAlignment="1">
      <alignment horizontal="center" vertical="center"/>
    </xf>
    <xf numFmtId="0" fontId="91" fillId="35" borderId="199" xfId="0" applyFont="1" applyFill="1" applyBorder="1" applyAlignment="1">
      <alignment horizontal="left" vertical="center"/>
    </xf>
    <xf numFmtId="0" fontId="90" fillId="35" borderId="199" xfId="0" applyFont="1" applyFill="1" applyBorder="1" applyAlignment="1">
      <alignment horizontal="left" vertical="center"/>
    </xf>
    <xf numFmtId="0" fontId="90" fillId="35" borderId="199" xfId="0" applyFont="1" applyFill="1" applyBorder="1" applyAlignment="1">
      <alignment horizontal="center" vertical="center"/>
    </xf>
    <xf numFmtId="164" fontId="90" fillId="35" borderId="199" xfId="0" applyNumberFormat="1" applyFont="1" applyFill="1" applyBorder="1" applyAlignment="1">
      <alignment horizontal="right" vertical="center"/>
    </xf>
    <xf numFmtId="173" fontId="90" fillId="35" borderId="199" xfId="0" applyNumberFormat="1" applyFont="1" applyFill="1" applyBorder="1" applyAlignment="1">
      <alignment horizontal="right" vertical="center"/>
    </xf>
    <xf numFmtId="9" fontId="90" fillId="35" borderId="199" xfId="0" applyNumberFormat="1" applyFont="1" applyFill="1" applyBorder="1" applyAlignment="1">
      <alignment horizontal="center" vertical="center"/>
    </xf>
    <xf numFmtId="10" fontId="90" fillId="35" borderId="199" xfId="0" applyNumberFormat="1" applyFont="1" applyFill="1" applyBorder="1" applyAlignment="1">
      <alignment horizontal="right" vertical="center"/>
    </xf>
    <xf numFmtId="168" fontId="90" fillId="35" borderId="199" xfId="0" applyNumberFormat="1" applyFont="1" applyFill="1" applyBorder="1" applyAlignment="1">
      <alignment horizontal="right" vertical="center"/>
    </xf>
    <xf numFmtId="171" fontId="90" fillId="35" borderId="199" xfId="0" applyNumberFormat="1" applyFont="1" applyFill="1" applyBorder="1" applyAlignment="1">
      <alignment horizontal="center" vertical="center"/>
    </xf>
    <xf numFmtId="0" fontId="90" fillId="35" borderId="200" xfId="0" applyFont="1" applyFill="1" applyBorder="1" applyAlignment="1">
      <alignment horizontal="center" vertical="center"/>
    </xf>
    <xf numFmtId="0" fontId="90" fillId="62" borderId="198" xfId="0" applyFont="1" applyFill="1" applyBorder="1" applyAlignment="1">
      <alignment horizontal="center" vertical="center"/>
    </xf>
    <xf numFmtId="0" fontId="91" fillId="62" borderId="199" xfId="0" applyFont="1" applyFill="1" applyBorder="1" applyAlignment="1">
      <alignment horizontal="left" vertical="center"/>
    </xf>
    <xf numFmtId="0" fontId="96" fillId="62" borderId="199" xfId="0" applyFont="1" applyFill="1" applyBorder="1" applyAlignment="1">
      <alignment horizontal="left" vertical="center"/>
    </xf>
    <xf numFmtId="0" fontId="90" fillId="62" borderId="199" xfId="0" applyFont="1" applyFill="1" applyBorder="1" applyAlignment="1">
      <alignment horizontal="left" vertical="center"/>
    </xf>
    <xf numFmtId="0" fontId="90" fillId="62" borderId="199" xfId="0" applyFont="1" applyFill="1" applyBorder="1" applyAlignment="1">
      <alignment horizontal="center" vertical="center"/>
    </xf>
    <xf numFmtId="164" fontId="90" fillId="62" borderId="199" xfId="0" applyNumberFormat="1" applyFont="1" applyFill="1" applyBorder="1" applyAlignment="1">
      <alignment horizontal="right" vertical="center"/>
    </xf>
    <xf numFmtId="173" fontId="90" fillId="62" borderId="199" xfId="0" applyNumberFormat="1" applyFont="1" applyFill="1" applyBorder="1" applyAlignment="1">
      <alignment horizontal="right" vertical="center"/>
    </xf>
    <xf numFmtId="9" fontId="90" fillId="62" borderId="199" xfId="0" applyNumberFormat="1" applyFont="1" applyFill="1" applyBorder="1" applyAlignment="1">
      <alignment horizontal="center" vertical="center"/>
    </xf>
    <xf numFmtId="10" fontId="90" fillId="62" borderId="199" xfId="0" applyNumberFormat="1" applyFont="1" applyFill="1" applyBorder="1" applyAlignment="1">
      <alignment horizontal="right" vertical="center"/>
    </xf>
    <xf numFmtId="168" fontId="90" fillId="62" borderId="199" xfId="0" applyNumberFormat="1" applyFont="1" applyFill="1" applyBorder="1" applyAlignment="1">
      <alignment horizontal="right" vertical="center"/>
    </xf>
    <xf numFmtId="171" fontId="90" fillId="62" borderId="199" xfId="0" applyNumberFormat="1" applyFont="1" applyFill="1" applyBorder="1" applyAlignment="1">
      <alignment horizontal="center" vertical="center"/>
    </xf>
    <xf numFmtId="0" fontId="90" fillId="62" borderId="200" xfId="0" applyFont="1" applyFill="1" applyBorder="1" applyAlignment="1">
      <alignment horizontal="center" vertical="center"/>
    </xf>
    <xf numFmtId="0" fontId="91" fillId="46" borderId="199" xfId="0" applyFont="1" applyFill="1" applyBorder="1" applyAlignment="1">
      <alignment horizontal="left" vertical="center" indent="2"/>
    </xf>
    <xf numFmtId="0" fontId="91" fillId="62" borderId="199" xfId="0" applyFont="1" applyFill="1" applyBorder="1" applyAlignment="1">
      <alignment horizontal="left" vertical="center" indent="2"/>
    </xf>
    <xf numFmtId="0" fontId="90" fillId="63" borderId="198" xfId="0" applyFont="1" applyFill="1" applyBorder="1" applyAlignment="1">
      <alignment horizontal="center" vertical="center"/>
    </xf>
    <xf numFmtId="0" fontId="91" fillId="63" borderId="199" xfId="0" applyFont="1" applyFill="1" applyBorder="1" applyAlignment="1">
      <alignment horizontal="left" vertical="center" indent="2"/>
    </xf>
    <xf numFmtId="0" fontId="90" fillId="63" borderId="199" xfId="0" applyFont="1" applyFill="1" applyBorder="1" applyAlignment="1">
      <alignment horizontal="left" vertical="center"/>
    </xf>
    <xf numFmtId="0" fontId="90" fillId="63" borderId="199" xfId="0" applyFont="1" applyFill="1" applyBorder="1" applyAlignment="1">
      <alignment horizontal="center" vertical="center"/>
    </xf>
    <xf numFmtId="164" fontId="90" fillId="63" borderId="199" xfId="0" applyNumberFormat="1" applyFont="1" applyFill="1" applyBorder="1" applyAlignment="1">
      <alignment horizontal="right" vertical="center"/>
    </xf>
    <xf numFmtId="173" fontId="90" fillId="63" borderId="199" xfId="0" applyNumberFormat="1" applyFont="1" applyFill="1" applyBorder="1" applyAlignment="1">
      <alignment horizontal="right" vertical="center"/>
    </xf>
    <xf numFmtId="9" fontId="90" fillId="63" borderId="199" xfId="0" applyNumberFormat="1" applyFont="1" applyFill="1" applyBorder="1" applyAlignment="1">
      <alignment horizontal="center" vertical="center"/>
    </xf>
    <xf numFmtId="10" fontId="90" fillId="63" borderId="199" xfId="0" applyNumberFormat="1" applyFont="1" applyFill="1" applyBorder="1" applyAlignment="1">
      <alignment horizontal="right" vertical="center"/>
    </xf>
    <xf numFmtId="168" fontId="90" fillId="63" borderId="199" xfId="0" applyNumberFormat="1" applyFont="1" applyFill="1" applyBorder="1" applyAlignment="1">
      <alignment horizontal="right" vertical="center"/>
    </xf>
    <xf numFmtId="171" fontId="90" fillId="63" borderId="199" xfId="0" applyNumberFormat="1" applyFont="1" applyFill="1" applyBorder="1" applyAlignment="1">
      <alignment horizontal="center" vertical="center"/>
    </xf>
    <xf numFmtId="0" fontId="90" fillId="63" borderId="200" xfId="0" applyFont="1" applyFill="1" applyBorder="1" applyAlignment="1">
      <alignment horizontal="center" vertical="center"/>
    </xf>
    <xf numFmtId="0" fontId="91" fillId="36" borderId="199" xfId="0" applyFont="1" applyFill="1" applyBorder="1" applyAlignment="1">
      <alignment horizontal="left" vertical="center" indent="2"/>
    </xf>
    <xf numFmtId="0" fontId="91" fillId="63" borderId="199" xfId="0" applyFont="1" applyFill="1" applyBorder="1" applyAlignment="1">
      <alignment horizontal="left" vertical="center"/>
    </xf>
    <xf numFmtId="0" fontId="96" fillId="63" borderId="199" xfId="0" applyFont="1" applyFill="1" applyBorder="1" applyAlignment="1">
      <alignment horizontal="left" vertical="center"/>
    </xf>
    <xf numFmtId="0" fontId="72" fillId="32" borderId="187" xfId="0" applyFont="1" applyFill="1" applyBorder="1" applyAlignment="1">
      <alignment horizontal="left" vertical="center" indent="1"/>
    </xf>
    <xf numFmtId="0" fontId="72" fillId="32" borderId="188" xfId="0" applyFont="1" applyFill="1" applyBorder="1" applyAlignment="1">
      <alignment vertical="center"/>
    </xf>
    <xf numFmtId="0" fontId="72" fillId="32" borderId="201" xfId="0" applyFont="1" applyFill="1" applyBorder="1" applyAlignment="1">
      <alignment vertical="center"/>
    </xf>
    <xf numFmtId="0" fontId="72" fillId="32" borderId="202" xfId="0" applyFont="1" applyFill="1" applyBorder="1" applyAlignment="1">
      <alignment vertical="center"/>
    </xf>
    <xf numFmtId="169" fontId="72" fillId="32" borderId="188" xfId="0" applyNumberFormat="1" applyFont="1" applyFill="1" applyBorder="1" applyAlignment="1">
      <alignment horizontal="right" vertical="center"/>
    </xf>
    <xf numFmtId="164" fontId="72" fillId="32" borderId="188" xfId="0" applyNumberFormat="1" applyFont="1" applyFill="1" applyBorder="1" applyAlignment="1">
      <alignment horizontal="right" vertical="center"/>
    </xf>
    <xf numFmtId="169" fontId="97" fillId="32" borderId="188" xfId="0" applyNumberFormat="1" applyFont="1" applyFill="1" applyBorder="1" applyAlignment="1">
      <alignment horizontal="right" vertical="center"/>
    </xf>
    <xf numFmtId="170" fontId="72" fillId="32" borderId="188" xfId="0" applyNumberFormat="1" applyFont="1" applyFill="1" applyBorder="1" applyAlignment="1">
      <alignment horizontal="right" vertical="center"/>
    </xf>
    <xf numFmtId="0" fontId="72" fillId="32" borderId="203" xfId="0" applyFont="1" applyFill="1" applyBorder="1" applyAlignment="1">
      <alignment vertical="center"/>
    </xf>
    <xf numFmtId="0" fontId="72" fillId="32" borderId="204" xfId="0" applyFont="1" applyFill="1" applyBorder="1" applyAlignment="1">
      <alignment vertical="center"/>
    </xf>
    <xf numFmtId="0" fontId="72" fillId="32" borderId="205" xfId="0" applyFont="1" applyFill="1" applyBorder="1" applyAlignment="1">
      <alignment vertical="center"/>
    </xf>
    <xf numFmtId="0" fontId="72" fillId="32" borderId="206" xfId="0" applyFont="1" applyFill="1" applyBorder="1" applyAlignment="1">
      <alignment vertical="center"/>
    </xf>
    <xf numFmtId="0" fontId="72" fillId="32" borderId="189" xfId="0" applyFont="1" applyFill="1" applyBorder="1" applyAlignment="1">
      <alignment vertical="center"/>
    </xf>
    <xf numFmtId="0" fontId="70" fillId="37" borderId="186" xfId="0" applyFont="1" applyFill="1" applyBorder="1" applyAlignment="1">
      <alignment horizontal="left" vertical="center" indent="1"/>
    </xf>
    <xf numFmtId="0" fontId="90" fillId="37" borderId="190" xfId="0" applyFont="1" applyFill="1" applyBorder="1" applyAlignment="1">
      <alignment vertical="center"/>
    </xf>
    <xf numFmtId="0" fontId="90" fillId="37" borderId="174" xfId="0" applyFont="1" applyFill="1" applyBorder="1" applyAlignment="1">
      <alignment horizontal="center" vertical="center"/>
    </xf>
    <xf numFmtId="0" fontId="90" fillId="37" borderId="175" xfId="0" applyFont="1" applyFill="1" applyBorder="1" applyAlignment="1">
      <alignment horizontal="center" vertical="center"/>
    </xf>
    <xf numFmtId="0" fontId="90" fillId="37" borderId="207" xfId="0" applyFont="1" applyFill="1" applyBorder="1" applyAlignment="1">
      <alignment horizontal="center" vertical="center"/>
    </xf>
    <xf numFmtId="0" fontId="90" fillId="37" borderId="208" xfId="0" applyFont="1" applyFill="1" applyBorder="1" applyAlignment="1">
      <alignment horizontal="center" vertical="center"/>
    </xf>
    <xf numFmtId="169" fontId="90" fillId="37" borderId="174" xfId="0" applyNumberFormat="1" applyFont="1" applyFill="1" applyBorder="1" applyAlignment="1">
      <alignment horizontal="right" vertical="center"/>
    </xf>
    <xf numFmtId="164" fontId="98" fillId="37" borderId="174" xfId="0" applyNumberFormat="1" applyFont="1" applyFill="1" applyBorder="1" applyAlignment="1">
      <alignment horizontal="right" vertical="center"/>
    </xf>
    <xf numFmtId="170" fontId="90" fillId="37" borderId="174" xfId="0" applyNumberFormat="1" applyFont="1" applyFill="1" applyBorder="1" applyAlignment="1">
      <alignment horizontal="right" vertical="center"/>
    </xf>
    <xf numFmtId="169" fontId="90" fillId="37" borderId="175" xfId="0" applyNumberFormat="1" applyFont="1" applyFill="1" applyBorder="1" applyAlignment="1">
      <alignment horizontal="right" vertical="center"/>
    </xf>
    <xf numFmtId="0" fontId="90" fillId="37" borderId="209" xfId="0" applyFont="1" applyFill="1" applyBorder="1" applyAlignment="1">
      <alignment vertical="center"/>
    </xf>
    <xf numFmtId="0" fontId="90" fillId="37" borderId="174" xfId="0" applyFont="1" applyFill="1" applyBorder="1" applyAlignment="1">
      <alignment horizontal="right" vertical="center"/>
    </xf>
    <xf numFmtId="0" fontId="90" fillId="37" borderId="175" xfId="0" applyFont="1" applyFill="1" applyBorder="1" applyAlignment="1">
      <alignment vertical="center"/>
    </xf>
    <xf numFmtId="0" fontId="90" fillId="37" borderId="210" xfId="0" applyFont="1" applyFill="1" applyBorder="1" applyAlignment="1">
      <alignment horizontal="center" vertical="center"/>
    </xf>
    <xf numFmtId="0" fontId="90" fillId="37" borderId="211" xfId="0" applyFont="1" applyFill="1" applyBorder="1" applyAlignment="1">
      <alignment vertical="center"/>
    </xf>
    <xf numFmtId="0" fontId="90" fillId="37" borderId="212" xfId="0" applyFont="1" applyFill="1" applyBorder="1" applyAlignment="1">
      <alignment vertical="center"/>
    </xf>
    <xf numFmtId="0" fontId="90" fillId="37" borderId="181" xfId="0" applyFont="1" applyFill="1" applyBorder="1" applyAlignment="1">
      <alignment vertical="center"/>
    </xf>
    <xf numFmtId="0" fontId="71" fillId="37" borderId="213" xfId="0" applyFont="1" applyFill="1" applyBorder="1" applyAlignment="1">
      <alignment vertical="center" indent="1"/>
    </xf>
    <xf numFmtId="0" fontId="92" fillId="37" borderId="182" xfId="0" applyFont="1" applyFill="1" applyBorder="1" applyAlignment="1">
      <alignment vertical="center"/>
    </xf>
    <xf numFmtId="0" fontId="92" fillId="37" borderId="214" xfId="0" applyFont="1" applyFill="1" applyBorder="1" applyAlignment="1">
      <alignment vertical="center"/>
    </xf>
    <xf numFmtId="0" fontId="92" fillId="37" borderId="215" xfId="0" applyFont="1" applyFill="1" applyBorder="1" applyAlignment="1">
      <alignment vertical="center"/>
    </xf>
    <xf numFmtId="164" fontId="99" fillId="37" borderId="182" xfId="0" applyNumberFormat="1" applyFont="1" applyFill="1" applyBorder="1" applyAlignment="1">
      <alignment horizontal="right" vertical="center"/>
    </xf>
    <xf numFmtId="0" fontId="92" fillId="37" borderId="216" xfId="0" applyFont="1" applyFill="1" applyBorder="1" applyAlignment="1">
      <alignment vertical="center"/>
    </xf>
    <xf numFmtId="0" fontId="92" fillId="37" borderId="217" xfId="0" applyFont="1" applyFill="1" applyBorder="1" applyAlignment="1">
      <alignment vertical="center"/>
    </xf>
    <xf numFmtId="0" fontId="92" fillId="37" borderId="218" xfId="0" applyFont="1" applyFill="1" applyBorder="1" applyAlignment="1">
      <alignment vertical="center"/>
    </xf>
    <xf numFmtId="0" fontId="92" fillId="37" borderId="219" xfId="0" applyFont="1" applyFill="1" applyBorder="1" applyAlignment="1">
      <alignment vertical="center"/>
    </xf>
    <xf numFmtId="0" fontId="92" fillId="37" borderId="183" xfId="0" applyFont="1" applyFill="1" applyBorder="1" applyAlignment="1">
      <alignment vertical="center"/>
    </xf>
    <xf numFmtId="0" fontId="100" fillId="33" borderId="199" xfId="0" applyFont="1" applyFill="1" applyBorder="1" applyAlignment="1">
      <alignment horizontal="left" vertical="center" indent="2"/>
    </xf>
    <xf numFmtId="0" fontId="96" fillId="33" borderId="198" xfId="0" applyFont="1" applyFill="1" applyBorder="1" applyAlignment="1">
      <alignment horizontal="center" vertical="center"/>
    </xf>
    <xf numFmtId="0" fontId="96" fillId="33" borderId="199" xfId="0" applyFont="1" applyFill="1" applyBorder="1" applyAlignment="1">
      <alignment horizontal="center" vertical="center"/>
    </xf>
    <xf numFmtId="164" fontId="96" fillId="33" borderId="199" xfId="0" applyNumberFormat="1" applyFont="1" applyFill="1" applyBorder="1" applyAlignment="1">
      <alignment horizontal="right" vertical="center"/>
    </xf>
    <xf numFmtId="173" fontId="96" fillId="33" borderId="199" xfId="0" applyNumberFormat="1" applyFont="1" applyFill="1" applyBorder="1" applyAlignment="1">
      <alignment horizontal="right" vertical="center"/>
    </xf>
    <xf numFmtId="9" fontId="96" fillId="33" borderId="199" xfId="0" applyNumberFormat="1" applyFont="1" applyFill="1" applyBorder="1" applyAlignment="1">
      <alignment horizontal="center" vertical="center"/>
    </xf>
    <xf numFmtId="10" fontId="96" fillId="33" borderId="199" xfId="0" applyNumberFormat="1" applyFont="1" applyFill="1" applyBorder="1" applyAlignment="1">
      <alignment horizontal="right" vertical="center"/>
    </xf>
    <xf numFmtId="168" fontId="96" fillId="33" borderId="199" xfId="0" applyNumberFormat="1" applyFont="1" applyFill="1" applyBorder="1" applyAlignment="1">
      <alignment horizontal="right" vertical="center"/>
    </xf>
    <xf numFmtId="171" fontId="96" fillId="33" borderId="199" xfId="0" applyNumberFormat="1" applyFont="1" applyFill="1" applyBorder="1" applyAlignment="1">
      <alignment horizontal="center" vertical="center"/>
    </xf>
    <xf numFmtId="0" fontId="96" fillId="33" borderId="200" xfId="0" applyFont="1" applyFill="1" applyBorder="1" applyAlignment="1">
      <alignment horizontal="center" vertical="center"/>
    </xf>
    <xf numFmtId="0" fontId="100" fillId="60" borderId="199" xfId="0" applyFont="1" applyFill="1" applyBorder="1" applyAlignment="1">
      <alignment horizontal="left" vertical="center" indent="2"/>
    </xf>
    <xf numFmtId="0" fontId="96" fillId="60" borderId="198" xfId="0" applyFont="1" applyFill="1" applyBorder="1" applyAlignment="1">
      <alignment horizontal="center" vertical="center"/>
    </xf>
    <xf numFmtId="0" fontId="96" fillId="60" borderId="199" xfId="0" applyFont="1" applyFill="1" applyBorder="1" applyAlignment="1">
      <alignment horizontal="center" vertical="center"/>
    </xf>
    <xf numFmtId="164" fontId="96" fillId="60" borderId="199" xfId="0" applyNumberFormat="1" applyFont="1" applyFill="1" applyBorder="1" applyAlignment="1">
      <alignment horizontal="right" vertical="center"/>
    </xf>
    <xf numFmtId="173" fontId="96" fillId="60" borderId="199" xfId="0" applyNumberFormat="1" applyFont="1" applyFill="1" applyBorder="1" applyAlignment="1">
      <alignment horizontal="right" vertical="center"/>
    </xf>
    <xf numFmtId="9" fontId="96" fillId="60" borderId="199" xfId="0" applyNumberFormat="1" applyFont="1" applyFill="1" applyBorder="1" applyAlignment="1">
      <alignment horizontal="center" vertical="center"/>
    </xf>
    <xf numFmtId="10" fontId="96" fillId="60" borderId="199" xfId="0" applyNumberFormat="1" applyFont="1" applyFill="1" applyBorder="1" applyAlignment="1">
      <alignment horizontal="right" vertical="center"/>
    </xf>
    <xf numFmtId="168" fontId="96" fillId="60" borderId="199" xfId="0" applyNumberFormat="1" applyFont="1" applyFill="1" applyBorder="1" applyAlignment="1">
      <alignment horizontal="right" vertical="center"/>
    </xf>
    <xf numFmtId="171" fontId="96" fillId="60" borderId="199" xfId="0" applyNumberFormat="1" applyFont="1" applyFill="1" applyBorder="1" applyAlignment="1">
      <alignment horizontal="center" vertical="center"/>
    </xf>
    <xf numFmtId="0" fontId="96" fillId="60" borderId="200" xfId="0" applyFont="1" applyFill="1" applyBorder="1" applyAlignment="1">
      <alignment horizontal="center" vertical="center"/>
    </xf>
    <xf numFmtId="0" fontId="100" fillId="61" borderId="199" xfId="0" applyFont="1" applyFill="1" applyBorder="1" applyAlignment="1">
      <alignment horizontal="left" vertical="center" indent="2"/>
    </xf>
    <xf numFmtId="0" fontId="96" fillId="61" borderId="198" xfId="0" applyFont="1" applyFill="1" applyBorder="1" applyAlignment="1">
      <alignment horizontal="center" vertical="center"/>
    </xf>
    <xf numFmtId="0" fontId="96" fillId="61" borderId="199" xfId="0" applyFont="1" applyFill="1" applyBorder="1" applyAlignment="1">
      <alignment horizontal="center" vertical="center"/>
    </xf>
    <xf numFmtId="164" fontId="96" fillId="61" borderId="199" xfId="0" applyNumberFormat="1" applyFont="1" applyFill="1" applyBorder="1" applyAlignment="1">
      <alignment horizontal="right" vertical="center"/>
    </xf>
    <xf numFmtId="173" fontId="96" fillId="61" borderId="199" xfId="0" applyNumberFormat="1" applyFont="1" applyFill="1" applyBorder="1" applyAlignment="1">
      <alignment horizontal="right" vertical="center"/>
    </xf>
    <xf numFmtId="9" fontId="96" fillId="61" borderId="199" xfId="0" applyNumberFormat="1" applyFont="1" applyFill="1" applyBorder="1" applyAlignment="1">
      <alignment horizontal="center" vertical="center"/>
    </xf>
    <xf numFmtId="10" fontId="96" fillId="61" borderId="199" xfId="0" applyNumberFormat="1" applyFont="1" applyFill="1" applyBorder="1" applyAlignment="1">
      <alignment horizontal="right" vertical="center"/>
    </xf>
    <xf numFmtId="168" fontId="96" fillId="61" borderId="199" xfId="0" applyNumberFormat="1" applyFont="1" applyFill="1" applyBorder="1" applyAlignment="1">
      <alignment horizontal="right" vertical="center"/>
    </xf>
    <xf numFmtId="171" fontId="96" fillId="61" borderId="199" xfId="0" applyNumberFormat="1" applyFont="1" applyFill="1" applyBorder="1" applyAlignment="1">
      <alignment horizontal="center" vertical="center"/>
    </xf>
    <xf numFmtId="0" fontId="96" fillId="61" borderId="200" xfId="0" applyFont="1" applyFill="1" applyBorder="1" applyAlignment="1">
      <alignment horizontal="center" vertical="center"/>
    </xf>
    <xf numFmtId="0" fontId="100" fillId="34" borderId="199" xfId="0" applyFont="1" applyFill="1" applyBorder="1" applyAlignment="1">
      <alignment horizontal="left" vertical="center" indent="2"/>
    </xf>
    <xf numFmtId="0" fontId="96" fillId="34" borderId="198" xfId="0" applyFont="1" applyFill="1" applyBorder="1" applyAlignment="1">
      <alignment horizontal="center" vertical="center"/>
    </xf>
    <xf numFmtId="0" fontId="96" fillId="34" borderId="199" xfId="0" applyFont="1" applyFill="1" applyBorder="1" applyAlignment="1">
      <alignment horizontal="center" vertical="center"/>
    </xf>
    <xf numFmtId="164" fontId="96" fillId="34" borderId="199" xfId="0" applyNumberFormat="1" applyFont="1" applyFill="1" applyBorder="1" applyAlignment="1">
      <alignment horizontal="right" vertical="center"/>
    </xf>
    <xf numFmtId="173" fontId="96" fillId="34" borderId="199" xfId="0" applyNumberFormat="1" applyFont="1" applyFill="1" applyBorder="1" applyAlignment="1">
      <alignment horizontal="right" vertical="center"/>
    </xf>
    <xf numFmtId="9" fontId="96" fillId="34" borderId="199" xfId="0" applyNumberFormat="1" applyFont="1" applyFill="1" applyBorder="1" applyAlignment="1">
      <alignment horizontal="center" vertical="center"/>
    </xf>
    <xf numFmtId="10" fontId="96" fillId="34" borderId="199" xfId="0" applyNumberFormat="1" applyFont="1" applyFill="1" applyBorder="1" applyAlignment="1">
      <alignment horizontal="right" vertical="center"/>
    </xf>
    <xf numFmtId="168" fontId="96" fillId="34" borderId="199" xfId="0" applyNumberFormat="1" applyFont="1" applyFill="1" applyBorder="1" applyAlignment="1">
      <alignment horizontal="right" vertical="center"/>
    </xf>
    <xf numFmtId="171" fontId="96" fillId="34" borderId="199" xfId="0" applyNumberFormat="1" applyFont="1" applyFill="1" applyBorder="1" applyAlignment="1">
      <alignment horizontal="center" vertical="center"/>
    </xf>
    <xf numFmtId="0" fontId="96" fillId="34" borderId="200" xfId="0" applyFont="1" applyFill="1" applyBorder="1" applyAlignment="1">
      <alignment horizontal="center" vertical="center"/>
    </xf>
    <xf numFmtId="0" fontId="100" fillId="46" borderId="199" xfId="0" applyFont="1" applyFill="1" applyBorder="1" applyAlignment="1">
      <alignment horizontal="left" vertical="center" indent="2"/>
    </xf>
    <xf numFmtId="0" fontId="96" fillId="46" borderId="198" xfId="0" applyFont="1" applyFill="1" applyBorder="1" applyAlignment="1">
      <alignment horizontal="center" vertical="center"/>
    </xf>
    <xf numFmtId="0" fontId="96" fillId="46" borderId="199" xfId="0" applyFont="1" applyFill="1" applyBorder="1" applyAlignment="1">
      <alignment horizontal="left" vertical="center"/>
    </xf>
    <xf numFmtId="0" fontId="96" fillId="46" borderId="199" xfId="0" applyFont="1" applyFill="1" applyBorder="1" applyAlignment="1">
      <alignment horizontal="center" vertical="center"/>
    </xf>
    <xf numFmtId="164" fontId="96" fillId="46" borderId="199" xfId="0" applyNumberFormat="1" applyFont="1" applyFill="1" applyBorder="1" applyAlignment="1">
      <alignment horizontal="right" vertical="center"/>
    </xf>
    <xf numFmtId="173" fontId="96" fillId="46" borderId="199" xfId="0" applyNumberFormat="1" applyFont="1" applyFill="1" applyBorder="1" applyAlignment="1">
      <alignment horizontal="right" vertical="center"/>
    </xf>
    <xf numFmtId="9" fontId="96" fillId="46" borderId="199" xfId="0" applyNumberFormat="1" applyFont="1" applyFill="1" applyBorder="1" applyAlignment="1">
      <alignment horizontal="center" vertical="center"/>
    </xf>
    <xf numFmtId="10" fontId="96" fillId="46" borderId="199" xfId="0" applyNumberFormat="1" applyFont="1" applyFill="1" applyBorder="1" applyAlignment="1">
      <alignment horizontal="right" vertical="center"/>
    </xf>
    <xf numFmtId="168" fontId="96" fillId="46" borderId="199" xfId="0" applyNumberFormat="1" applyFont="1" applyFill="1" applyBorder="1" applyAlignment="1">
      <alignment horizontal="right" vertical="center"/>
    </xf>
    <xf numFmtId="171" fontId="96" fillId="46" borderId="199" xfId="0" applyNumberFormat="1" applyFont="1" applyFill="1" applyBorder="1" applyAlignment="1">
      <alignment horizontal="center" vertical="center"/>
    </xf>
    <xf numFmtId="0" fontId="96" fillId="46" borderId="200" xfId="0" applyFont="1" applyFill="1" applyBorder="1" applyAlignment="1">
      <alignment horizontal="center" vertical="center"/>
    </xf>
    <xf numFmtId="0" fontId="100" fillId="62" borderId="199" xfId="0" applyFont="1" applyFill="1" applyBorder="1" applyAlignment="1">
      <alignment horizontal="left" vertical="center" indent="2"/>
    </xf>
    <xf numFmtId="0" fontId="96" fillId="62" borderId="198" xfId="0" applyFont="1" applyFill="1" applyBorder="1" applyAlignment="1">
      <alignment horizontal="center" vertical="center"/>
    </xf>
    <xf numFmtId="0" fontId="96" fillId="62" borderId="199" xfId="0" applyFont="1" applyFill="1" applyBorder="1" applyAlignment="1">
      <alignment horizontal="center" vertical="center"/>
    </xf>
    <xf numFmtId="164" fontId="96" fillId="62" borderId="199" xfId="0" applyNumberFormat="1" applyFont="1" applyFill="1" applyBorder="1" applyAlignment="1">
      <alignment horizontal="right" vertical="center"/>
    </xf>
    <xf numFmtId="173" fontId="96" fillId="62" borderId="199" xfId="0" applyNumberFormat="1" applyFont="1" applyFill="1" applyBorder="1" applyAlignment="1">
      <alignment horizontal="right" vertical="center"/>
    </xf>
    <xf numFmtId="9" fontId="96" fillId="62" borderId="199" xfId="0" applyNumberFormat="1" applyFont="1" applyFill="1" applyBorder="1" applyAlignment="1">
      <alignment horizontal="center" vertical="center"/>
    </xf>
    <xf numFmtId="10" fontId="96" fillId="62" borderId="199" xfId="0" applyNumberFormat="1" applyFont="1" applyFill="1" applyBorder="1" applyAlignment="1">
      <alignment horizontal="right" vertical="center"/>
    </xf>
    <xf numFmtId="168" fontId="96" fillId="62" borderId="199" xfId="0" applyNumberFormat="1" applyFont="1" applyFill="1" applyBorder="1" applyAlignment="1">
      <alignment horizontal="right" vertical="center"/>
    </xf>
    <xf numFmtId="171" fontId="96" fillId="62" borderId="199" xfId="0" applyNumberFormat="1" applyFont="1" applyFill="1" applyBorder="1" applyAlignment="1">
      <alignment horizontal="center" vertical="center"/>
    </xf>
    <xf numFmtId="0" fontId="96" fillId="62" borderId="200" xfId="0" applyFont="1" applyFill="1" applyBorder="1" applyAlignment="1">
      <alignment horizontal="center" vertical="center"/>
    </xf>
    <xf numFmtId="0" fontId="100" fillId="63" borderId="199" xfId="0" applyFont="1" applyFill="1" applyBorder="1" applyAlignment="1">
      <alignment horizontal="left" vertical="center" indent="2"/>
    </xf>
    <xf numFmtId="0" fontId="96" fillId="63" borderId="198" xfId="0" applyFont="1" applyFill="1" applyBorder="1" applyAlignment="1">
      <alignment horizontal="center" vertical="center"/>
    </xf>
    <xf numFmtId="0" fontId="96" fillId="63" borderId="199" xfId="0" applyFont="1" applyFill="1" applyBorder="1" applyAlignment="1">
      <alignment horizontal="center" vertical="center"/>
    </xf>
    <xf numFmtId="164" fontId="96" fillId="63" borderId="199" xfId="0" applyNumberFormat="1" applyFont="1" applyFill="1" applyBorder="1" applyAlignment="1">
      <alignment horizontal="right" vertical="center"/>
    </xf>
    <xf numFmtId="173" fontId="96" fillId="63" borderId="199" xfId="0" applyNumberFormat="1" applyFont="1" applyFill="1" applyBorder="1" applyAlignment="1">
      <alignment horizontal="right" vertical="center"/>
    </xf>
    <xf numFmtId="9" fontId="96" fillId="63" borderId="199" xfId="0" applyNumberFormat="1" applyFont="1" applyFill="1" applyBorder="1" applyAlignment="1">
      <alignment horizontal="center" vertical="center"/>
    </xf>
    <xf numFmtId="10" fontId="96" fillId="63" borderId="199" xfId="0" applyNumberFormat="1" applyFont="1" applyFill="1" applyBorder="1" applyAlignment="1">
      <alignment horizontal="right" vertical="center"/>
    </xf>
    <xf numFmtId="168" fontId="96" fillId="63" borderId="199" xfId="0" applyNumberFormat="1" applyFont="1" applyFill="1" applyBorder="1" applyAlignment="1">
      <alignment horizontal="right" vertical="center"/>
    </xf>
    <xf numFmtId="171" fontId="96" fillId="63" borderId="199" xfId="0" applyNumberFormat="1" applyFont="1" applyFill="1" applyBorder="1" applyAlignment="1">
      <alignment horizontal="center" vertical="center"/>
    </xf>
    <xf numFmtId="0" fontId="96" fillId="63" borderId="200" xfId="0" applyFont="1" applyFill="1" applyBorder="1" applyAlignment="1">
      <alignment horizontal="center" vertical="center"/>
    </xf>
    <xf numFmtId="0" fontId="100" fillId="36" borderId="199" xfId="0" applyFont="1" applyFill="1" applyBorder="1" applyAlignment="1">
      <alignment horizontal="left" vertical="center" indent="2"/>
    </xf>
    <xf numFmtId="0" fontId="96" fillId="36" borderId="198" xfId="0" applyFont="1" applyFill="1" applyBorder="1" applyAlignment="1">
      <alignment horizontal="center" vertical="center"/>
    </xf>
    <xf numFmtId="0" fontId="96" fillId="36" borderId="199" xfId="0" applyFont="1" applyFill="1" applyBorder="1" applyAlignment="1">
      <alignment horizontal="left" vertical="center"/>
    </xf>
    <xf numFmtId="0" fontId="96" fillId="36" borderId="199" xfId="0" applyFont="1" applyFill="1" applyBorder="1" applyAlignment="1">
      <alignment horizontal="center" vertical="center"/>
    </xf>
    <xf numFmtId="164" fontId="96" fillId="36" borderId="199" xfId="0" applyNumberFormat="1" applyFont="1" applyFill="1" applyBorder="1" applyAlignment="1">
      <alignment horizontal="right" vertical="center"/>
    </xf>
    <xf numFmtId="173" fontId="96" fillId="36" borderId="199" xfId="0" applyNumberFormat="1" applyFont="1" applyFill="1" applyBorder="1" applyAlignment="1">
      <alignment horizontal="right" vertical="center"/>
    </xf>
    <xf numFmtId="9" fontId="96" fillId="36" borderId="199" xfId="0" applyNumberFormat="1" applyFont="1" applyFill="1" applyBorder="1" applyAlignment="1">
      <alignment horizontal="center" vertical="center"/>
    </xf>
    <xf numFmtId="10" fontId="96" fillId="36" borderId="199" xfId="0" applyNumberFormat="1" applyFont="1" applyFill="1" applyBorder="1" applyAlignment="1">
      <alignment horizontal="right" vertical="center"/>
    </xf>
    <xf numFmtId="168" fontId="96" fillId="36" borderId="199" xfId="0" applyNumberFormat="1" applyFont="1" applyFill="1" applyBorder="1" applyAlignment="1">
      <alignment horizontal="right" vertical="center"/>
    </xf>
    <xf numFmtId="171" fontId="96" fillId="36" borderId="199" xfId="0" applyNumberFormat="1" applyFont="1" applyFill="1" applyBorder="1" applyAlignment="1">
      <alignment horizontal="center" vertical="center"/>
    </xf>
    <xf numFmtId="0" fontId="96" fillId="36" borderId="200" xfId="0" applyFont="1" applyFill="1" applyBorder="1" applyAlignment="1">
      <alignment horizontal="center" vertical="center"/>
    </xf>
    <xf numFmtId="0" fontId="96" fillId="36" borderId="220" xfId="0" applyFont="1" applyFill="1" applyBorder="1" applyAlignment="1">
      <alignment horizontal="center" vertical="center"/>
    </xf>
    <xf numFmtId="0" fontId="91" fillId="36" borderId="221" xfId="0" applyFont="1" applyFill="1" applyBorder="1" applyAlignment="1">
      <alignment horizontal="left" vertical="center" indent="2"/>
    </xf>
    <xf numFmtId="0" fontId="100" fillId="36" borderId="221" xfId="0" applyFont="1" applyFill="1" applyBorder="1" applyAlignment="1">
      <alignment horizontal="left" vertical="center" indent="2"/>
    </xf>
    <xf numFmtId="0" fontId="96" fillId="36" borderId="221" xfId="0" applyFont="1" applyFill="1" applyBorder="1" applyAlignment="1">
      <alignment horizontal="left" vertical="center"/>
    </xf>
    <xf numFmtId="0" fontId="96" fillId="36" borderId="221" xfId="0" applyFont="1" applyFill="1" applyBorder="1" applyAlignment="1">
      <alignment horizontal="center" vertical="center"/>
    </xf>
    <xf numFmtId="164" fontId="96" fillId="36" borderId="221" xfId="0" applyNumberFormat="1" applyFont="1" applyFill="1" applyBorder="1" applyAlignment="1">
      <alignment horizontal="right" vertical="center"/>
    </xf>
    <xf numFmtId="173" fontId="96" fillId="36" borderId="221" xfId="0" applyNumberFormat="1" applyFont="1" applyFill="1" applyBorder="1" applyAlignment="1">
      <alignment horizontal="right" vertical="center"/>
    </xf>
    <xf numFmtId="9" fontId="96" fillId="36" borderId="221" xfId="0" applyNumberFormat="1" applyFont="1" applyFill="1" applyBorder="1" applyAlignment="1">
      <alignment horizontal="center" vertical="center"/>
    </xf>
    <xf numFmtId="10" fontId="96" fillId="36" borderId="221" xfId="0" applyNumberFormat="1" applyFont="1" applyFill="1" applyBorder="1" applyAlignment="1">
      <alignment horizontal="right" vertical="center"/>
    </xf>
    <xf numFmtId="168" fontId="96" fillId="36" borderId="221" xfId="0" applyNumberFormat="1" applyFont="1" applyFill="1" applyBorder="1" applyAlignment="1">
      <alignment horizontal="right" vertical="center"/>
    </xf>
    <xf numFmtId="171" fontId="96" fillId="36" borderId="221" xfId="0" applyNumberFormat="1" applyFont="1" applyFill="1" applyBorder="1" applyAlignment="1">
      <alignment horizontal="center" vertical="center"/>
    </xf>
    <xf numFmtId="0" fontId="96" fillId="36" borderId="222" xfId="0" applyFont="1" applyFill="1" applyBorder="1" applyAlignment="1">
      <alignment horizontal="center" vertical="center"/>
    </xf>
    <xf numFmtId="0" fontId="96" fillId="63" borderId="223" xfId="0" applyFont="1" applyFill="1" applyBorder="1" applyAlignment="1">
      <alignment horizontal="center" vertical="center"/>
    </xf>
    <xf numFmtId="0" fontId="91" fillId="63" borderId="224" xfId="0" applyFont="1" applyFill="1" applyBorder="1" applyAlignment="1">
      <alignment horizontal="left" vertical="center" indent="2"/>
    </xf>
    <xf numFmtId="0" fontId="100" fillId="63" borderId="224" xfId="0" applyFont="1" applyFill="1" applyBorder="1" applyAlignment="1">
      <alignment horizontal="left" vertical="center" indent="2"/>
    </xf>
    <xf numFmtId="0" fontId="96" fillId="63" borderId="224" xfId="0" applyFont="1" applyFill="1" applyBorder="1" applyAlignment="1">
      <alignment horizontal="left" vertical="center"/>
    </xf>
    <xf numFmtId="0" fontId="96" fillId="63" borderId="224" xfId="0" applyFont="1" applyFill="1" applyBorder="1" applyAlignment="1">
      <alignment horizontal="center" vertical="center"/>
    </xf>
    <xf numFmtId="164" fontId="96" fillId="63" borderId="224" xfId="0" applyNumberFormat="1" applyFont="1" applyFill="1" applyBorder="1" applyAlignment="1">
      <alignment horizontal="right" vertical="center"/>
    </xf>
    <xf numFmtId="173" fontId="96" fillId="63" borderId="224" xfId="0" applyNumberFormat="1" applyFont="1" applyFill="1" applyBorder="1" applyAlignment="1">
      <alignment horizontal="right" vertical="center"/>
    </xf>
    <xf numFmtId="9" fontId="96" fillId="63" borderId="224" xfId="0" applyNumberFormat="1" applyFont="1" applyFill="1" applyBorder="1" applyAlignment="1">
      <alignment horizontal="center" vertical="center"/>
    </xf>
    <xf numFmtId="10" fontId="96" fillId="63" borderId="224" xfId="0" applyNumberFormat="1" applyFont="1" applyFill="1" applyBorder="1" applyAlignment="1">
      <alignment horizontal="right" vertical="center"/>
    </xf>
    <xf numFmtId="168" fontId="96" fillId="63" borderId="224" xfId="0" applyNumberFormat="1" applyFont="1" applyFill="1" applyBorder="1" applyAlignment="1">
      <alignment horizontal="right" vertical="center"/>
    </xf>
    <xf numFmtId="171" fontId="96" fillId="63" borderId="224" xfId="0" applyNumberFormat="1" applyFont="1" applyFill="1" applyBorder="1" applyAlignment="1">
      <alignment horizontal="center" vertical="center"/>
    </xf>
    <xf numFmtId="0" fontId="96" fillId="63" borderId="225" xfId="0" applyFont="1" applyFill="1" applyBorder="1" applyAlignment="1">
      <alignment horizontal="center" vertical="center"/>
    </xf>
    <xf numFmtId="0" fontId="84" fillId="42" borderId="229" xfId="0" applyFont="1" applyFill="1" applyBorder="1" applyAlignment="1">
      <alignment vertical="top" wrapText="1" indent="1"/>
    </xf>
    <xf numFmtId="0" fontId="88" fillId="41" borderId="231" xfId="0" applyFont="1" applyFill="1" applyBorder="1" applyAlignment="1">
      <alignment horizontal="left" vertical="center" wrapText="1"/>
    </xf>
    <xf numFmtId="0" fontId="90" fillId="33" borderId="231" xfId="0" applyFont="1" applyFill="1" applyBorder="1" applyAlignment="1">
      <alignment horizontal="left" vertical="center"/>
    </xf>
    <xf numFmtId="0" fontId="90" fillId="34" borderId="231" xfId="0" applyFont="1" applyFill="1" applyBorder="1" applyAlignment="1">
      <alignment horizontal="left" vertical="center"/>
    </xf>
    <xf numFmtId="0" fontId="90" fillId="35" borderId="231" xfId="0" applyFont="1" applyFill="1" applyBorder="1" applyAlignment="1">
      <alignment horizontal="left" vertical="center"/>
    </xf>
    <xf numFmtId="0" fontId="90" fillId="46" borderId="231" xfId="0" applyFont="1" applyFill="1" applyBorder="1" applyAlignment="1">
      <alignment horizontal="left" vertical="center"/>
    </xf>
    <xf numFmtId="0" fontId="90" fillId="36" borderId="231" xfId="0" applyFont="1" applyFill="1" applyBorder="1" applyAlignment="1">
      <alignment horizontal="left" vertical="center"/>
    </xf>
    <xf numFmtId="0" fontId="65" fillId="32" borderId="232" xfId="0" applyFont="1" applyFill="1" applyBorder="1" applyAlignment="1">
      <alignment horizontal="left" vertical="center"/>
    </xf>
    <xf numFmtId="0" fontId="65" fillId="32" borderId="234" xfId="0" applyFont="1" applyFill="1" applyBorder="1" applyAlignment="1">
      <alignment vertical="center" indent="1"/>
    </xf>
    <xf numFmtId="0" fontId="88" fillId="41" borderId="235" xfId="0" applyFont="1" applyFill="1" applyBorder="1" applyAlignment="1">
      <alignment horizontal="center" vertical="center"/>
    </xf>
    <xf numFmtId="0" fontId="90" fillId="33" borderId="236" xfId="0" applyFont="1" applyFill="1" applyBorder="1" applyAlignment="1">
      <alignment horizontal="right" vertical="center"/>
    </xf>
    <xf numFmtId="0" fontId="90" fillId="34" borderId="236" xfId="0" applyFont="1" applyFill="1" applyBorder="1" applyAlignment="1">
      <alignment horizontal="right" vertical="center"/>
    </xf>
    <xf numFmtId="0" fontId="90" fillId="35" borderId="236" xfId="0" applyFont="1" applyFill="1" applyBorder="1" applyAlignment="1">
      <alignment horizontal="right" vertical="center"/>
    </xf>
    <xf numFmtId="0" fontId="90" fillId="46" borderId="236" xfId="0" applyFont="1" applyFill="1" applyBorder="1" applyAlignment="1">
      <alignment horizontal="right" vertical="center"/>
    </xf>
    <xf numFmtId="0" fontId="90" fillId="36" borderId="236" xfId="0" applyFont="1" applyFill="1" applyBorder="1" applyAlignment="1">
      <alignment horizontal="right" vertical="center"/>
    </xf>
    <xf numFmtId="0" fontId="65" fillId="32" borderId="237" xfId="0" applyFont="1" applyFill="1" applyBorder="1" applyAlignment="1">
      <alignment horizontal="right" vertical="center"/>
    </xf>
    <xf numFmtId="0" fontId="84" fillId="42" borderId="238" xfId="0" applyFont="1" applyFill="1" applyBorder="1" applyAlignment="1">
      <alignment vertical="top" wrapText="1" indent="1"/>
    </xf>
    <xf numFmtId="0" fontId="88" fillId="41" borderId="239" xfId="0" applyFont="1" applyFill="1" applyBorder="1" applyAlignment="1">
      <alignment horizontal="center" vertical="center"/>
    </xf>
    <xf numFmtId="4" fontId="90" fillId="33" borderId="240" xfId="0" applyNumberFormat="1" applyFont="1" applyFill="1" applyBorder="1" applyAlignment="1">
      <alignment horizontal="right" vertical="center"/>
    </xf>
    <xf numFmtId="4" fontId="90" fillId="34" borderId="240" xfId="0" applyNumberFormat="1" applyFont="1" applyFill="1" applyBorder="1" applyAlignment="1">
      <alignment horizontal="right" vertical="center"/>
    </xf>
    <xf numFmtId="4" fontId="90" fillId="35" borderId="240" xfId="0" applyNumberFormat="1" applyFont="1" applyFill="1" applyBorder="1" applyAlignment="1">
      <alignment horizontal="right" vertical="center"/>
    </xf>
    <xf numFmtId="4" fontId="90" fillId="46" borderId="240" xfId="0" applyNumberFormat="1" applyFont="1" applyFill="1" applyBorder="1" applyAlignment="1">
      <alignment horizontal="right" vertical="center"/>
    </xf>
    <xf numFmtId="4" fontId="90" fillId="36" borderId="240" xfId="0" applyNumberFormat="1" applyFont="1" applyFill="1" applyBorder="1" applyAlignment="1">
      <alignment horizontal="right" vertical="center"/>
    </xf>
    <xf numFmtId="164" fontId="65" fillId="32" borderId="241" xfId="0" applyNumberFormat="1" applyFont="1" applyFill="1" applyBorder="1" applyAlignment="1">
      <alignment horizontal="right" vertical="center"/>
    </xf>
    <xf numFmtId="0" fontId="65" fillId="32" borderId="228" xfId="0" applyFont="1" applyFill="1" applyBorder="1" applyAlignment="1">
      <alignment horizontal="left" vertical="center"/>
    </xf>
    <xf numFmtId="0" fontId="88" fillId="41" borderId="231" xfId="0" applyFont="1" applyFill="1" applyBorder="1" applyAlignment="1">
      <alignment horizontal="left" vertical="center"/>
    </xf>
    <xf numFmtId="0" fontId="65" fillId="32" borderId="234" xfId="0" applyFont="1" applyFill="1" applyBorder="1" applyAlignment="1">
      <alignment horizontal="left" vertical="center"/>
    </xf>
    <xf numFmtId="0" fontId="88" fillId="41" borderId="242" xfId="0" applyFont="1" applyFill="1" applyBorder="1" applyAlignment="1">
      <alignment horizontal="center" vertical="center"/>
    </xf>
    <xf numFmtId="0" fontId="90" fillId="33" borderId="243" xfId="0" applyFont="1" applyFill="1" applyBorder="1" applyAlignment="1">
      <alignment horizontal="right" vertical="center"/>
    </xf>
    <xf numFmtId="0" fontId="90" fillId="34" borderId="243" xfId="0" applyFont="1" applyFill="1" applyBorder="1" applyAlignment="1">
      <alignment horizontal="right" vertical="center"/>
    </xf>
    <xf numFmtId="0" fontId="90" fillId="35" borderId="243" xfId="0" applyFont="1" applyFill="1" applyBorder="1" applyAlignment="1">
      <alignment horizontal="right" vertical="center"/>
    </xf>
    <xf numFmtId="0" fontId="90" fillId="46" borderId="243" xfId="0" applyFont="1" applyFill="1" applyBorder="1" applyAlignment="1">
      <alignment horizontal="right" vertical="center"/>
    </xf>
    <xf numFmtId="0" fontId="90" fillId="36" borderId="243" xfId="0" applyFont="1" applyFill="1" applyBorder="1" applyAlignment="1">
      <alignment horizontal="right" vertical="center"/>
    </xf>
    <xf numFmtId="0" fontId="65" fillId="32" borderId="244" xfId="0" applyFont="1" applyFill="1" applyBorder="1" applyAlignment="1">
      <alignment horizontal="right" vertical="center"/>
    </xf>
    <xf numFmtId="0" fontId="94" fillId="41" borderId="228" xfId="0" applyFont="1" applyFill="1" applyBorder="1" applyAlignment="1">
      <alignment horizontal="left" vertical="center"/>
    </xf>
    <xf numFmtId="0" fontId="88" fillId="51" borderId="231" xfId="0" applyFont="1" applyFill="1" applyBorder="1" applyAlignment="1">
      <alignment horizontal="left" vertical="center"/>
    </xf>
    <xf numFmtId="0" fontId="90" fillId="43" borderId="231" xfId="0" applyFont="1" applyFill="1" applyBorder="1" applyAlignment="1">
      <alignment horizontal="left" vertical="center"/>
    </xf>
    <xf numFmtId="0" fontId="95" fillId="51" borderId="232" xfId="0" applyFont="1" applyFill="1" applyBorder="1" applyAlignment="1">
      <alignment horizontal="left" vertical="center"/>
    </xf>
    <xf numFmtId="0" fontId="94" fillId="41" borderId="234" xfId="0" applyFont="1" applyFill="1" applyBorder="1" applyAlignment="1">
      <alignment horizontal="left" vertical="center"/>
    </xf>
    <xf numFmtId="0" fontId="88" fillId="51" borderId="245" xfId="0" applyFont="1" applyFill="1" applyBorder="1" applyAlignment="1">
      <alignment horizontal="right" vertical="center"/>
    </xf>
    <xf numFmtId="0" fontId="90" fillId="43" borderId="246" xfId="0" applyFont="1" applyFill="1" applyBorder="1" applyAlignment="1">
      <alignment horizontal="right" vertical="center"/>
    </xf>
    <xf numFmtId="0" fontId="95" fillId="51" borderId="247" xfId="0" applyFont="1" applyFill="1" applyBorder="1" applyAlignment="1">
      <alignment horizontal="right" vertical="center"/>
    </xf>
    <xf numFmtId="0" fontId="90" fillId="0" borderId="0" xfId="0" applyFont="1"/>
    <xf numFmtId="0" fontId="51" fillId="32" borderId="0" xfId="0" applyFont="1" applyFill="1" applyAlignment="1">
      <alignment horizontal="center"/>
    </xf>
    <xf numFmtId="0" fontId="90" fillId="19" borderId="0" xfId="0" applyFont="1" applyFill="1"/>
    <xf numFmtId="0" fontId="66" fillId="32" borderId="0" xfId="0" applyFont="1" applyFill="1" applyAlignment="1">
      <alignment horizontal="left"/>
    </xf>
    <xf numFmtId="0" fontId="90" fillId="37" borderId="0" xfId="0" applyFont="1" applyFill="1"/>
    <xf numFmtId="0" fontId="91" fillId="37" borderId="0" xfId="0" applyFont="1" applyFill="1"/>
    <xf numFmtId="0" fontId="65" fillId="32" borderId="249" xfId="0" applyFont="1" applyFill="1" applyBorder="1" applyAlignment="1">
      <alignment horizontal="left"/>
    </xf>
    <xf numFmtId="0" fontId="65" fillId="32" borderId="250" xfId="0" applyFont="1" applyFill="1" applyBorder="1" applyAlignment="1">
      <alignment horizontal="left"/>
    </xf>
    <xf numFmtId="0" fontId="65" fillId="32" borderId="250" xfId="0" applyFont="1" applyFill="1" applyBorder="1" applyAlignment="1">
      <alignment horizontal="center"/>
    </xf>
    <xf numFmtId="0" fontId="65" fillId="32" borderId="251" xfId="0" applyFont="1" applyFill="1" applyBorder="1" applyAlignment="1">
      <alignment horizontal="center"/>
    </xf>
    <xf numFmtId="0" fontId="90" fillId="33" borderId="252" xfId="0" applyFont="1" applyFill="1" applyBorder="1" applyAlignment="1">
      <alignment horizontal="center"/>
    </xf>
    <xf numFmtId="0" fontId="90" fillId="33" borderId="180" xfId="0" applyFont="1" applyFill="1" applyBorder="1" applyAlignment="1">
      <alignment horizontal="left"/>
    </xf>
    <xf numFmtId="0" fontId="90" fillId="33" borderId="180" xfId="0" applyFont="1" applyFill="1" applyBorder="1" applyAlignment="1">
      <alignment horizontal="center"/>
    </xf>
    <xf numFmtId="4" fontId="90" fillId="33" borderId="180" xfId="0" applyNumberFormat="1" applyFont="1" applyFill="1" applyBorder="1" applyAlignment="1">
      <alignment horizontal="center"/>
    </xf>
    <xf numFmtId="167" fontId="90" fillId="33" borderId="180" xfId="0" applyNumberFormat="1" applyFont="1" applyFill="1" applyBorder="1" applyAlignment="1">
      <alignment horizontal="center"/>
    </xf>
    <xf numFmtId="10" fontId="90" fillId="33" borderId="180" xfId="0" applyNumberFormat="1" applyFont="1" applyFill="1" applyBorder="1" applyAlignment="1">
      <alignment horizontal="center"/>
    </xf>
    <xf numFmtId="10" fontId="90" fillId="33" borderId="253" xfId="0" applyNumberFormat="1" applyFont="1" applyFill="1" applyBorder="1" applyAlignment="1">
      <alignment horizontal="center"/>
    </xf>
    <xf numFmtId="0" fontId="102" fillId="41" borderId="252" xfId="0" applyFont="1" applyFill="1" applyBorder="1" applyAlignment="1">
      <alignment horizontal="center"/>
    </xf>
    <xf numFmtId="0" fontId="102" fillId="41" borderId="180" xfId="0" applyFont="1" applyFill="1" applyBorder="1" applyAlignment="1">
      <alignment horizontal="center"/>
    </xf>
    <xf numFmtId="4" fontId="102" fillId="41" borderId="180" xfId="0" applyNumberFormat="1" applyFont="1" applyFill="1" applyBorder="1" applyAlignment="1">
      <alignment horizontal="center"/>
    </xf>
    <xf numFmtId="167" fontId="102" fillId="41" borderId="180" xfId="0" applyNumberFormat="1" applyFont="1" applyFill="1" applyBorder="1" applyAlignment="1">
      <alignment horizontal="center"/>
    </xf>
    <xf numFmtId="10" fontId="102" fillId="41" borderId="180" xfId="0" applyNumberFormat="1" applyFont="1" applyFill="1" applyBorder="1" applyAlignment="1">
      <alignment horizontal="center"/>
    </xf>
    <xf numFmtId="10" fontId="102" fillId="41" borderId="253" xfId="0" applyNumberFormat="1" applyFont="1" applyFill="1" applyBorder="1" applyAlignment="1">
      <alignment horizontal="center"/>
    </xf>
    <xf numFmtId="0" fontId="90" fillId="34" borderId="252" xfId="0" applyFont="1" applyFill="1" applyBorder="1" applyAlignment="1">
      <alignment horizontal="center"/>
    </xf>
    <xf numFmtId="0" fontId="90" fillId="34" borderId="180" xfId="0" applyFont="1" applyFill="1" applyBorder="1" applyAlignment="1">
      <alignment horizontal="left"/>
    </xf>
    <xf numFmtId="0" fontId="90" fillId="34" borderId="180" xfId="0" applyFont="1" applyFill="1" applyBorder="1" applyAlignment="1">
      <alignment horizontal="center"/>
    </xf>
    <xf numFmtId="4" fontId="90" fillId="34" borderId="180" xfId="0" applyNumberFormat="1" applyFont="1" applyFill="1" applyBorder="1" applyAlignment="1">
      <alignment horizontal="center"/>
    </xf>
    <xf numFmtId="167" fontId="90" fillId="34" borderId="180" xfId="0" applyNumberFormat="1" applyFont="1" applyFill="1" applyBorder="1" applyAlignment="1">
      <alignment horizontal="center"/>
    </xf>
    <xf numFmtId="10" fontId="90" fillId="34" borderId="180" xfId="0" applyNumberFormat="1" applyFont="1" applyFill="1" applyBorder="1" applyAlignment="1">
      <alignment horizontal="center"/>
    </xf>
    <xf numFmtId="10" fontId="90" fillId="34" borderId="253" xfId="0" applyNumberFormat="1" applyFont="1" applyFill="1" applyBorder="1" applyAlignment="1">
      <alignment horizontal="center"/>
    </xf>
    <xf numFmtId="0" fontId="90" fillId="35" borderId="252" xfId="0" applyFont="1" applyFill="1" applyBorder="1" applyAlignment="1">
      <alignment horizontal="center"/>
    </xf>
    <xf numFmtId="0" fontId="90" fillId="35" borderId="180" xfId="0" applyFont="1" applyFill="1" applyBorder="1" applyAlignment="1">
      <alignment horizontal="left"/>
    </xf>
    <xf numFmtId="0" fontId="90" fillId="35" borderId="180" xfId="0" applyFont="1" applyFill="1" applyBorder="1" applyAlignment="1">
      <alignment horizontal="center"/>
    </xf>
    <xf numFmtId="4" fontId="90" fillId="35" borderId="180" xfId="0" applyNumberFormat="1" applyFont="1" applyFill="1" applyBorder="1" applyAlignment="1">
      <alignment horizontal="center"/>
    </xf>
    <xf numFmtId="167" fontId="90" fillId="35" borderId="180" xfId="0" applyNumberFormat="1" applyFont="1" applyFill="1" applyBorder="1" applyAlignment="1">
      <alignment horizontal="center"/>
    </xf>
    <xf numFmtId="10" fontId="90" fillId="35" borderId="180" xfId="0" applyNumberFormat="1" applyFont="1" applyFill="1" applyBorder="1" applyAlignment="1">
      <alignment horizontal="center"/>
    </xf>
    <xf numFmtId="10" fontId="90" fillId="35" borderId="253" xfId="0" applyNumberFormat="1" applyFont="1" applyFill="1" applyBorder="1" applyAlignment="1">
      <alignment horizontal="center"/>
    </xf>
    <xf numFmtId="0" fontId="90" fillId="36" borderId="252" xfId="0" applyFont="1" applyFill="1" applyBorder="1" applyAlignment="1">
      <alignment horizontal="center"/>
    </xf>
    <xf numFmtId="0" fontId="90" fillId="36" borderId="180" xfId="0" applyFont="1" applyFill="1" applyBorder="1" applyAlignment="1">
      <alignment horizontal="left"/>
    </xf>
    <xf numFmtId="0" fontId="90" fillId="36" borderId="180" xfId="0" applyFont="1" applyFill="1" applyBorder="1" applyAlignment="1">
      <alignment horizontal="center"/>
    </xf>
    <xf numFmtId="4" fontId="90" fillId="36" borderId="180" xfId="0" applyNumberFormat="1" applyFont="1" applyFill="1" applyBorder="1" applyAlignment="1">
      <alignment horizontal="center"/>
    </xf>
    <xf numFmtId="167" fontId="90" fillId="36" borderId="180" xfId="0" applyNumberFormat="1" applyFont="1" applyFill="1" applyBorder="1" applyAlignment="1">
      <alignment horizontal="center"/>
    </xf>
    <xf numFmtId="10" fontId="90" fillId="36" borderId="180" xfId="0" applyNumberFormat="1" applyFont="1" applyFill="1" applyBorder="1" applyAlignment="1">
      <alignment horizontal="center"/>
    </xf>
    <xf numFmtId="10" fontId="90" fillId="36" borderId="253" xfId="0" applyNumberFormat="1" applyFont="1" applyFill="1" applyBorder="1" applyAlignment="1">
      <alignment horizontal="center"/>
    </xf>
    <xf numFmtId="0" fontId="90" fillId="36" borderId="254" xfId="0" applyFont="1" applyFill="1" applyBorder="1" applyAlignment="1">
      <alignment horizontal="center"/>
    </xf>
    <xf numFmtId="0" fontId="90" fillId="36" borderId="255" xfId="0" applyFont="1" applyFill="1" applyBorder="1" applyAlignment="1">
      <alignment horizontal="left"/>
    </xf>
    <xf numFmtId="0" fontId="90" fillId="36" borderId="255" xfId="0" applyFont="1" applyFill="1" applyBorder="1" applyAlignment="1">
      <alignment horizontal="center"/>
    </xf>
    <xf numFmtId="4" fontId="90" fillId="36" borderId="255" xfId="0" applyNumberFormat="1" applyFont="1" applyFill="1" applyBorder="1" applyAlignment="1">
      <alignment horizontal="center"/>
    </xf>
    <xf numFmtId="167" fontId="90" fillId="36" borderId="255" xfId="0" applyNumberFormat="1" applyFont="1" applyFill="1" applyBorder="1" applyAlignment="1">
      <alignment horizontal="center"/>
    </xf>
    <xf numFmtId="10" fontId="90" fillId="36" borderId="255" xfId="0" applyNumberFormat="1" applyFont="1" applyFill="1" applyBorder="1" applyAlignment="1">
      <alignment horizontal="center"/>
    </xf>
    <xf numFmtId="10" fontId="90" fillId="36" borderId="256" xfId="0" applyNumberFormat="1" applyFont="1" applyFill="1" applyBorder="1" applyAlignment="1">
      <alignment horizontal="center"/>
    </xf>
    <xf numFmtId="0" fontId="66" fillId="32" borderId="249" xfId="0" applyFont="1" applyFill="1" applyBorder="1" applyAlignment="1">
      <alignment horizontal="left"/>
    </xf>
    <xf numFmtId="0" fontId="66" fillId="32" borderId="250" xfId="0" applyFont="1" applyFill="1" applyBorder="1" applyAlignment="1">
      <alignment horizontal="left"/>
    </xf>
    <xf numFmtId="0" fontId="66" fillId="32" borderId="251" xfId="0" applyFont="1" applyFill="1" applyBorder="1" applyAlignment="1">
      <alignment horizontal="left"/>
    </xf>
    <xf numFmtId="0" fontId="96" fillId="37" borderId="252" xfId="0" applyFont="1" applyFill="1" applyBorder="1"/>
    <xf numFmtId="0" fontId="90" fillId="37" borderId="180" xfId="0" applyFont="1" applyFill="1" applyBorder="1"/>
    <xf numFmtId="4" fontId="90" fillId="37" borderId="253" xfId="0" applyNumberFormat="1" applyFont="1" applyFill="1" applyBorder="1" applyAlignment="1">
      <alignment horizontal="right"/>
    </xf>
    <xf numFmtId="0" fontId="70" fillId="37" borderId="252" xfId="0" applyFont="1" applyFill="1" applyBorder="1"/>
    <xf numFmtId="0" fontId="91" fillId="37" borderId="180" xfId="0" applyFont="1" applyFill="1" applyBorder="1"/>
    <xf numFmtId="4" fontId="91" fillId="37" borderId="253" xfId="0" applyNumberFormat="1" applyFont="1" applyFill="1" applyBorder="1" applyAlignment="1">
      <alignment horizontal="right"/>
    </xf>
    <xf numFmtId="10" fontId="90" fillId="37" borderId="253" xfId="0" applyNumberFormat="1" applyFont="1" applyFill="1" applyBorder="1" applyAlignment="1">
      <alignment horizontal="right"/>
    </xf>
    <xf numFmtId="0" fontId="69" fillId="37" borderId="254" xfId="0" applyFont="1" applyFill="1" applyBorder="1"/>
    <xf numFmtId="0" fontId="69" fillId="37" borderId="255" xfId="0" applyFont="1" applyFill="1" applyBorder="1"/>
    <xf numFmtId="4" fontId="69" fillId="37" borderId="256" xfId="0" applyNumberFormat="1" applyFont="1" applyFill="1" applyBorder="1" applyAlignment="1">
      <alignment horizontal="right"/>
    </xf>
    <xf numFmtId="0" fontId="66" fillId="32" borderId="250" xfId="0" applyFont="1" applyFill="1" applyBorder="1" applyAlignment="1">
      <alignment horizontal="center"/>
    </xf>
    <xf numFmtId="0" fontId="70" fillId="37" borderId="252" xfId="0" applyFont="1" applyFill="1" applyBorder="1" applyAlignment="1">
      <alignment horizontal="left"/>
    </xf>
    <xf numFmtId="0" fontId="70" fillId="37" borderId="254" xfId="0" applyFont="1" applyFill="1" applyBorder="1" applyAlignment="1">
      <alignment horizontal="left"/>
    </xf>
    <xf numFmtId="0" fontId="66" fillId="32" borderId="230" xfId="0" applyFont="1" applyFill="1" applyBorder="1" applyAlignment="1">
      <alignment horizontal="left"/>
    </xf>
    <xf numFmtId="0" fontId="66" fillId="38" borderId="226" xfId="0" applyFont="1" applyFill="1" applyBorder="1" applyAlignment="1">
      <alignment horizontal="center"/>
    </xf>
    <xf numFmtId="0" fontId="66" fillId="39" borderId="226" xfId="0" applyFont="1" applyFill="1" applyBorder="1" applyAlignment="1">
      <alignment horizontal="center"/>
    </xf>
    <xf numFmtId="0" fontId="66" fillId="40" borderId="226" xfId="0" applyFont="1" applyFill="1" applyBorder="1" applyAlignment="1">
      <alignment horizontal="center"/>
    </xf>
    <xf numFmtId="0" fontId="66" fillId="32" borderId="226" xfId="0" applyFont="1" applyFill="1" applyBorder="1" applyAlignment="1">
      <alignment horizontal="center"/>
    </xf>
    <xf numFmtId="0" fontId="66" fillId="45" borderId="259" xfId="0" applyFont="1" applyFill="1" applyBorder="1" applyAlignment="1">
      <alignment horizontal="center"/>
    </xf>
    <xf numFmtId="0" fontId="70" fillId="37" borderId="231" xfId="0" applyFont="1" applyFill="1" applyBorder="1" applyAlignment="1">
      <alignment horizontal="left"/>
    </xf>
    <xf numFmtId="4" fontId="90" fillId="37" borderId="177" xfId="0" applyNumberFormat="1" applyFont="1" applyFill="1" applyBorder="1" applyAlignment="1">
      <alignment horizontal="center"/>
    </xf>
    <xf numFmtId="4" fontId="90" fillId="37" borderId="260" xfId="0" applyNumberFormat="1" applyFont="1" applyFill="1" applyBorder="1" applyAlignment="1">
      <alignment horizontal="center"/>
    </xf>
    <xf numFmtId="0" fontId="70" fillId="19" borderId="231" xfId="0" applyFont="1" applyFill="1" applyBorder="1" applyAlignment="1">
      <alignment horizontal="left"/>
    </xf>
    <xf numFmtId="165" fontId="90" fillId="19" borderId="177" xfId="0" applyNumberFormat="1" applyFont="1" applyFill="1" applyBorder="1" applyAlignment="1">
      <alignment horizontal="center"/>
    </xf>
    <xf numFmtId="165" fontId="90" fillId="19" borderId="260" xfId="0" applyNumberFormat="1" applyFont="1" applyFill="1" applyBorder="1" applyAlignment="1">
      <alignment horizontal="center"/>
    </xf>
    <xf numFmtId="1" fontId="90" fillId="37" borderId="177" xfId="0" applyNumberFormat="1" applyFont="1" applyFill="1" applyBorder="1" applyAlignment="1">
      <alignment horizontal="center"/>
    </xf>
    <xf numFmtId="1" fontId="90" fillId="37" borderId="260" xfId="0" applyNumberFormat="1" applyFont="1" applyFill="1" applyBorder="1" applyAlignment="1">
      <alignment horizontal="center"/>
    </xf>
    <xf numFmtId="165" fontId="90" fillId="37" borderId="177" xfId="0" applyNumberFormat="1" applyFont="1" applyFill="1" applyBorder="1" applyAlignment="1">
      <alignment horizontal="center"/>
    </xf>
    <xf numFmtId="165" fontId="90" fillId="37" borderId="260" xfId="0" applyNumberFormat="1" applyFont="1" applyFill="1" applyBorder="1" applyAlignment="1">
      <alignment horizontal="center"/>
    </xf>
    <xf numFmtId="1" fontId="90" fillId="19" borderId="177" xfId="0" applyNumberFormat="1" applyFont="1" applyFill="1" applyBorder="1" applyAlignment="1">
      <alignment horizontal="center"/>
    </xf>
    <xf numFmtId="1" fontId="90" fillId="19" borderId="260" xfId="0" applyNumberFormat="1" applyFont="1" applyFill="1" applyBorder="1" applyAlignment="1">
      <alignment horizontal="center"/>
    </xf>
    <xf numFmtId="0" fontId="92" fillId="37" borderId="177" xfId="0" applyFont="1" applyFill="1" applyBorder="1" applyAlignment="1">
      <alignment horizontal="center"/>
    </xf>
    <xf numFmtId="0" fontId="90" fillId="37" borderId="177" xfId="0" applyFont="1" applyFill="1" applyBorder="1" applyAlignment="1">
      <alignment horizontal="center"/>
    </xf>
    <xf numFmtId="10" fontId="90" fillId="19" borderId="177" xfId="0" applyNumberFormat="1" applyFont="1" applyFill="1" applyBorder="1" applyAlignment="1">
      <alignment horizontal="center"/>
    </xf>
    <xf numFmtId="10" fontId="90" fillId="19" borderId="260" xfId="0" applyNumberFormat="1" applyFont="1" applyFill="1" applyBorder="1" applyAlignment="1">
      <alignment horizontal="center"/>
    </xf>
    <xf numFmtId="0" fontId="90" fillId="37" borderId="260" xfId="0" applyFont="1" applyFill="1" applyBorder="1" applyAlignment="1">
      <alignment horizontal="center"/>
    </xf>
    <xf numFmtId="0" fontId="70" fillId="37" borderId="258" xfId="0" applyFont="1" applyFill="1" applyBorder="1" applyAlignment="1">
      <alignment horizontal="left"/>
    </xf>
    <xf numFmtId="0" fontId="90" fillId="37" borderId="257" xfId="0" applyFont="1" applyFill="1" applyBorder="1" applyAlignment="1">
      <alignment horizontal="center"/>
    </xf>
    <xf numFmtId="0" fontId="90" fillId="37" borderId="261" xfId="0" applyFont="1" applyFill="1" applyBorder="1" applyAlignment="1">
      <alignment horizontal="center"/>
    </xf>
    <xf numFmtId="4" fontId="66" fillId="32" borderId="251" xfId="0" applyNumberFormat="1" applyFont="1" applyFill="1" applyBorder="1" applyAlignment="1">
      <alignment horizontal="center"/>
    </xf>
    <xf numFmtId="0" fontId="104" fillId="37" borderId="262" xfId="0" applyFont="1" applyFill="1" applyBorder="1" applyAlignment="1">
      <alignment horizontal="left"/>
    </xf>
    <xf numFmtId="4" fontId="103" fillId="37" borderId="263" xfId="0" applyNumberFormat="1" applyFont="1" applyFill="1" applyBorder="1" applyAlignment="1">
      <alignment horizontal="center"/>
    </xf>
    <xf numFmtId="4" fontId="103" fillId="37" borderId="264" xfId="0" applyNumberFormat="1" applyFont="1" applyFill="1" applyBorder="1" applyAlignment="1">
      <alignment horizontal="center"/>
    </xf>
    <xf numFmtId="0" fontId="65" fillId="41" borderId="228" xfId="0" applyFont="1" applyFill="1" applyBorder="1" applyAlignment="1">
      <alignment horizontal="left"/>
    </xf>
    <xf numFmtId="0" fontId="65" fillId="41" borderId="248" xfId="0" applyFont="1" applyFill="1" applyBorder="1" applyAlignment="1">
      <alignment horizontal="left"/>
    </xf>
    <xf numFmtId="0" fontId="65" fillId="41" borderId="234" xfId="0" applyFont="1" applyFill="1" applyBorder="1" applyAlignment="1">
      <alignment horizontal="left"/>
    </xf>
    <xf numFmtId="0" fontId="65" fillId="41" borderId="265" xfId="0" applyFont="1" applyFill="1" applyBorder="1" applyAlignment="1">
      <alignment horizontal="left"/>
    </xf>
    <xf numFmtId="0" fontId="65" fillId="41" borderId="266" xfId="0" applyFont="1" applyFill="1" applyBorder="1" applyAlignment="1">
      <alignment horizontal="left"/>
    </xf>
    <xf numFmtId="0" fontId="65" fillId="41" borderId="267" xfId="0" applyFont="1" applyFill="1" applyBorder="1" applyAlignment="1">
      <alignment horizontal="left"/>
    </xf>
    <xf numFmtId="0" fontId="73" fillId="42" borderId="268" xfId="0" applyFont="1" applyFill="1" applyBorder="1" applyAlignment="1">
      <alignment wrapText="1"/>
    </xf>
    <xf numFmtId="0" fontId="73" fillId="42" borderId="269" xfId="0" applyFont="1" applyFill="1" applyBorder="1" applyAlignment="1">
      <alignment wrapText="1"/>
    </xf>
    <xf numFmtId="0" fontId="73" fillId="42" borderId="270" xfId="0" applyFont="1" applyFill="1" applyBorder="1" applyAlignment="1">
      <alignment wrapText="1"/>
    </xf>
    <xf numFmtId="0" fontId="73" fillId="42" borderId="271" xfId="0" applyFont="1" applyFill="1" applyBorder="1" applyAlignment="1">
      <alignment wrapText="1"/>
    </xf>
    <xf numFmtId="0" fontId="73" fillId="42" borderId="272" xfId="0" applyFont="1" applyFill="1" applyBorder="1" applyAlignment="1">
      <alignment wrapText="1"/>
    </xf>
    <xf numFmtId="0" fontId="73" fillId="42" borderId="273" xfId="0" applyFont="1" applyFill="1" applyBorder="1" applyAlignment="1">
      <alignment wrapText="1"/>
    </xf>
    <xf numFmtId="0" fontId="92" fillId="43" borderId="0" xfId="0" applyFont="1" applyFill="1"/>
    <xf numFmtId="0" fontId="91" fillId="33" borderId="180" xfId="0" applyFont="1" applyFill="1" applyBorder="1" applyAlignment="1">
      <alignment horizontal="left"/>
    </xf>
    <xf numFmtId="174" fontId="90" fillId="33" borderId="180" xfId="0" applyNumberFormat="1" applyFont="1" applyFill="1" applyBorder="1" applyAlignment="1">
      <alignment horizontal="center"/>
    </xf>
    <xf numFmtId="165" fontId="90" fillId="33" borderId="180" xfId="0" applyNumberFormat="1" applyFont="1" applyFill="1" applyBorder="1" applyAlignment="1">
      <alignment horizontal="center"/>
    </xf>
    <xf numFmtId="1" fontId="90" fillId="33" borderId="253" xfId="0" applyNumberFormat="1" applyFont="1" applyFill="1" applyBorder="1" applyAlignment="1">
      <alignment horizontal="center"/>
    </xf>
    <xf numFmtId="0" fontId="92" fillId="43" borderId="252" xfId="0" applyFont="1" applyFill="1" applyBorder="1" applyAlignment="1">
      <alignment horizontal="center"/>
    </xf>
    <xf numFmtId="0" fontId="92" fillId="43" borderId="180" xfId="0" applyFont="1" applyFill="1" applyBorder="1" applyAlignment="1">
      <alignment horizontal="left"/>
    </xf>
    <xf numFmtId="0" fontId="92" fillId="43" borderId="180" xfId="0" applyFont="1" applyFill="1" applyBorder="1" applyAlignment="1">
      <alignment horizontal="center"/>
    </xf>
    <xf numFmtId="4" fontId="92" fillId="43" borderId="180" xfId="0" applyNumberFormat="1" applyFont="1" applyFill="1" applyBorder="1" applyAlignment="1">
      <alignment horizontal="center"/>
    </xf>
    <xf numFmtId="167" fontId="92" fillId="43" borderId="180" xfId="0" applyNumberFormat="1" applyFont="1" applyFill="1" applyBorder="1" applyAlignment="1">
      <alignment horizontal="center"/>
    </xf>
    <xf numFmtId="10" fontId="92" fillId="43" borderId="180" xfId="0" applyNumberFormat="1" applyFont="1" applyFill="1" applyBorder="1" applyAlignment="1">
      <alignment horizontal="center"/>
    </xf>
    <xf numFmtId="174" fontId="92" fillId="43" borderId="180" xfId="0" applyNumberFormat="1" applyFont="1" applyFill="1" applyBorder="1" applyAlignment="1">
      <alignment horizontal="center"/>
    </xf>
    <xf numFmtId="165" fontId="92" fillId="43" borderId="180" xfId="0" applyNumberFormat="1" applyFont="1" applyFill="1" applyBorder="1" applyAlignment="1">
      <alignment horizontal="center"/>
    </xf>
    <xf numFmtId="1" fontId="92" fillId="43" borderId="253" xfId="0" applyNumberFormat="1" applyFont="1" applyFill="1" applyBorder="1" applyAlignment="1">
      <alignment horizontal="center"/>
    </xf>
    <xf numFmtId="0" fontId="77" fillId="33" borderId="252" xfId="0" applyFont="1" applyFill="1" applyBorder="1" applyAlignment="1">
      <alignment horizontal="center"/>
    </xf>
    <xf numFmtId="0" fontId="77" fillId="33" borderId="180" xfId="0" applyFont="1" applyFill="1" applyBorder="1" applyAlignment="1">
      <alignment horizontal="left"/>
    </xf>
    <xf numFmtId="0" fontId="77" fillId="33" borderId="180" xfId="0" applyFont="1" applyFill="1" applyBorder="1" applyAlignment="1">
      <alignment horizontal="center"/>
    </xf>
    <xf numFmtId="4" fontId="77" fillId="33" borderId="180" xfId="0" applyNumberFormat="1" applyFont="1" applyFill="1" applyBorder="1" applyAlignment="1">
      <alignment horizontal="center"/>
    </xf>
    <xf numFmtId="167" fontId="77" fillId="33" borderId="180" xfId="0" applyNumberFormat="1" applyFont="1" applyFill="1" applyBorder="1" applyAlignment="1">
      <alignment horizontal="center"/>
    </xf>
    <xf numFmtId="10" fontId="77" fillId="33" borderId="180" xfId="0" applyNumberFormat="1" applyFont="1" applyFill="1" applyBorder="1" applyAlignment="1">
      <alignment horizontal="center"/>
    </xf>
    <xf numFmtId="174" fontId="77" fillId="33" borderId="180" xfId="0" applyNumberFormat="1" applyFont="1" applyFill="1" applyBorder="1" applyAlignment="1">
      <alignment horizontal="center"/>
    </xf>
    <xf numFmtId="165" fontId="77" fillId="33" borderId="180" xfId="0" applyNumberFormat="1" applyFont="1" applyFill="1" applyBorder="1" applyAlignment="1">
      <alignment horizontal="center"/>
    </xf>
    <xf numFmtId="1" fontId="77" fillId="33" borderId="253" xfId="0" applyNumberFormat="1" applyFont="1" applyFill="1" applyBorder="1" applyAlignment="1">
      <alignment horizontal="center"/>
    </xf>
    <xf numFmtId="0" fontId="91" fillId="34" borderId="180" xfId="0" applyFont="1" applyFill="1" applyBorder="1" applyAlignment="1">
      <alignment horizontal="left"/>
    </xf>
    <xf numFmtId="174" fontId="90" fillId="34" borderId="180" xfId="0" applyNumberFormat="1" applyFont="1" applyFill="1" applyBorder="1" applyAlignment="1">
      <alignment horizontal="center"/>
    </xf>
    <xf numFmtId="165" fontId="90" fillId="34" borderId="180" xfId="0" applyNumberFormat="1" applyFont="1" applyFill="1" applyBorder="1" applyAlignment="1">
      <alignment horizontal="center"/>
    </xf>
    <xf numFmtId="1" fontId="90" fillId="34" borderId="253" xfId="0" applyNumberFormat="1" applyFont="1" applyFill="1" applyBorder="1" applyAlignment="1">
      <alignment horizontal="center"/>
    </xf>
    <xf numFmtId="0" fontId="91" fillId="35" borderId="180" xfId="0" applyFont="1" applyFill="1" applyBorder="1" applyAlignment="1">
      <alignment horizontal="left"/>
    </xf>
    <xf numFmtId="174" fontId="90" fillId="35" borderId="180" xfId="0" applyNumberFormat="1" applyFont="1" applyFill="1" applyBorder="1" applyAlignment="1">
      <alignment horizontal="center"/>
    </xf>
    <xf numFmtId="165" fontId="90" fillId="35" borderId="180" xfId="0" applyNumberFormat="1" applyFont="1" applyFill="1" applyBorder="1" applyAlignment="1">
      <alignment horizontal="center"/>
    </xf>
    <xf numFmtId="1" fontId="90" fillId="35" borderId="253" xfId="0" applyNumberFormat="1" applyFont="1" applyFill="1" applyBorder="1" applyAlignment="1">
      <alignment horizontal="center"/>
    </xf>
    <xf numFmtId="0" fontId="91" fillId="36" borderId="180" xfId="0" applyFont="1" applyFill="1" applyBorder="1" applyAlignment="1">
      <alignment horizontal="left"/>
    </xf>
    <xf numFmtId="174" fontId="90" fillId="36" borderId="180" xfId="0" applyNumberFormat="1" applyFont="1" applyFill="1" applyBorder="1" applyAlignment="1">
      <alignment horizontal="center"/>
    </xf>
    <xf numFmtId="165" fontId="90" fillId="36" borderId="180" xfId="0" applyNumberFormat="1" applyFont="1" applyFill="1" applyBorder="1" applyAlignment="1">
      <alignment horizontal="center"/>
    </xf>
    <xf numFmtId="1" fontId="90" fillId="36" borderId="253" xfId="0" applyNumberFormat="1" applyFont="1" applyFill="1" applyBorder="1" applyAlignment="1">
      <alignment horizontal="center"/>
    </xf>
    <xf numFmtId="0" fontId="92" fillId="43" borderId="254" xfId="0" applyFont="1" applyFill="1" applyBorder="1" applyAlignment="1">
      <alignment horizontal="center"/>
    </xf>
    <xf numFmtId="0" fontId="92" fillId="43" borderId="255" xfId="0" applyFont="1" applyFill="1" applyBorder="1" applyAlignment="1">
      <alignment horizontal="left"/>
    </xf>
    <xf numFmtId="0" fontId="92" fillId="43" borderId="255" xfId="0" applyFont="1" applyFill="1" applyBorder="1" applyAlignment="1">
      <alignment horizontal="center"/>
    </xf>
    <xf numFmtId="4" fontId="92" fillId="43" borderId="255" xfId="0" applyNumberFormat="1" applyFont="1" applyFill="1" applyBorder="1" applyAlignment="1">
      <alignment horizontal="center"/>
    </xf>
    <xf numFmtId="167" fontId="92" fillId="43" borderId="255" xfId="0" applyNumberFormat="1" applyFont="1" applyFill="1" applyBorder="1" applyAlignment="1">
      <alignment horizontal="center"/>
    </xf>
    <xf numFmtId="10" fontId="92" fillId="43" borderId="255" xfId="0" applyNumberFormat="1" applyFont="1" applyFill="1" applyBorder="1" applyAlignment="1">
      <alignment horizontal="center"/>
    </xf>
    <xf numFmtId="174" fontId="92" fillId="43" borderId="255" xfId="0" applyNumberFormat="1" applyFont="1" applyFill="1" applyBorder="1" applyAlignment="1">
      <alignment horizontal="center"/>
    </xf>
    <xf numFmtId="165" fontId="92" fillId="43" borderId="255" xfId="0" applyNumberFormat="1" applyFont="1" applyFill="1" applyBorder="1" applyAlignment="1">
      <alignment horizontal="center"/>
    </xf>
    <xf numFmtId="1" fontId="92" fillId="43" borderId="256" xfId="0" applyNumberFormat="1" applyFont="1" applyFill="1" applyBorder="1" applyAlignment="1">
      <alignment horizontal="center"/>
    </xf>
    <xf numFmtId="4" fontId="103" fillId="37" borderId="253" xfId="0" applyNumberFormat="1" applyFont="1" applyFill="1" applyBorder="1" applyAlignment="1">
      <alignment horizontal="right"/>
    </xf>
    <xf numFmtId="0" fontId="71" fillId="43" borderId="252" xfId="0" applyFont="1" applyFill="1" applyBorder="1" applyAlignment="1">
      <alignment horizontal="left"/>
    </xf>
    <xf numFmtId="0" fontId="92" fillId="43" borderId="180" xfId="0" applyFont="1" applyFill="1" applyBorder="1"/>
    <xf numFmtId="4" fontId="92" fillId="43" borderId="253" xfId="0" applyNumberFormat="1" applyFont="1" applyFill="1" applyBorder="1" applyAlignment="1">
      <alignment horizontal="right"/>
    </xf>
    <xf numFmtId="0" fontId="90" fillId="37" borderId="255" xfId="0" applyFont="1" applyFill="1" applyBorder="1"/>
    <xf numFmtId="4" fontId="90" fillId="37" borderId="256" xfId="0" applyNumberFormat="1" applyFont="1" applyFill="1" applyBorder="1" applyAlignment="1">
      <alignment horizontal="right"/>
    </xf>
    <xf numFmtId="0" fontId="79" fillId="0" borderId="0" xfId="0" applyFont="1"/>
    <xf numFmtId="0" fontId="79" fillId="19" borderId="0" xfId="0" applyFont="1" applyFill="1"/>
    <xf numFmtId="0" fontId="80" fillId="19" borderId="0" xfId="0" applyFont="1" applyFill="1"/>
    <xf numFmtId="0" fontId="65" fillId="41" borderId="274" xfId="0" applyFont="1" applyFill="1" applyBorder="1" applyAlignment="1">
      <alignment horizontal="center"/>
    </xf>
    <xf numFmtId="0" fontId="101" fillId="44" borderId="275" xfId="0" applyFont="1" applyFill="1" applyBorder="1" applyAlignment="1">
      <alignment horizontal="center"/>
    </xf>
    <xf numFmtId="0" fontId="65" fillId="39" borderId="275" xfId="0" applyFont="1" applyFill="1" applyBorder="1" applyAlignment="1">
      <alignment horizontal="center"/>
    </xf>
    <xf numFmtId="0" fontId="65" fillId="40" borderId="275" xfId="0" applyFont="1" applyFill="1" applyBorder="1" applyAlignment="1">
      <alignment horizontal="center"/>
    </xf>
    <xf numFmtId="0" fontId="65" fillId="45" borderId="275" xfId="0" applyFont="1" applyFill="1" applyBorder="1" applyAlignment="1">
      <alignment horizontal="center"/>
    </xf>
    <xf numFmtId="0" fontId="65" fillId="45" borderId="276" xfId="0" applyFont="1" applyFill="1" applyBorder="1" applyAlignment="1">
      <alignment horizontal="center"/>
    </xf>
    <xf numFmtId="0" fontId="72" fillId="32" borderId="230" xfId="0" applyFont="1" applyFill="1" applyBorder="1" applyAlignment="1">
      <alignment horizontal="left"/>
    </xf>
    <xf numFmtId="0" fontId="72" fillId="32" borderId="226" xfId="0" applyFont="1" applyFill="1" applyBorder="1" applyAlignment="1">
      <alignment horizontal="center"/>
    </xf>
    <xf numFmtId="0" fontId="72" fillId="32" borderId="259" xfId="0" applyFont="1" applyFill="1" applyBorder="1" applyAlignment="1">
      <alignment horizontal="center"/>
    </xf>
    <xf numFmtId="0" fontId="79" fillId="0" borderId="231" xfId="0" applyFont="1" applyBorder="1" applyAlignment="1">
      <alignment horizontal="center"/>
    </xf>
    <xf numFmtId="174" fontId="80" fillId="0" borderId="177" xfId="0" applyNumberFormat="1" applyFont="1" applyBorder="1" applyAlignment="1">
      <alignment horizontal="right"/>
    </xf>
    <xf numFmtId="174" fontId="79" fillId="0" borderId="177" xfId="0" applyNumberFormat="1" applyFont="1" applyBorder="1" applyAlignment="1">
      <alignment horizontal="right"/>
    </xf>
    <xf numFmtId="174" fontId="78" fillId="0" borderId="177" xfId="0" applyNumberFormat="1" applyFont="1" applyBorder="1" applyAlignment="1">
      <alignment horizontal="right"/>
    </xf>
    <xf numFmtId="174" fontId="78" fillId="0" borderId="260" xfId="0" applyNumberFormat="1" applyFont="1" applyBorder="1" applyAlignment="1">
      <alignment horizontal="right"/>
    </xf>
    <xf numFmtId="0" fontId="79" fillId="0" borderId="258" xfId="0" applyFont="1" applyBorder="1" applyAlignment="1">
      <alignment horizontal="center"/>
    </xf>
    <xf numFmtId="174" fontId="80" fillId="0" borderId="257" xfId="0" applyNumberFormat="1" applyFont="1" applyBorder="1" applyAlignment="1">
      <alignment horizontal="right"/>
    </xf>
    <xf numFmtId="174" fontId="79" fillId="0" borderId="257" xfId="0" applyNumberFormat="1" applyFont="1" applyBorder="1" applyAlignment="1">
      <alignment horizontal="right"/>
    </xf>
    <xf numFmtId="174" fontId="78" fillId="0" borderId="257" xfId="0" applyNumberFormat="1" applyFont="1" applyBorder="1" applyAlignment="1">
      <alignment horizontal="right"/>
    </xf>
    <xf numFmtId="174" fontId="78" fillId="0" borderId="261" xfId="0" applyNumberFormat="1" applyFont="1" applyBorder="1" applyAlignment="1">
      <alignment horizontal="right"/>
    </xf>
    <xf numFmtId="0" fontId="65" fillId="41" borderId="277" xfId="0" applyFont="1" applyFill="1" applyBorder="1" applyAlignment="1">
      <alignment horizontal="center"/>
    </xf>
    <xf numFmtId="0" fontId="72" fillId="32" borderId="278" xfId="0" applyFont="1" applyFill="1" applyBorder="1" applyAlignment="1">
      <alignment horizontal="left"/>
    </xf>
    <xf numFmtId="15" fontId="79" fillId="0" borderId="279" xfId="0" applyNumberFormat="1" applyFont="1" applyBorder="1" applyAlignment="1">
      <alignment horizontal="center"/>
    </xf>
    <xf numFmtId="15" fontId="79" fillId="0" borderId="280" xfId="0" applyNumberFormat="1" applyFont="1" applyBorder="1" applyAlignment="1">
      <alignment horizontal="center"/>
    </xf>
    <xf numFmtId="0" fontId="101" fillId="44" borderId="281" xfId="0" applyFont="1" applyFill="1" applyBorder="1" applyAlignment="1">
      <alignment horizontal="center"/>
    </xf>
    <xf numFmtId="0" fontId="72" fillId="32" borderId="282" xfId="0" applyFont="1" applyFill="1" applyBorder="1" applyAlignment="1">
      <alignment horizontal="center"/>
    </xf>
    <xf numFmtId="174" fontId="80" fillId="0" borderId="283" xfId="0" applyNumberFormat="1" applyFont="1" applyBorder="1" applyAlignment="1">
      <alignment horizontal="right"/>
    </xf>
    <xf numFmtId="174" fontId="80" fillId="0" borderId="284" xfId="0" applyNumberFormat="1" applyFont="1" applyBorder="1" applyAlignment="1">
      <alignment horizontal="right"/>
    </xf>
    <xf numFmtId="0" fontId="65" fillId="41" borderId="285" xfId="0" applyFont="1" applyFill="1" applyBorder="1" applyAlignment="1">
      <alignment horizontal="center"/>
    </xf>
    <xf numFmtId="0" fontId="72" fillId="32" borderId="286" xfId="0" applyFont="1" applyFill="1" applyBorder="1" applyAlignment="1">
      <alignment horizontal="left"/>
    </xf>
    <xf numFmtId="0" fontId="75" fillId="0" borderId="287" xfId="0" applyFont="1" applyBorder="1" applyAlignment="1">
      <alignment horizontal="left"/>
    </xf>
    <xf numFmtId="0" fontId="75" fillId="0" borderId="288" xfId="0" applyFont="1" applyBorder="1" applyAlignment="1">
      <alignment horizontal="left"/>
    </xf>
    <xf numFmtId="0" fontId="65" fillId="39" borderId="281" xfId="0" applyFont="1" applyFill="1" applyBorder="1" applyAlignment="1">
      <alignment horizontal="center"/>
    </xf>
    <xf numFmtId="174" fontId="79" fillId="0" borderId="283" xfId="0" applyNumberFormat="1" applyFont="1" applyBorder="1" applyAlignment="1">
      <alignment horizontal="right"/>
    </xf>
    <xf numFmtId="174" fontId="79" fillId="0" borderId="284" xfId="0" applyNumberFormat="1" applyFont="1" applyBorder="1" applyAlignment="1">
      <alignment horizontal="right"/>
    </xf>
    <xf numFmtId="0" fontId="101" fillId="44" borderId="285" xfId="0" applyFont="1" applyFill="1" applyBorder="1" applyAlignment="1">
      <alignment horizontal="center"/>
    </xf>
    <xf numFmtId="0" fontId="72" fillId="32" borderId="286" xfId="0" applyFont="1" applyFill="1" applyBorder="1" applyAlignment="1">
      <alignment horizontal="center"/>
    </xf>
    <xf numFmtId="174" fontId="80" fillId="0" borderId="287" xfId="0" applyNumberFormat="1" applyFont="1" applyBorder="1" applyAlignment="1">
      <alignment horizontal="right"/>
    </xf>
    <xf numFmtId="174" fontId="80" fillId="0" borderId="288" xfId="0" applyNumberFormat="1" applyFont="1" applyBorder="1" applyAlignment="1">
      <alignment horizontal="right"/>
    </xf>
    <xf numFmtId="0" fontId="65" fillId="40" borderId="281" xfId="0" applyFont="1" applyFill="1" applyBorder="1" applyAlignment="1">
      <alignment horizontal="center"/>
    </xf>
    <xf numFmtId="0" fontId="65" fillId="39" borderId="285" xfId="0" applyFont="1" applyFill="1" applyBorder="1" applyAlignment="1">
      <alignment horizontal="center"/>
    </xf>
    <xf numFmtId="174" fontId="79" fillId="0" borderId="287" xfId="0" applyNumberFormat="1" applyFont="1" applyBorder="1" applyAlignment="1">
      <alignment horizontal="right"/>
    </xf>
    <xf numFmtId="174" fontId="79" fillId="0" borderId="288" xfId="0" applyNumberFormat="1" applyFont="1" applyBorder="1" applyAlignment="1">
      <alignment horizontal="right"/>
    </xf>
    <xf numFmtId="0" fontId="65" fillId="45" borderId="281" xfId="0" applyFont="1" applyFill="1" applyBorder="1" applyAlignment="1">
      <alignment horizontal="center"/>
    </xf>
    <xf numFmtId="174" fontId="78" fillId="0" borderId="283" xfId="0" applyNumberFormat="1" applyFont="1" applyBorder="1" applyAlignment="1">
      <alignment horizontal="right"/>
    </xf>
    <xf numFmtId="174" fontId="78" fillId="0" borderId="284" xfId="0" applyNumberFormat="1" applyFont="1" applyBorder="1" applyAlignment="1">
      <alignment horizontal="right"/>
    </xf>
    <xf numFmtId="0" fontId="65" fillId="40" borderId="285" xfId="0" applyFont="1" applyFill="1" applyBorder="1" applyAlignment="1">
      <alignment horizontal="center"/>
    </xf>
    <xf numFmtId="0" fontId="65" fillId="41" borderId="252" xfId="0" applyFont="1" applyFill="1" applyBorder="1" applyAlignment="1">
      <alignment horizontal="left"/>
    </xf>
    <xf numFmtId="0" fontId="65" fillId="41" borderId="180" xfId="0" applyFont="1" applyFill="1" applyBorder="1" applyAlignment="1">
      <alignment horizontal="center"/>
    </xf>
    <xf numFmtId="0" fontId="65" fillId="41" borderId="253" xfId="0" applyFont="1" applyFill="1" applyBorder="1" applyAlignment="1">
      <alignment horizontal="center"/>
    </xf>
    <xf numFmtId="0" fontId="76" fillId="50" borderId="252" xfId="0" applyFont="1" applyFill="1" applyBorder="1" applyAlignment="1">
      <alignment horizontal="left"/>
    </xf>
    <xf numFmtId="174" fontId="77" fillId="50" borderId="180" xfId="0" applyNumberFormat="1" applyFont="1" applyFill="1" applyBorder="1" applyAlignment="1">
      <alignment horizontal="right"/>
    </xf>
    <xf numFmtId="10" fontId="77" fillId="50" borderId="253" xfId="0" applyNumberFormat="1" applyFont="1" applyFill="1" applyBorder="1" applyAlignment="1">
      <alignment horizontal="right"/>
    </xf>
    <xf numFmtId="0" fontId="91" fillId="34" borderId="252" xfId="0" applyFont="1" applyFill="1" applyBorder="1" applyAlignment="1">
      <alignment horizontal="left"/>
    </xf>
    <xf numFmtId="174" fontId="90" fillId="34" borderId="180" xfId="0" applyNumberFormat="1" applyFont="1" applyFill="1" applyBorder="1" applyAlignment="1">
      <alignment horizontal="right"/>
    </xf>
    <xf numFmtId="10" fontId="90" fillId="34" borderId="253" xfId="0" applyNumberFormat="1" applyFont="1" applyFill="1" applyBorder="1" applyAlignment="1">
      <alignment horizontal="right"/>
    </xf>
    <xf numFmtId="0" fontId="91" fillId="35" borderId="252" xfId="0" applyFont="1" applyFill="1" applyBorder="1" applyAlignment="1">
      <alignment horizontal="left"/>
    </xf>
    <xf numFmtId="174" fontId="90" fillId="35" borderId="180" xfId="0" applyNumberFormat="1" applyFont="1" applyFill="1" applyBorder="1" applyAlignment="1">
      <alignment horizontal="right"/>
    </xf>
    <xf numFmtId="10" fontId="90" fillId="35" borderId="253" xfId="0" applyNumberFormat="1" applyFont="1" applyFill="1" applyBorder="1" applyAlignment="1">
      <alignment horizontal="right"/>
    </xf>
    <xf numFmtId="0" fontId="65" fillId="32" borderId="254" xfId="0" applyFont="1" applyFill="1" applyBorder="1"/>
    <xf numFmtId="174" fontId="65" fillId="32" borderId="255" xfId="0" applyNumberFormat="1" applyFont="1" applyFill="1" applyBorder="1" applyAlignment="1">
      <alignment horizontal="right"/>
    </xf>
    <xf numFmtId="10" fontId="65" fillId="32" borderId="256" xfId="0" applyNumberFormat="1" applyFont="1" applyFill="1" applyBorder="1" applyAlignment="1">
      <alignment horizontal="right"/>
    </xf>
    <xf numFmtId="0" fontId="91" fillId="52" borderId="0" xfId="0" applyFont="1" applyFill="1"/>
    <xf numFmtId="1" fontId="90" fillId="33" borderId="180" xfId="0" applyNumberFormat="1" applyFont="1" applyFill="1" applyBorder="1" applyAlignment="1">
      <alignment horizontal="center"/>
    </xf>
    <xf numFmtId="0" fontId="90" fillId="33" borderId="253" xfId="0" applyFont="1" applyFill="1" applyBorder="1" applyAlignment="1">
      <alignment horizontal="left" wrapText="1"/>
    </xf>
    <xf numFmtId="1" fontId="92" fillId="43" borderId="180" xfId="0" applyNumberFormat="1" applyFont="1" applyFill="1" applyBorder="1" applyAlignment="1">
      <alignment horizontal="center"/>
    </xf>
    <xf numFmtId="0" fontId="92" fillId="43" borderId="253" xfId="0" applyFont="1" applyFill="1" applyBorder="1" applyAlignment="1">
      <alignment horizontal="left" wrapText="1"/>
    </xf>
    <xf numFmtId="0" fontId="76" fillId="33" borderId="180" xfId="0" applyFont="1" applyFill="1" applyBorder="1" applyAlignment="1">
      <alignment horizontal="left"/>
    </xf>
    <xf numFmtId="1" fontId="77" fillId="33" borderId="180" xfId="0" applyNumberFormat="1" applyFont="1" applyFill="1" applyBorder="1" applyAlignment="1">
      <alignment horizontal="center"/>
    </xf>
    <xf numFmtId="0" fontId="77" fillId="33" borderId="253" xfId="0" applyFont="1" applyFill="1" applyBorder="1" applyAlignment="1">
      <alignment horizontal="left" wrapText="1"/>
    </xf>
    <xf numFmtId="1" fontId="90" fillId="34" borderId="180" xfId="0" applyNumberFormat="1" applyFont="1" applyFill="1" applyBorder="1" applyAlignment="1">
      <alignment horizontal="center"/>
    </xf>
    <xf numFmtId="0" fontId="90" fillId="34" borderId="253" xfId="0" applyFont="1" applyFill="1" applyBorder="1" applyAlignment="1">
      <alignment horizontal="left" wrapText="1"/>
    </xf>
    <xf numFmtId="1" fontId="90" fillId="35" borderId="180" xfId="0" applyNumberFormat="1" applyFont="1" applyFill="1" applyBorder="1" applyAlignment="1">
      <alignment horizontal="center"/>
    </xf>
    <xf numFmtId="0" fontId="90" fillId="35" borderId="253" xfId="0" applyFont="1" applyFill="1" applyBorder="1" applyAlignment="1">
      <alignment horizontal="left" wrapText="1"/>
    </xf>
    <xf numFmtId="0" fontId="90" fillId="46" borderId="252" xfId="0" applyFont="1" applyFill="1" applyBorder="1" applyAlignment="1">
      <alignment horizontal="center"/>
    </xf>
    <xf numFmtId="0" fontId="91" fillId="46" borderId="180" xfId="0" applyFont="1" applyFill="1" applyBorder="1" applyAlignment="1">
      <alignment horizontal="left"/>
    </xf>
    <xf numFmtId="0" fontId="90" fillId="46" borderId="180" xfId="0" applyFont="1" applyFill="1" applyBorder="1" applyAlignment="1">
      <alignment horizontal="center"/>
    </xf>
    <xf numFmtId="1" fontId="90" fillId="46" borderId="180" xfId="0" applyNumberFormat="1" applyFont="1" applyFill="1" applyBorder="1" applyAlignment="1">
      <alignment horizontal="center"/>
    </xf>
    <xf numFmtId="4" fontId="90" fillId="46" borderId="180" xfId="0" applyNumberFormat="1" applyFont="1" applyFill="1" applyBorder="1" applyAlignment="1">
      <alignment horizontal="center"/>
    </xf>
    <xf numFmtId="10" fontId="90" fillId="46" borderId="180" xfId="0" applyNumberFormat="1" applyFont="1" applyFill="1" applyBorder="1" applyAlignment="1">
      <alignment horizontal="center"/>
    </xf>
    <xf numFmtId="174" fontId="90" fillId="46" borderId="180" xfId="0" applyNumberFormat="1" applyFont="1" applyFill="1" applyBorder="1" applyAlignment="1">
      <alignment horizontal="center"/>
    </xf>
    <xf numFmtId="0" fontId="90" fillId="46" borderId="253" xfId="0" applyFont="1" applyFill="1" applyBorder="1" applyAlignment="1">
      <alignment horizontal="left" wrapText="1"/>
    </xf>
    <xf numFmtId="0" fontId="90" fillId="46" borderId="180" xfId="0" applyFont="1" applyFill="1" applyBorder="1" applyAlignment="1">
      <alignment horizontal="left"/>
    </xf>
    <xf numFmtId="1" fontId="90" fillId="36" borderId="180" xfId="0" applyNumberFormat="1" applyFont="1" applyFill="1" applyBorder="1" applyAlignment="1">
      <alignment horizontal="center"/>
    </xf>
    <xf numFmtId="0" fontId="90" fillId="36" borderId="253" xfId="0" applyFont="1" applyFill="1" applyBorder="1" applyAlignment="1">
      <alignment horizontal="left" wrapText="1"/>
    </xf>
    <xf numFmtId="1" fontId="92" fillId="43" borderId="255" xfId="0" applyNumberFormat="1" applyFont="1" applyFill="1" applyBorder="1" applyAlignment="1">
      <alignment horizontal="center"/>
    </xf>
    <xf numFmtId="0" fontId="92" fillId="43" borderId="256" xfId="0" applyFont="1" applyFill="1" applyBorder="1" applyAlignment="1">
      <alignment horizontal="left" wrapText="1"/>
    </xf>
    <xf numFmtId="174" fontId="90" fillId="37" borderId="253" xfId="0" applyNumberFormat="1" applyFont="1" applyFill="1" applyBorder="1" applyAlignment="1">
      <alignment horizontal="right"/>
    </xf>
    <xf numFmtId="0" fontId="70" fillId="52" borderId="252" xfId="0" applyFont="1" applyFill="1" applyBorder="1"/>
    <xf numFmtId="0" fontId="91" fillId="52" borderId="180" xfId="0" applyFont="1" applyFill="1" applyBorder="1"/>
    <xf numFmtId="174" fontId="91" fillId="52" borderId="253" xfId="0" applyNumberFormat="1" applyFont="1" applyFill="1" applyBorder="1" applyAlignment="1">
      <alignment horizontal="right"/>
    </xf>
    <xf numFmtId="0" fontId="70" fillId="37" borderId="254" xfId="0" applyFont="1" applyFill="1" applyBorder="1"/>
    <xf numFmtId="10" fontId="82" fillId="37" borderId="256" xfId="0" applyNumberFormat="1" applyFont="1" applyFill="1" applyBorder="1" applyAlignment="1">
      <alignment horizontal="right"/>
    </xf>
    <xf numFmtId="0" fontId="91" fillId="49" borderId="0" xfId="0" applyFont="1" applyFill="1"/>
    <xf numFmtId="0" fontId="70" fillId="33" borderId="252" xfId="0" applyFont="1" applyFill="1" applyBorder="1" applyAlignment="1">
      <alignment horizontal="left"/>
    </xf>
    <xf numFmtId="0" fontId="92" fillId="33" borderId="253" xfId="0" applyFont="1" applyFill="1" applyBorder="1" applyAlignment="1">
      <alignment horizontal="left" wrapText="1"/>
    </xf>
    <xf numFmtId="49" fontId="90" fillId="33" borderId="180" xfId="0" applyNumberFormat="1" applyFont="1" applyFill="1" applyBorder="1" applyAlignment="1">
      <alignment horizontal="center"/>
    </xf>
    <xf numFmtId="0" fontId="70" fillId="34" borderId="252" xfId="0" applyFont="1" applyFill="1" applyBorder="1" applyAlignment="1">
      <alignment horizontal="left"/>
    </xf>
    <xf numFmtId="0" fontId="92" fillId="34" borderId="253" xfId="0" applyFont="1" applyFill="1" applyBorder="1" applyAlignment="1">
      <alignment horizontal="left" wrapText="1"/>
    </xf>
    <xf numFmtId="0" fontId="70" fillId="35" borderId="252" xfId="0" applyFont="1" applyFill="1" applyBorder="1" applyAlignment="1">
      <alignment horizontal="left"/>
    </xf>
    <xf numFmtId="0" fontId="92" fillId="35" borderId="253" xfId="0" applyFont="1" applyFill="1" applyBorder="1" applyAlignment="1">
      <alignment horizontal="left" wrapText="1"/>
    </xf>
    <xf numFmtId="0" fontId="70" fillId="46" borderId="252" xfId="0" applyFont="1" applyFill="1" applyBorder="1" applyAlignment="1">
      <alignment horizontal="left"/>
    </xf>
    <xf numFmtId="0" fontId="92" fillId="46" borderId="253" xfId="0" applyFont="1" applyFill="1" applyBorder="1" applyAlignment="1">
      <alignment horizontal="left" wrapText="1"/>
    </xf>
    <xf numFmtId="49" fontId="90" fillId="46" borderId="180" xfId="0" applyNumberFormat="1" applyFont="1" applyFill="1" applyBorder="1" applyAlignment="1">
      <alignment horizontal="center"/>
    </xf>
    <xf numFmtId="0" fontId="70" fillId="36" borderId="252" xfId="0" applyFont="1" applyFill="1" applyBorder="1" applyAlignment="1">
      <alignment horizontal="left"/>
    </xf>
    <xf numFmtId="0" fontId="92" fillId="36" borderId="253" xfId="0" applyFont="1" applyFill="1" applyBorder="1" applyAlignment="1">
      <alignment horizontal="left" wrapText="1"/>
    </xf>
    <xf numFmtId="0" fontId="70" fillId="36" borderId="254" xfId="0" applyFont="1" applyFill="1" applyBorder="1" applyAlignment="1">
      <alignment horizontal="left"/>
    </xf>
    <xf numFmtId="0" fontId="92" fillId="36" borderId="256" xfId="0" applyFont="1" applyFill="1" applyBorder="1" applyAlignment="1">
      <alignment horizontal="left" wrapText="1"/>
    </xf>
    <xf numFmtId="1" fontId="90" fillId="37" borderId="253" xfId="0" applyNumberFormat="1" applyFont="1" applyFill="1" applyBorder="1" applyAlignment="1">
      <alignment horizontal="right"/>
    </xf>
    <xf numFmtId="1" fontId="82" fillId="37" borderId="253" xfId="0" applyNumberFormat="1" applyFont="1" applyFill="1" applyBorder="1" applyAlignment="1">
      <alignment horizontal="right"/>
    </xf>
    <xf numFmtId="1" fontId="85" fillId="37" borderId="253" xfId="0" applyNumberFormat="1" applyFont="1" applyFill="1" applyBorder="1" applyAlignment="1">
      <alignment horizontal="right"/>
    </xf>
    <xf numFmtId="1" fontId="86" fillId="37" borderId="253" xfId="0" applyNumberFormat="1" applyFont="1" applyFill="1" applyBorder="1" applyAlignment="1">
      <alignment horizontal="right"/>
    </xf>
    <xf numFmtId="0" fontId="70" fillId="49" borderId="254" xfId="0" applyFont="1" applyFill="1" applyBorder="1"/>
    <xf numFmtId="167" fontId="105" fillId="49" borderId="256" xfId="0" applyNumberFormat="1" applyFont="1" applyFill="1" applyBorder="1" applyAlignment="1">
      <alignment horizontal="right"/>
    </xf>
    <xf numFmtId="175" fontId="90" fillId="33" borderId="180" xfId="0" applyNumberFormat="1" applyFont="1" applyFill="1" applyBorder="1" applyAlignment="1">
      <alignment horizontal="center"/>
    </xf>
    <xf numFmtId="0" fontId="90" fillId="33" borderId="253" xfId="0" applyFont="1" applyFill="1" applyBorder="1" applyAlignment="1">
      <alignment horizontal="center"/>
    </xf>
    <xf numFmtId="175" fontId="92" fillId="43" borderId="180" xfId="0" applyNumberFormat="1" applyFont="1" applyFill="1" applyBorder="1" applyAlignment="1">
      <alignment horizontal="center"/>
    </xf>
    <xf numFmtId="0" fontId="92" fillId="43" borderId="253" xfId="0" applyFont="1" applyFill="1" applyBorder="1" applyAlignment="1">
      <alignment horizontal="center"/>
    </xf>
    <xf numFmtId="175" fontId="77" fillId="33" borderId="180" xfId="0" applyNumberFormat="1" applyFont="1" applyFill="1" applyBorder="1" applyAlignment="1">
      <alignment horizontal="center"/>
    </xf>
    <xf numFmtId="0" fontId="77" fillId="33" borderId="253" xfId="0" applyFont="1" applyFill="1" applyBorder="1" applyAlignment="1">
      <alignment horizontal="center"/>
    </xf>
    <xf numFmtId="175" fontId="90" fillId="34" borderId="180" xfId="0" applyNumberFormat="1" applyFont="1" applyFill="1" applyBorder="1" applyAlignment="1">
      <alignment horizontal="center"/>
    </xf>
    <xf numFmtId="0" fontId="90" fillId="34" borderId="253" xfId="0" applyFont="1" applyFill="1" applyBorder="1" applyAlignment="1">
      <alignment horizontal="center"/>
    </xf>
    <xf numFmtId="175" fontId="90" fillId="35" borderId="180" xfId="0" applyNumberFormat="1" applyFont="1" applyFill="1" applyBorder="1" applyAlignment="1">
      <alignment horizontal="center"/>
    </xf>
    <xf numFmtId="0" fontId="90" fillId="35" borderId="253" xfId="0" applyFont="1" applyFill="1" applyBorder="1" applyAlignment="1">
      <alignment horizontal="center"/>
    </xf>
    <xf numFmtId="167" fontId="90" fillId="46" borderId="180" xfId="0" applyNumberFormat="1" applyFont="1" applyFill="1" applyBorder="1" applyAlignment="1">
      <alignment horizontal="center"/>
    </xf>
    <xf numFmtId="175" fontId="90" fillId="46" borderId="180" xfId="0" applyNumberFormat="1" applyFont="1" applyFill="1" applyBorder="1" applyAlignment="1">
      <alignment horizontal="center"/>
    </xf>
    <xf numFmtId="0" fontId="90" fillId="46" borderId="253" xfId="0" applyFont="1" applyFill="1" applyBorder="1" applyAlignment="1">
      <alignment horizontal="center"/>
    </xf>
    <xf numFmtId="175" fontId="90" fillId="36" borderId="180" xfId="0" applyNumberFormat="1" applyFont="1" applyFill="1" applyBorder="1" applyAlignment="1">
      <alignment horizontal="center"/>
    </xf>
    <xf numFmtId="0" fontId="90" fillId="36" borderId="253" xfId="0" applyFont="1" applyFill="1" applyBorder="1" applyAlignment="1">
      <alignment horizontal="center"/>
    </xf>
    <xf numFmtId="175" fontId="92" fillId="43" borderId="255" xfId="0" applyNumberFormat="1" applyFont="1" applyFill="1" applyBorder="1" applyAlignment="1">
      <alignment horizontal="center"/>
    </xf>
    <xf numFmtId="0" fontId="92" fillId="43" borderId="256" xfId="0" applyFont="1" applyFill="1" applyBorder="1" applyAlignment="1">
      <alignment horizontal="center"/>
    </xf>
    <xf numFmtId="0" fontId="90" fillId="33" borderId="253" xfId="0" applyFont="1" applyFill="1" applyBorder="1" applyAlignment="1">
      <alignment horizontal="left"/>
    </xf>
    <xf numFmtId="0" fontId="92" fillId="43" borderId="253" xfId="0" applyFont="1" applyFill="1" applyBorder="1" applyAlignment="1">
      <alignment horizontal="left"/>
    </xf>
    <xf numFmtId="0" fontId="77" fillId="33" borderId="253" xfId="0" applyFont="1" applyFill="1" applyBorder="1" applyAlignment="1">
      <alignment horizontal="left"/>
    </xf>
    <xf numFmtId="0" fontId="90" fillId="34" borderId="253" xfId="0" applyFont="1" applyFill="1" applyBorder="1" applyAlignment="1">
      <alignment horizontal="left"/>
    </xf>
    <xf numFmtId="0" fontId="90" fillId="35" borderId="253" xfId="0" applyFont="1" applyFill="1" applyBorder="1" applyAlignment="1">
      <alignment horizontal="left"/>
    </xf>
    <xf numFmtId="165" fontId="90" fillId="46" borderId="180" xfId="0" applyNumberFormat="1" applyFont="1" applyFill="1" applyBorder="1" applyAlignment="1">
      <alignment horizontal="center"/>
    </xf>
    <xf numFmtId="0" fontId="90" fillId="46" borderId="253" xfId="0" applyFont="1" applyFill="1" applyBorder="1" applyAlignment="1">
      <alignment horizontal="left"/>
    </xf>
    <xf numFmtId="0" fontId="90" fillId="36" borderId="253" xfId="0" applyFont="1" applyFill="1" applyBorder="1" applyAlignment="1">
      <alignment horizontal="left"/>
    </xf>
    <xf numFmtId="0" fontId="92" fillId="43" borderId="256" xfId="0" applyFont="1" applyFill="1" applyBorder="1" applyAlignment="1">
      <alignment horizontal="left"/>
    </xf>
    <xf numFmtId="1" fontId="85" fillId="37" borderId="256" xfId="0" applyNumberFormat="1" applyFont="1" applyFill="1" applyBorder="1" applyAlignment="1">
      <alignment horizontal="right"/>
    </xf>
    <xf numFmtId="0" fontId="66" fillId="47" borderId="250" xfId="0" applyFont="1" applyFill="1" applyBorder="1" applyAlignment="1">
      <alignment horizontal="center"/>
    </xf>
    <xf numFmtId="0" fontId="66" fillId="48" borderId="250" xfId="0" applyFont="1" applyFill="1" applyBorder="1" applyAlignment="1">
      <alignment horizontal="center"/>
    </xf>
    <xf numFmtId="0" fontId="90" fillId="37" borderId="253" xfId="0" applyFont="1" applyFill="1" applyBorder="1"/>
    <xf numFmtId="0" fontId="90" fillId="37" borderId="256" xfId="0" applyFont="1" applyFill="1" applyBorder="1"/>
    <xf numFmtId="4" fontId="89" fillId="37" borderId="180" xfId="0" applyNumberFormat="1" applyFont="1" applyFill="1" applyBorder="1" applyAlignment="1">
      <alignment horizontal="right"/>
    </xf>
    <xf numFmtId="4" fontId="106" fillId="37" borderId="180" xfId="0" applyNumberFormat="1" applyFont="1" applyFill="1" applyBorder="1" applyAlignment="1">
      <alignment horizontal="right"/>
    </xf>
    <xf numFmtId="4" fontId="107" fillId="37" borderId="180" xfId="0" applyNumberFormat="1" applyFont="1" applyFill="1" applyBorder="1" applyAlignment="1">
      <alignment horizontal="right"/>
    </xf>
    <xf numFmtId="176" fontId="89" fillId="37" borderId="180" xfId="0" applyNumberFormat="1" applyFont="1" applyFill="1" applyBorder="1" applyAlignment="1">
      <alignment horizontal="right"/>
    </xf>
    <xf numFmtId="176" fontId="106" fillId="37" borderId="180" xfId="0" applyNumberFormat="1" applyFont="1" applyFill="1" applyBorder="1" applyAlignment="1">
      <alignment horizontal="right"/>
    </xf>
    <xf numFmtId="176" fontId="107" fillId="37" borderId="180" xfId="0" applyNumberFormat="1" applyFont="1" applyFill="1" applyBorder="1" applyAlignment="1">
      <alignment horizontal="right"/>
    </xf>
    <xf numFmtId="176" fontId="89" fillId="37" borderId="255" xfId="0" applyNumberFormat="1" applyFont="1" applyFill="1" applyBorder="1" applyAlignment="1">
      <alignment horizontal="right"/>
    </xf>
    <xf numFmtId="176" fontId="106" fillId="37" borderId="255" xfId="0" applyNumberFormat="1" applyFont="1" applyFill="1" applyBorder="1" applyAlignment="1">
      <alignment horizontal="right"/>
    </xf>
    <xf numFmtId="176" fontId="107" fillId="37" borderId="255" xfId="0" applyNumberFormat="1" applyFont="1" applyFill="1" applyBorder="1" applyAlignment="1">
      <alignment horizontal="right"/>
    </xf>
    <xf numFmtId="0" fontId="73" fillId="42" borderId="229" xfId="0" applyFont="1" applyFill="1" applyBorder="1" applyAlignment="1">
      <alignment vertical="top" wrapText="1"/>
    </xf>
    <xf numFmtId="0" fontId="73" fillId="42" borderId="233" xfId="0" applyFont="1" applyFill="1" applyBorder="1" applyAlignment="1">
      <alignment vertical="top" wrapText="1"/>
    </xf>
    <xf numFmtId="0" fontId="73" fillId="42" borderId="238" xfId="0" applyFont="1" applyFill="1" applyBorder="1" applyAlignment="1">
      <alignment vertical="top" wrapText="1"/>
    </xf>
    <xf numFmtId="0" fontId="65" fillId="41" borderId="253" xfId="0" applyFont="1" applyFill="1" applyBorder="1" applyAlignment="1">
      <alignment horizontal="right"/>
    </xf>
    <xf numFmtId="174" fontId="90" fillId="37" borderId="256" xfId="0" applyNumberFormat="1" applyFont="1" applyFill="1" applyBorder="1" applyAlignment="1">
      <alignment horizontal="right"/>
    </xf>
    <xf numFmtId="0" fontId="66" fillId="32" borderId="250" xfId="0" applyFont="1" applyFill="1" applyBorder="1"/>
    <xf numFmtId="0" fontId="66" fillId="64" borderId="250" xfId="0" applyFont="1" applyFill="1" applyBorder="1" applyAlignment="1">
      <alignment horizontal="center"/>
    </xf>
    <xf numFmtId="0" fontId="90" fillId="32" borderId="251" xfId="0" applyFont="1" applyFill="1" applyBorder="1"/>
    <xf numFmtId="177" fontId="87" fillId="37" borderId="180" xfId="0" applyNumberFormat="1" applyFont="1" applyFill="1" applyBorder="1" applyAlignment="1">
      <alignment horizontal="right"/>
    </xf>
    <xf numFmtId="177" fontId="85" fillId="37" borderId="180" xfId="0" applyNumberFormat="1" applyFont="1" applyFill="1" applyBorder="1" applyAlignment="1">
      <alignment horizontal="right"/>
    </xf>
    <xf numFmtId="177" fontId="86" fillId="37" borderId="180" xfId="0" applyNumberFormat="1" applyFont="1" applyFill="1" applyBorder="1" applyAlignment="1">
      <alignment horizontal="right"/>
    </xf>
    <xf numFmtId="177" fontId="87" fillId="37" borderId="255" xfId="0" applyNumberFormat="1" applyFont="1" applyFill="1" applyBorder="1" applyAlignment="1">
      <alignment horizontal="right"/>
    </xf>
    <xf numFmtId="177" fontId="85" fillId="37" borderId="255" xfId="0" applyNumberFormat="1" applyFont="1" applyFill="1" applyBorder="1" applyAlignment="1">
      <alignment horizontal="right"/>
    </xf>
    <xf numFmtId="177" fontId="86" fillId="37" borderId="255" xfId="0" applyNumberFormat="1" applyFont="1" applyFill="1" applyBorder="1" applyAlignment="1">
      <alignment horizontal="right"/>
    </xf>
    <xf numFmtId="1" fontId="96" fillId="37" borderId="253" xfId="0" applyNumberFormat="1" applyFont="1" applyFill="1" applyBorder="1" applyAlignment="1">
      <alignment horizontal="right"/>
    </xf>
    <xf numFmtId="1" fontId="108" fillId="37" borderId="253" xfId="0" applyNumberFormat="1" applyFont="1" applyFill="1" applyBorder="1" applyAlignment="1">
      <alignment horizontal="right"/>
    </xf>
    <xf numFmtId="1" fontId="109" fillId="37" borderId="253" xfId="0" applyNumberFormat="1" applyFont="1" applyFill="1" applyBorder="1" applyAlignment="1">
      <alignment horizontal="right"/>
    </xf>
    <xf numFmtId="0" fontId="70" fillId="52" borderId="254" xfId="0" applyFont="1" applyFill="1" applyBorder="1" applyAlignment="1">
      <alignment horizontal="left"/>
    </xf>
    <xf numFmtId="1" fontId="91" fillId="52" borderId="256" xfId="0" applyNumberFormat="1" applyFont="1" applyFill="1" applyBorder="1" applyAlignment="1">
      <alignment horizontal="right"/>
    </xf>
    <xf numFmtId="0" fontId="105" fillId="49" borderId="0" xfId="0" applyFont="1" applyFill="1" applyAlignment="1">
      <alignment horizontal="center"/>
    </xf>
    <xf numFmtId="0" fontId="66" fillId="32" borderId="251" xfId="0" applyFont="1" applyFill="1" applyBorder="1" applyAlignment="1">
      <alignment horizontal="center"/>
    </xf>
    <xf numFmtId="0" fontId="91" fillId="37" borderId="180" xfId="0" applyFont="1" applyFill="1" applyBorder="1" applyAlignment="1">
      <alignment horizontal="center"/>
    </xf>
    <xf numFmtId="0" fontId="91" fillId="37" borderId="255" xfId="0" applyFont="1" applyFill="1" applyBorder="1" applyAlignment="1">
      <alignment horizontal="center"/>
    </xf>
    <xf numFmtId="0" fontId="65" fillId="41" borderId="249" xfId="0" applyFont="1" applyFill="1" applyBorder="1" applyAlignment="1">
      <alignment horizontal="left"/>
    </xf>
    <xf numFmtId="0" fontId="65" fillId="41" borderId="250" xfId="0" applyFont="1" applyFill="1" applyBorder="1" applyAlignment="1">
      <alignment horizontal="left"/>
    </xf>
    <xf numFmtId="0" fontId="65" fillId="41" borderId="250" xfId="0" applyFont="1" applyFill="1" applyBorder="1" applyAlignment="1">
      <alignment horizontal="center"/>
    </xf>
    <xf numFmtId="0" fontId="65" fillId="41" borderId="251" xfId="0" applyFont="1" applyFill="1" applyBorder="1" applyAlignment="1">
      <alignment horizontal="center"/>
    </xf>
    <xf numFmtId="0" fontId="90" fillId="0" borderId="252" xfId="0" applyFont="1" applyBorder="1"/>
    <xf numFmtId="0" fontId="90" fillId="0" borderId="180" xfId="0" applyFont="1" applyBorder="1"/>
    <xf numFmtId="0" fontId="90" fillId="0" borderId="253" xfId="0" applyFont="1" applyBorder="1"/>
    <xf numFmtId="0" fontId="70" fillId="0" borderId="252" xfId="0" applyFont="1" applyBorder="1" applyAlignment="1">
      <alignment horizontal="left"/>
    </xf>
    <xf numFmtId="0" fontId="90" fillId="0" borderId="180" xfId="0" applyFont="1" applyBorder="1" applyAlignment="1">
      <alignment horizontal="left" wrapText="1"/>
    </xf>
    <xf numFmtId="0" fontId="90" fillId="0" borderId="180" xfId="0" applyFont="1" applyBorder="1" applyAlignment="1">
      <alignment horizontal="center"/>
    </xf>
    <xf numFmtId="0" fontId="90" fillId="0" borderId="253" xfId="0" applyFont="1" applyBorder="1" applyAlignment="1">
      <alignment horizontal="center"/>
    </xf>
    <xf numFmtId="0" fontId="90" fillId="0" borderId="255" xfId="0" applyFont="1" applyBorder="1" applyAlignment="1">
      <alignment horizontal="center"/>
    </xf>
    <xf numFmtId="0" fontId="90" fillId="0" borderId="256" xfId="0" applyFont="1" applyBorder="1" applyAlignment="1">
      <alignment horizontal="center"/>
    </xf>
    <xf numFmtId="0" fontId="70" fillId="0" borderId="262" xfId="0" applyFont="1" applyBorder="1" applyAlignment="1">
      <alignment horizontal="left"/>
    </xf>
    <xf numFmtId="0" fontId="90" fillId="0" borderId="263" xfId="0" applyFont="1" applyBorder="1" applyAlignment="1">
      <alignment horizontal="left" wrapText="1"/>
    </xf>
    <xf numFmtId="1" fontId="91" fillId="37" borderId="253" xfId="0" applyNumberFormat="1" applyFont="1" applyFill="1" applyBorder="1" applyAlignment="1">
      <alignment horizontal="right"/>
    </xf>
    <xf numFmtId="1" fontId="83" fillId="37" borderId="253" xfId="0" applyNumberFormat="1" applyFont="1" applyFill="1" applyBorder="1" applyAlignment="1">
      <alignment horizontal="right"/>
    </xf>
    <xf numFmtId="0" fontId="105" fillId="49" borderId="254" xfId="0" applyFont="1" applyFill="1" applyBorder="1" applyAlignment="1">
      <alignment horizontal="left"/>
    </xf>
    <xf numFmtId="0" fontId="105" fillId="49" borderId="256" xfId="0" applyFont="1" applyFill="1" applyBorder="1" applyAlignment="1">
      <alignment horizontal="center"/>
    </xf>
    <xf numFmtId="0" fontId="65" fillId="32" borderId="230" xfId="0" applyFont="1" applyFill="1" applyBorder="1" applyAlignment="1">
      <alignment horizontal="left"/>
    </xf>
    <xf numFmtId="0" fontId="65" fillId="32" borderId="226" xfId="0" applyFont="1" applyFill="1" applyBorder="1" applyAlignment="1">
      <alignment horizontal="center"/>
    </xf>
    <xf numFmtId="0" fontId="65" fillId="32" borderId="259" xfId="0" applyFont="1" applyFill="1" applyBorder="1" applyAlignment="1">
      <alignment horizontal="left"/>
    </xf>
    <xf numFmtId="0" fontId="70" fillId="33" borderId="231" xfId="0" applyFont="1" applyFill="1" applyBorder="1" applyAlignment="1">
      <alignment horizontal="left"/>
    </xf>
    <xf numFmtId="1" fontId="90" fillId="33" borderId="177" xfId="0" applyNumberFormat="1" applyFont="1" applyFill="1" applyBorder="1" applyAlignment="1">
      <alignment horizontal="center"/>
    </xf>
    <xf numFmtId="4" fontId="90" fillId="33" borderId="177" xfId="0" applyNumberFormat="1" applyFont="1" applyFill="1" applyBorder="1" applyAlignment="1">
      <alignment horizontal="center"/>
    </xf>
    <xf numFmtId="0" fontId="90" fillId="33" borderId="177" xfId="0" applyFont="1" applyFill="1" applyBorder="1" applyAlignment="1">
      <alignment horizontal="center"/>
    </xf>
    <xf numFmtId="0" fontId="90" fillId="33" borderId="177" xfId="0" applyFont="1" applyFill="1" applyBorder="1" applyAlignment="1">
      <alignment horizontal="left"/>
    </xf>
    <xf numFmtId="0" fontId="90" fillId="33" borderId="260" xfId="0" applyFont="1" applyFill="1" applyBorder="1" applyAlignment="1">
      <alignment horizontal="left" vertical="top" wrapText="1"/>
    </xf>
    <xf numFmtId="0" fontId="70" fillId="34" borderId="231" xfId="0" applyFont="1" applyFill="1" applyBorder="1" applyAlignment="1">
      <alignment horizontal="left"/>
    </xf>
    <xf numFmtId="1" fontId="90" fillId="34" borderId="177" xfId="0" applyNumberFormat="1" applyFont="1" applyFill="1" applyBorder="1" applyAlignment="1">
      <alignment horizontal="center"/>
    </xf>
    <xf numFmtId="4" fontId="90" fillId="34" borderId="177" xfId="0" applyNumberFormat="1" applyFont="1" applyFill="1" applyBorder="1" applyAlignment="1">
      <alignment horizontal="center"/>
    </xf>
    <xf numFmtId="0" fontId="90" fillId="34" borderId="177" xfId="0" applyFont="1" applyFill="1" applyBorder="1" applyAlignment="1">
      <alignment horizontal="center"/>
    </xf>
    <xf numFmtId="0" fontId="90" fillId="34" borderId="177" xfId="0" applyFont="1" applyFill="1" applyBorder="1" applyAlignment="1">
      <alignment horizontal="left"/>
    </xf>
    <xf numFmtId="0" fontId="90" fillId="34" borderId="260" xfId="0" applyFont="1" applyFill="1" applyBorder="1" applyAlignment="1">
      <alignment horizontal="left" vertical="top" wrapText="1"/>
    </xf>
    <xf numFmtId="0" fontId="70" fillId="35" borderId="231" xfId="0" applyFont="1" applyFill="1" applyBorder="1" applyAlignment="1">
      <alignment horizontal="left"/>
    </xf>
    <xf numFmtId="1" fontId="90" fillId="35" borderId="177" xfId="0" applyNumberFormat="1" applyFont="1" applyFill="1" applyBorder="1" applyAlignment="1">
      <alignment horizontal="center"/>
    </xf>
    <xf numFmtId="4" fontId="90" fillId="35" borderId="177" xfId="0" applyNumberFormat="1" applyFont="1" applyFill="1" applyBorder="1" applyAlignment="1">
      <alignment horizontal="center"/>
    </xf>
    <xf numFmtId="0" fontId="90" fillId="35" borderId="177" xfId="0" applyFont="1" applyFill="1" applyBorder="1" applyAlignment="1">
      <alignment horizontal="center"/>
    </xf>
    <xf numFmtId="0" fontId="90" fillId="35" borderId="177" xfId="0" applyFont="1" applyFill="1" applyBorder="1" applyAlignment="1">
      <alignment horizontal="left"/>
    </xf>
    <xf numFmtId="0" fontId="90" fillId="35" borderId="260" xfId="0" applyFont="1" applyFill="1" applyBorder="1" applyAlignment="1">
      <alignment horizontal="left" vertical="top" wrapText="1"/>
    </xf>
    <xf numFmtId="0" fontId="70" fillId="46" borderId="231" xfId="0" applyFont="1" applyFill="1" applyBorder="1" applyAlignment="1">
      <alignment horizontal="left"/>
    </xf>
    <xf numFmtId="1" fontId="90" fillId="46" borderId="177" xfId="0" applyNumberFormat="1" applyFont="1" applyFill="1" applyBorder="1" applyAlignment="1">
      <alignment horizontal="center"/>
    </xf>
    <xf numFmtId="4" fontId="90" fillId="46" borderId="177" xfId="0" applyNumberFormat="1" applyFont="1" applyFill="1" applyBorder="1" applyAlignment="1">
      <alignment horizontal="center"/>
    </xf>
    <xf numFmtId="0" fontId="90" fillId="46" borderId="177" xfId="0" applyFont="1" applyFill="1" applyBorder="1" applyAlignment="1">
      <alignment horizontal="center"/>
    </xf>
    <xf numFmtId="0" fontId="90" fillId="46" borderId="177" xfId="0" applyFont="1" applyFill="1" applyBorder="1" applyAlignment="1">
      <alignment horizontal="left"/>
    </xf>
    <xf numFmtId="0" fontId="90" fillId="46" borderId="260" xfId="0" applyFont="1" applyFill="1" applyBorder="1" applyAlignment="1">
      <alignment horizontal="left" vertical="top" wrapText="1"/>
    </xf>
    <xf numFmtId="0" fontId="70" fillId="36" borderId="258" xfId="0" applyFont="1" applyFill="1" applyBorder="1" applyAlignment="1">
      <alignment horizontal="left"/>
    </xf>
    <xf numFmtId="1" fontId="90" fillId="36" borderId="257" xfId="0" applyNumberFormat="1" applyFont="1" applyFill="1" applyBorder="1" applyAlignment="1">
      <alignment horizontal="center"/>
    </xf>
    <xf numFmtId="4" fontId="90" fillId="36" borderId="257" xfId="0" applyNumberFormat="1" applyFont="1" applyFill="1" applyBorder="1" applyAlignment="1">
      <alignment horizontal="center"/>
    </xf>
    <xf numFmtId="0" fontId="90" fillId="36" borderId="257" xfId="0" applyFont="1" applyFill="1" applyBorder="1" applyAlignment="1">
      <alignment horizontal="center"/>
    </xf>
    <xf numFmtId="0" fontId="90" fillId="36" borderId="257" xfId="0" applyFont="1" applyFill="1" applyBorder="1" applyAlignment="1">
      <alignment horizontal="left"/>
    </xf>
    <xf numFmtId="0" fontId="90" fillId="36" borderId="261" xfId="0" applyFont="1" applyFill="1" applyBorder="1" applyAlignment="1">
      <alignment horizontal="left" vertical="top" wrapText="1"/>
    </xf>
    <xf numFmtId="0" fontId="19" fillId="2" borderId="0" xfId="0" applyFont="1" applyFill="1" applyAlignment="1">
      <alignment horizontal="center" vertical="center"/>
    </xf>
    <xf numFmtId="0" fontId="20" fillId="3" borderId="0" xfId="0" applyFont="1" applyFill="1" applyAlignment="1">
      <alignment horizontal="center" vertical="center"/>
    </xf>
    <xf numFmtId="0" fontId="21" fillId="2"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8" borderId="18" xfId="0" applyFont="1" applyFill="1" applyBorder="1" applyAlignment="1">
      <alignment horizontal="center" vertical="center"/>
    </xf>
    <xf numFmtId="0" fontId="21" fillId="11" borderId="19" xfId="0" applyFont="1" applyFill="1" applyBorder="1" applyAlignment="1">
      <alignment horizontal="center" vertical="center"/>
    </xf>
    <xf numFmtId="164" fontId="22" fillId="5" borderId="7" xfId="0" applyNumberFormat="1" applyFont="1" applyFill="1" applyBorder="1" applyAlignment="1">
      <alignment horizontal="center" vertical="center"/>
    </xf>
    <xf numFmtId="164" fontId="23" fillId="5" borderId="20" xfId="0" applyNumberFormat="1" applyFont="1" applyFill="1" applyBorder="1" applyAlignment="1">
      <alignment horizontal="center" vertical="center"/>
    </xf>
    <xf numFmtId="164" fontId="24" fillId="5" borderId="21" xfId="0" applyNumberFormat="1" applyFont="1" applyFill="1" applyBorder="1" applyAlignment="1">
      <alignment horizontal="center" vertical="center"/>
    </xf>
    <xf numFmtId="164" fontId="25" fillId="5" borderId="22" xfId="0" applyNumberFormat="1" applyFont="1" applyFill="1" applyBorder="1" applyAlignment="1">
      <alignment horizontal="center" vertical="center"/>
    </xf>
    <xf numFmtId="0" fontId="26" fillId="7" borderId="7" xfId="0" applyFont="1" applyFill="1" applyBorder="1" applyAlignment="1">
      <alignment horizontal="center" vertical="center"/>
    </xf>
    <xf numFmtId="0" fontId="26" fillId="7" borderId="20" xfId="0" applyFont="1" applyFill="1" applyBorder="1" applyAlignment="1">
      <alignment horizontal="center" vertical="center"/>
    </xf>
    <xf numFmtId="0" fontId="26" fillId="7" borderId="21" xfId="0" applyFont="1" applyFill="1" applyBorder="1" applyAlignment="1">
      <alignment horizontal="center" vertical="center"/>
    </xf>
    <xf numFmtId="0" fontId="26" fillId="7" borderId="22" xfId="0" applyFont="1" applyFill="1" applyBorder="1" applyAlignment="1">
      <alignment horizontal="center" vertical="center"/>
    </xf>
    <xf numFmtId="4" fontId="23" fillId="5" borderId="20" xfId="0" applyNumberFormat="1" applyFont="1" applyFill="1" applyBorder="1" applyAlignment="1">
      <alignment horizontal="center" vertical="center"/>
    </xf>
    <xf numFmtId="10" fontId="24" fillId="5" borderId="21" xfId="0" applyNumberFormat="1" applyFont="1" applyFill="1" applyBorder="1" applyAlignment="1">
      <alignment horizontal="center" vertical="center"/>
    </xf>
    <xf numFmtId="4" fontId="25" fillId="5" borderId="22" xfId="0" applyNumberFormat="1" applyFont="1" applyFill="1" applyBorder="1" applyAlignment="1">
      <alignment horizontal="center" vertical="center"/>
    </xf>
    <xf numFmtId="0" fontId="21" fillId="10" borderId="23" xfId="0" applyFont="1" applyFill="1" applyBorder="1" applyAlignment="1">
      <alignment horizontal="center" vertical="center"/>
    </xf>
    <xf numFmtId="0" fontId="21" fillId="10" borderId="24" xfId="0" applyFont="1" applyFill="1" applyBorder="1" applyAlignment="1">
      <alignment horizontal="center" vertical="center"/>
    </xf>
    <xf numFmtId="3" fontId="27" fillId="5" borderId="23" xfId="0" applyNumberFormat="1" applyFont="1" applyFill="1" applyBorder="1" applyAlignment="1">
      <alignment horizontal="center" vertical="center"/>
    </xf>
    <xf numFmtId="165" fontId="27" fillId="5" borderId="23" xfId="0" applyNumberFormat="1" applyFont="1" applyFill="1" applyBorder="1" applyAlignment="1">
      <alignment horizontal="center" vertical="center"/>
    </xf>
    <xf numFmtId="167" fontId="27" fillId="5" borderId="24" xfId="0" applyNumberFormat="1" applyFont="1" applyFill="1" applyBorder="1" applyAlignment="1">
      <alignment horizontal="center" vertical="center"/>
    </xf>
    <xf numFmtId="0" fontId="26" fillId="7" borderId="23" xfId="0" applyFont="1" applyFill="1" applyBorder="1" applyAlignment="1">
      <alignment horizontal="center" vertical="center"/>
    </xf>
    <xf numFmtId="0" fontId="26" fillId="7" borderId="24" xfId="0" applyFont="1" applyFill="1" applyBorder="1" applyAlignment="1">
      <alignment horizontal="center" vertical="center"/>
    </xf>
    <xf numFmtId="0" fontId="7" fillId="2" borderId="0" xfId="0" applyFont="1" applyFill="1" applyAlignment="1">
      <alignment horizontal="left" vertical="center"/>
    </xf>
    <xf numFmtId="0" fontId="11" fillId="12" borderId="0" xfId="0" applyFont="1" applyFill="1" applyAlignment="1">
      <alignment horizontal="left" vertical="center" wrapText="1"/>
    </xf>
    <xf numFmtId="0" fontId="53" fillId="27" borderId="7" xfId="0" applyFont="1" applyFill="1" applyBorder="1" applyAlignment="1">
      <alignment horizontal="left" vertical="center" indent="1"/>
    </xf>
    <xf numFmtId="0" fontId="53" fillId="27" borderId="0" xfId="0" applyFont="1" applyFill="1" applyAlignment="1">
      <alignment horizontal="left" vertical="center" indent="1"/>
    </xf>
    <xf numFmtId="0" fontId="53" fillId="27" borderId="8" xfId="0" applyFont="1" applyFill="1" applyBorder="1" applyAlignment="1">
      <alignment horizontal="left" vertical="center" indent="1"/>
    </xf>
    <xf numFmtId="0" fontId="7" fillId="18" borderId="114" xfId="0" applyFont="1" applyFill="1" applyBorder="1" applyAlignment="1">
      <alignment horizontal="left" vertical="center" indent="1"/>
    </xf>
    <xf numFmtId="0" fontId="7" fillId="18" borderId="98" xfId="0" applyFont="1" applyFill="1" applyBorder="1" applyAlignment="1">
      <alignment horizontal="left" vertical="center" indent="1"/>
    </xf>
    <xf numFmtId="0" fontId="7" fillId="18" borderId="0" xfId="0" applyFont="1" applyFill="1" applyAlignment="1">
      <alignment horizontal="left" vertical="center" indent="1"/>
    </xf>
    <xf numFmtId="0" fontId="7" fillId="18" borderId="99" xfId="0" applyFont="1" applyFill="1" applyBorder="1" applyAlignment="1">
      <alignment horizontal="left" vertical="center" indent="1"/>
    </xf>
    <xf numFmtId="0" fontId="40" fillId="18" borderId="7" xfId="0" applyFont="1" applyFill="1" applyBorder="1" applyAlignment="1">
      <alignment horizontal="left" vertical="center" indent="1"/>
    </xf>
    <xf numFmtId="0" fontId="40" fillId="18" borderId="0" xfId="0" applyFont="1" applyFill="1" applyAlignment="1">
      <alignment horizontal="left" vertical="center" indent="1"/>
    </xf>
    <xf numFmtId="0" fontId="40" fillId="18" borderId="8" xfId="0" applyFont="1" applyFill="1" applyBorder="1" applyAlignment="1">
      <alignment horizontal="left" vertical="center" indent="1"/>
    </xf>
    <xf numFmtId="0" fontId="48" fillId="23" borderId="128" xfId="0" applyFont="1" applyFill="1" applyBorder="1" applyAlignment="1">
      <alignment horizontal="left" vertical="center" indent="1"/>
    </xf>
    <xf numFmtId="0" fontId="48" fillId="23" borderId="25" xfId="0" applyFont="1" applyFill="1" applyBorder="1" applyAlignment="1">
      <alignment horizontal="left" vertical="center" indent="1"/>
    </xf>
    <xf numFmtId="0" fontId="48" fillId="23" borderId="129" xfId="0" applyFont="1" applyFill="1" applyBorder="1" applyAlignment="1">
      <alignment horizontal="left" vertical="center" indent="1"/>
    </xf>
    <xf numFmtId="0" fontId="29" fillId="7" borderId="7" xfId="0" applyFont="1" applyFill="1" applyBorder="1" applyAlignment="1">
      <alignment horizontal="left" vertical="top" wrapText="1"/>
    </xf>
    <xf numFmtId="0" fontId="29" fillId="22" borderId="0" xfId="0" applyFont="1" applyFill="1" applyAlignment="1">
      <alignment horizontal="left" vertical="top" wrapText="1"/>
    </xf>
    <xf numFmtId="0" fontId="29" fillId="22" borderId="8" xfId="0" applyFont="1" applyFill="1" applyBorder="1" applyAlignment="1">
      <alignment horizontal="left" vertical="top" wrapText="1"/>
    </xf>
    <xf numFmtId="0" fontId="29" fillId="5" borderId="103" xfId="0" applyFont="1" applyFill="1" applyBorder="1" applyAlignment="1">
      <alignment horizontal="left" vertical="top" wrapText="1"/>
    </xf>
    <xf numFmtId="0" fontId="29" fillId="19" borderId="111" xfId="0" applyFont="1" applyFill="1" applyBorder="1" applyAlignment="1">
      <alignment horizontal="left" vertical="top" wrapText="1"/>
    </xf>
    <xf numFmtId="0" fontId="29" fillId="19" borderId="110" xfId="0" applyFont="1" applyFill="1" applyBorder="1" applyAlignment="1">
      <alignment horizontal="left" vertical="top" wrapText="1"/>
    </xf>
    <xf numFmtId="0" fontId="29" fillId="7" borderId="103" xfId="0" applyFont="1" applyFill="1" applyBorder="1" applyAlignment="1">
      <alignment horizontal="left" vertical="top" wrapText="1"/>
    </xf>
    <xf numFmtId="0" fontId="29" fillId="22" borderId="111" xfId="0" applyFont="1" applyFill="1" applyBorder="1" applyAlignment="1">
      <alignment horizontal="left" vertical="top" wrapText="1"/>
    </xf>
    <xf numFmtId="0" fontId="29" fillId="22" borderId="110" xfId="0" applyFont="1" applyFill="1" applyBorder="1" applyAlignment="1">
      <alignment horizontal="left" vertical="top" wrapText="1"/>
    </xf>
    <xf numFmtId="0" fontId="48" fillId="29" borderId="130" xfId="0" applyFont="1" applyFill="1" applyBorder="1" applyAlignment="1">
      <alignment horizontal="left" vertical="center" indent="1"/>
    </xf>
    <xf numFmtId="0" fontId="48" fillId="29" borderId="44" xfId="0" applyFont="1" applyFill="1" applyBorder="1" applyAlignment="1">
      <alignment horizontal="left" vertical="center" indent="1"/>
    </xf>
    <xf numFmtId="0" fontId="48" fillId="29" borderId="131" xfId="0" applyFont="1" applyFill="1" applyBorder="1" applyAlignment="1">
      <alignment horizontal="left" vertical="center" indent="1"/>
    </xf>
    <xf numFmtId="0" fontId="30" fillId="7" borderId="6" xfId="0" applyFont="1" applyFill="1" applyBorder="1" applyAlignment="1">
      <alignment horizontal="center" vertical="center"/>
    </xf>
    <xf numFmtId="0" fontId="32" fillId="19" borderId="119" xfId="0" applyFont="1" applyFill="1" applyBorder="1" applyAlignment="1">
      <alignment horizontal="left" vertical="center"/>
    </xf>
    <xf numFmtId="0" fontId="31" fillId="5" borderId="6" xfId="0" applyFont="1" applyFill="1" applyBorder="1" applyAlignment="1">
      <alignment horizontal="center" vertical="center"/>
    </xf>
    <xf numFmtId="0" fontId="6" fillId="6" borderId="69" xfId="0" applyFont="1" applyFill="1" applyBorder="1" applyAlignment="1">
      <alignment horizontal="left" vertical="center" indent="1"/>
    </xf>
    <xf numFmtId="0" fontId="6" fillId="6" borderId="73" xfId="0" applyFont="1" applyFill="1" applyBorder="1" applyAlignment="1">
      <alignment horizontal="left" vertical="center"/>
    </xf>
    <xf numFmtId="0" fontId="8" fillId="6" borderId="16" xfId="0" applyFont="1" applyFill="1" applyBorder="1" applyAlignment="1">
      <alignment horizontal="left" vertical="center" wrapText="1" indent="1"/>
    </xf>
    <xf numFmtId="0" fontId="8" fillId="6" borderId="11" xfId="0" applyFont="1" applyFill="1" applyBorder="1" applyAlignment="1">
      <alignment horizontal="left" vertical="center" wrapText="1"/>
    </xf>
    <xf numFmtId="0" fontId="8" fillId="22" borderId="11" xfId="0" applyFont="1" applyFill="1" applyBorder="1" applyAlignment="1">
      <alignment horizontal="left" vertical="center" wrapText="1"/>
    </xf>
    <xf numFmtId="0" fontId="8" fillId="22" borderId="50" xfId="0" applyFont="1" applyFill="1" applyBorder="1" applyAlignment="1">
      <alignment horizontal="left" vertical="center" wrapText="1"/>
    </xf>
    <xf numFmtId="0" fontId="6" fillId="6" borderId="54" xfId="0" applyFont="1" applyFill="1" applyBorder="1" applyAlignment="1">
      <alignment horizontal="left" vertical="center" indent="1"/>
    </xf>
    <xf numFmtId="0" fontId="6" fillId="6" borderId="74" xfId="0" applyFont="1" applyFill="1" applyBorder="1" applyAlignment="1">
      <alignment horizontal="left" vertical="center"/>
    </xf>
    <xf numFmtId="0" fontId="8" fillId="6" borderId="68" xfId="0" applyFont="1" applyFill="1" applyBorder="1" applyAlignment="1">
      <alignment horizontal="left" vertical="center" wrapText="1" indent="1"/>
    </xf>
    <xf numFmtId="0" fontId="8" fillId="6" borderId="9" xfId="0" applyFont="1" applyFill="1" applyBorder="1" applyAlignment="1">
      <alignment horizontal="left" vertical="center" wrapText="1"/>
    </xf>
    <xf numFmtId="0" fontId="8" fillId="22" borderId="9" xfId="0" applyFont="1" applyFill="1" applyBorder="1" applyAlignment="1">
      <alignment horizontal="left" vertical="center" wrapText="1"/>
    </xf>
    <xf numFmtId="0" fontId="8" fillId="22" borderId="67" xfId="0" applyFont="1" applyFill="1" applyBorder="1" applyAlignment="1">
      <alignment horizontal="left" vertical="center" wrapText="1"/>
    </xf>
    <xf numFmtId="0" fontId="3" fillId="2" borderId="0" xfId="0" applyFont="1" applyFill="1" applyAlignment="1">
      <alignment horizontal="center" vertical="center"/>
    </xf>
    <xf numFmtId="0" fontId="4" fillId="3" borderId="0" xfId="0" applyFont="1" applyFill="1" applyAlignment="1">
      <alignment horizontal="center" vertical="center"/>
    </xf>
    <xf numFmtId="0" fontId="5" fillId="4" borderId="0" xfId="0" applyFont="1" applyFill="1" applyAlignment="1">
      <alignment horizontal="center" vertical="center"/>
    </xf>
    <xf numFmtId="0" fontId="7" fillId="2" borderId="16" xfId="0" applyFont="1" applyFill="1" applyBorder="1" applyAlignment="1">
      <alignment horizontal="center" vertical="center"/>
    </xf>
    <xf numFmtId="0" fontId="7" fillId="2" borderId="50" xfId="0" applyFont="1" applyFill="1" applyBorder="1" applyAlignment="1">
      <alignment horizontal="center" vertical="center"/>
    </xf>
    <xf numFmtId="0" fontId="7" fillId="2" borderId="11" xfId="0" applyFont="1" applyFill="1" applyBorder="1" applyAlignment="1">
      <alignment horizontal="center" vertical="center"/>
    </xf>
    <xf numFmtId="0" fontId="7" fillId="23" borderId="11" xfId="0" applyFont="1" applyFill="1" applyBorder="1" applyAlignment="1">
      <alignment horizontal="center" vertical="center"/>
    </xf>
    <xf numFmtId="0" fontId="7" fillId="23" borderId="50" xfId="0" applyFont="1" applyFill="1" applyBorder="1" applyAlignment="1">
      <alignment horizontal="center" vertical="center"/>
    </xf>
    <xf numFmtId="0" fontId="6" fillId="4" borderId="49" xfId="0" applyFont="1" applyFill="1" applyBorder="1" applyAlignment="1">
      <alignment horizontal="center" vertical="center" indent="1"/>
    </xf>
    <xf numFmtId="0" fontId="6" fillId="4" borderId="72" xfId="0" applyFont="1" applyFill="1" applyBorder="1" applyAlignment="1">
      <alignment horizontal="center" vertical="center"/>
    </xf>
    <xf numFmtId="0" fontId="6" fillId="4" borderId="16" xfId="0" applyFont="1" applyFill="1" applyBorder="1" applyAlignment="1">
      <alignment horizontal="center" vertical="center" wrapText="1" indent="1"/>
    </xf>
    <xf numFmtId="0" fontId="6" fillId="4" borderId="11" xfId="0" applyFont="1" applyFill="1" applyBorder="1" applyAlignment="1">
      <alignment horizontal="center" vertical="center" wrapText="1"/>
    </xf>
    <xf numFmtId="0" fontId="6" fillId="20" borderId="11" xfId="0" applyFont="1" applyFill="1" applyBorder="1" applyAlignment="1">
      <alignment horizontal="center" vertical="center" wrapText="1"/>
    </xf>
    <xf numFmtId="0" fontId="6" fillId="20" borderId="50" xfId="0" applyFont="1" applyFill="1" applyBorder="1" applyAlignment="1">
      <alignment horizontal="center" vertical="center" wrapText="1"/>
    </xf>
    <xf numFmtId="0" fontId="6" fillId="5" borderId="54" xfId="0" applyFont="1" applyFill="1" applyBorder="1" applyAlignment="1">
      <alignment horizontal="left" vertical="center" indent="1"/>
    </xf>
    <xf numFmtId="0" fontId="6" fillId="5" borderId="74" xfId="0" applyFont="1" applyFill="1" applyBorder="1" applyAlignment="1">
      <alignment horizontal="left" vertical="center"/>
    </xf>
    <xf numFmtId="0" fontId="8" fillId="5" borderId="68" xfId="0" applyFont="1" applyFill="1" applyBorder="1" applyAlignment="1">
      <alignment horizontal="left" vertical="center" wrapText="1" indent="1"/>
    </xf>
    <xf numFmtId="0" fontId="8" fillId="5" borderId="9" xfId="0" applyFont="1" applyFill="1" applyBorder="1" applyAlignment="1">
      <alignment horizontal="left" vertical="center" wrapText="1"/>
    </xf>
    <xf numFmtId="0" fontId="8" fillId="19" borderId="9" xfId="0" applyFont="1" applyFill="1" applyBorder="1" applyAlignment="1">
      <alignment horizontal="left" vertical="center" wrapText="1"/>
    </xf>
    <xf numFmtId="0" fontId="8" fillId="19" borderId="67" xfId="0" applyFont="1" applyFill="1" applyBorder="1" applyAlignment="1">
      <alignment horizontal="left" vertical="center" wrapText="1"/>
    </xf>
    <xf numFmtId="0" fontId="48" fillId="23" borderId="80" xfId="0" applyFont="1" applyFill="1" applyBorder="1" applyAlignment="1">
      <alignment horizontal="left" vertical="center" indent="1"/>
    </xf>
    <xf numFmtId="0" fontId="48" fillId="23" borderId="88" xfId="0" applyFont="1" applyFill="1" applyBorder="1" applyAlignment="1">
      <alignment horizontal="left" vertical="center" indent="1"/>
    </xf>
    <xf numFmtId="0" fontId="52" fillId="13" borderId="77" xfId="0" applyFont="1" applyFill="1" applyBorder="1" applyAlignment="1">
      <alignment horizontal="center" vertical="center"/>
    </xf>
    <xf numFmtId="0" fontId="52" fillId="13" borderId="86" xfId="0" applyFont="1" applyFill="1" applyBorder="1" applyAlignment="1">
      <alignment horizontal="center" vertical="center"/>
    </xf>
    <xf numFmtId="0" fontId="47" fillId="21" borderId="78" xfId="0" applyFont="1" applyFill="1" applyBorder="1" applyAlignment="1">
      <alignment vertical="center"/>
    </xf>
    <xf numFmtId="0" fontId="47" fillId="21" borderId="87" xfId="0" applyFont="1" applyFill="1" applyBorder="1" applyAlignment="1">
      <alignment vertical="center"/>
    </xf>
    <xf numFmtId="0" fontId="48" fillId="23" borderId="80" xfId="0" applyFont="1" applyFill="1" applyBorder="1" applyAlignment="1">
      <alignment horizontal="left" vertical="center" wrapText="1" indent="1"/>
    </xf>
    <xf numFmtId="0" fontId="48" fillId="23" borderId="88" xfId="0" applyFont="1" applyFill="1" applyBorder="1" applyAlignment="1">
      <alignment horizontal="left" vertical="center" wrapText="1" indent="1"/>
    </xf>
    <xf numFmtId="0" fontId="34" fillId="2" borderId="77" xfId="0" applyFont="1" applyFill="1" applyBorder="1" applyAlignment="1">
      <alignment horizontal="center" vertical="center"/>
    </xf>
    <xf numFmtId="0" fontId="34" fillId="2" borderId="76" xfId="0" applyFont="1" applyFill="1" applyBorder="1" applyAlignment="1">
      <alignment horizontal="center" vertical="center"/>
    </xf>
    <xf numFmtId="0" fontId="34" fillId="2" borderId="157" xfId="0" applyFont="1" applyFill="1" applyBorder="1" applyAlignment="1">
      <alignment horizontal="center" vertical="center"/>
    </xf>
    <xf numFmtId="0" fontId="51" fillId="23" borderId="16" xfId="0" applyFont="1" applyFill="1" applyBorder="1" applyAlignment="1">
      <alignment horizontal="left" vertical="center" indent="1"/>
    </xf>
    <xf numFmtId="0" fontId="51" fillId="32" borderId="16" xfId="0" applyFont="1" applyFill="1" applyBorder="1" applyAlignment="1">
      <alignment horizontal="center" vertical="center"/>
    </xf>
    <xf numFmtId="0" fontId="51" fillId="32" borderId="11" xfId="0" applyFont="1" applyFill="1" applyBorder="1" applyAlignment="1">
      <alignment horizontal="center" vertical="center"/>
    </xf>
    <xf numFmtId="0" fontId="51" fillId="32" borderId="50" xfId="0" applyFont="1" applyFill="1" applyBorder="1" applyAlignment="1">
      <alignment horizontal="center" vertical="center"/>
    </xf>
    <xf numFmtId="0" fontId="84" fillId="19" borderId="7" xfId="0" applyFont="1" applyFill="1" applyBorder="1" applyAlignment="1">
      <alignment vertical="center" wrapText="1" indent="1"/>
    </xf>
    <xf numFmtId="0" fontId="84" fillId="19" borderId="0" xfId="0" applyFont="1" applyFill="1" applyAlignment="1">
      <alignment vertical="center" wrapText="1" indent="1"/>
    </xf>
    <xf numFmtId="0" fontId="84" fillId="19" borderId="8" xfId="0" applyFont="1" applyFill="1" applyBorder="1" applyAlignment="1">
      <alignment vertical="center" wrapText="1" indent="1"/>
    </xf>
    <xf numFmtId="0" fontId="65" fillId="32" borderId="230" xfId="0" applyFont="1" applyFill="1" applyBorder="1" applyAlignment="1">
      <alignment horizontal="left" vertical="center" indent="1"/>
    </xf>
    <xf numFmtId="0" fontId="65" fillId="32" borderId="226" xfId="0" applyFont="1" applyFill="1" applyBorder="1" applyAlignment="1">
      <alignment horizontal="left" vertical="center" indent="1"/>
    </xf>
    <xf numFmtId="0" fontId="65" fillId="32" borderId="227" xfId="0" applyFont="1" applyFill="1" applyBorder="1" applyAlignment="1">
      <alignment horizontal="left" vertical="center" indent="1"/>
    </xf>
    <xf numFmtId="0" fontId="84" fillId="42" borderId="233" xfId="0" applyFont="1" applyFill="1" applyBorder="1" applyAlignment="1">
      <alignment vertical="top" wrapText="1" indent="1"/>
    </xf>
    <xf numFmtId="0" fontId="84" fillId="42" borderId="229" xfId="0" applyFont="1" applyFill="1" applyBorder="1" applyAlignment="1">
      <alignment vertical="top" wrapText="1" indent="1"/>
    </xf>
    <xf numFmtId="0" fontId="65" fillId="32" borderId="234" xfId="0" applyFont="1" applyFill="1" applyBorder="1" applyAlignment="1">
      <alignment horizontal="left" vertical="center" indent="1"/>
    </xf>
    <xf numFmtId="0" fontId="65" fillId="32" borderId="249" xfId="0" applyFont="1" applyFill="1" applyBorder="1" applyAlignment="1">
      <alignment vertical="center" indent="1"/>
    </xf>
    <xf numFmtId="0" fontId="65" fillId="32" borderId="250" xfId="0" applyFont="1" applyFill="1" applyBorder="1" applyAlignment="1">
      <alignment vertical="center" indent="1"/>
    </xf>
    <xf numFmtId="0" fontId="65" fillId="32" borderId="251" xfId="0" applyFont="1" applyFill="1" applyBorder="1" applyAlignment="1">
      <alignment vertical="center" indent="1"/>
    </xf>
    <xf numFmtId="0" fontId="74" fillId="37" borderId="252" xfId="0" applyFont="1" applyFill="1" applyBorder="1" applyAlignment="1">
      <alignment vertical="top" wrapText="1" indent="1"/>
    </xf>
    <xf numFmtId="0" fontId="74" fillId="37" borderId="180" xfId="0" applyFont="1" applyFill="1" applyBorder="1" applyAlignment="1">
      <alignment vertical="top" wrapText="1" indent="1"/>
    </xf>
    <xf numFmtId="0" fontId="74" fillId="37" borderId="253" xfId="0" applyFont="1" applyFill="1" applyBorder="1" applyAlignment="1">
      <alignment vertical="top" wrapText="1" indent="1"/>
    </xf>
    <xf numFmtId="0" fontId="74" fillId="37" borderId="252" xfId="0" applyFont="1" applyFill="1" applyBorder="1" applyAlignment="1">
      <alignment horizontal="left" vertical="top" wrapText="1" indent="1"/>
    </xf>
    <xf numFmtId="0" fontId="74" fillId="37" borderId="180" xfId="0" applyFont="1" applyFill="1" applyBorder="1" applyAlignment="1">
      <alignment horizontal="left" vertical="top" wrapText="1" indent="1"/>
    </xf>
    <xf numFmtId="0" fontId="74" fillId="37" borderId="253" xfId="0" applyFont="1" applyFill="1" applyBorder="1" applyAlignment="1">
      <alignment horizontal="left" vertical="top" wrapText="1" indent="1"/>
    </xf>
    <xf numFmtId="0" fontId="74" fillId="37" borderId="254" xfId="0" applyFont="1" applyFill="1" applyBorder="1" applyAlignment="1">
      <alignment horizontal="center" vertical="top" wrapText="1" indent="1"/>
    </xf>
    <xf numFmtId="0" fontId="74" fillId="37" borderId="255" xfId="0" applyFont="1" applyFill="1" applyBorder="1" applyAlignment="1">
      <alignment horizontal="center" vertical="top" wrapText="1" indent="1"/>
    </xf>
    <xf numFmtId="0" fontId="74" fillId="37" borderId="256" xfId="0" applyFont="1" applyFill="1" applyBorder="1" applyAlignment="1">
      <alignment horizontal="center" vertical="top" wrapText="1" indent="1"/>
    </xf>
    <xf numFmtId="0" fontId="84" fillId="42" borderId="238" xfId="0" applyFont="1" applyFill="1" applyBorder="1" applyAlignment="1">
      <alignment vertical="top" wrapText="1" indent="1"/>
    </xf>
    <xf numFmtId="0" fontId="65" fillId="32" borderId="230" xfId="0" applyFont="1" applyFill="1" applyBorder="1" applyAlignment="1">
      <alignment horizontal="left" vertical="center"/>
    </xf>
    <xf numFmtId="0" fontId="65" fillId="32" borderId="226" xfId="0" applyFont="1" applyFill="1" applyBorder="1" applyAlignment="1">
      <alignment horizontal="left" vertical="center"/>
    </xf>
    <xf numFmtId="0" fontId="65" fillId="32" borderId="227" xfId="0" applyFont="1" applyFill="1" applyBorder="1" applyAlignment="1">
      <alignment horizontal="left" vertical="center"/>
    </xf>
    <xf numFmtId="0" fontId="65" fillId="32" borderId="228" xfId="0" applyFont="1" applyFill="1" applyBorder="1" applyAlignment="1">
      <alignment horizontal="left" vertical="center"/>
    </xf>
    <xf numFmtId="0" fontId="94" fillId="41" borderId="230" xfId="0" applyFont="1" applyFill="1" applyBorder="1" applyAlignment="1">
      <alignment horizontal="left" vertical="center"/>
    </xf>
    <xf numFmtId="0" fontId="94" fillId="41" borderId="226" xfId="0" applyFont="1" applyFill="1" applyBorder="1" applyAlignment="1">
      <alignment horizontal="left" vertical="center"/>
    </xf>
    <xf numFmtId="0" fontId="94" fillId="41" borderId="227" xfId="0" applyFont="1" applyFill="1" applyBorder="1" applyAlignment="1">
      <alignment horizontal="left" vertical="center"/>
    </xf>
    <xf numFmtId="0" fontId="93" fillId="19" borderId="0" xfId="0" applyFont="1" applyFill="1" applyAlignment="1">
      <alignment wrapText="1"/>
    </xf>
    <xf numFmtId="0" fontId="93" fillId="19" borderId="35" xfId="0" applyFont="1" applyFill="1" applyBorder="1" applyAlignment="1">
      <alignment wrapText="1"/>
    </xf>
    <xf numFmtId="0" fontId="78" fillId="2" borderId="179" xfId="0" applyFont="1" applyFill="1" applyBorder="1" applyAlignment="1">
      <alignment horizontal="center" vertical="center"/>
    </xf>
    <xf numFmtId="0" fontId="81" fillId="2" borderId="179" xfId="0" applyFont="1" applyFill="1" applyBorder="1" applyAlignment="1">
      <alignment horizontal="center" vertical="center"/>
    </xf>
  </cellXfs>
  <cellStyles count="1">
    <cellStyle name="Normal" xfId="0" builtinId="0"/>
  </cellStyles>
  <dxfs count="57">
    <dxf>
      <font>
        <b val="0"/>
        <i/>
        <color rgb="FF6B7280"/>
      </font>
    </dxf>
    <dxf>
      <font>
        <color rgb="FF374151"/>
      </font>
    </dxf>
    <dxf>
      <font>
        <b/>
        <i val="0"/>
        <color rgb="FF92400E"/>
      </font>
    </dxf>
    <dxf>
      <font>
        <b/>
        <i val="0"/>
        <color rgb="FF991B1B"/>
      </font>
    </dxf>
    <dxf>
      <font>
        <b/>
        <i val="0"/>
        <color rgb="FFFFFFFF"/>
      </font>
      <fill>
        <patternFill patternType="solid">
          <fgColor indexed="64"/>
          <bgColor rgb="FF991B1B"/>
        </patternFill>
      </fill>
    </dxf>
    <dxf>
      <font>
        <b/>
        <i val="0"/>
        <color rgb="FF166534"/>
      </font>
      <fill>
        <patternFill patternType="solid">
          <fgColor indexed="64"/>
          <bgColor rgb="FFDCFCE7"/>
        </patternFill>
      </fill>
    </dxf>
    <dxf>
      <font>
        <color rgb="FF991B1B"/>
      </font>
      <fill>
        <patternFill patternType="solid">
          <fgColor indexed="64"/>
          <bgColor rgb="FFFEE2E2"/>
        </patternFill>
      </fill>
    </dxf>
    <dxf>
      <font>
        <color rgb="FF166534"/>
      </font>
      <fill>
        <patternFill patternType="solid">
          <fgColor indexed="64"/>
          <bgColor rgb="FFDCFCE7"/>
        </patternFill>
      </fill>
    </dxf>
    <dxf>
      <font>
        <color rgb="FF92400E"/>
      </font>
      <fill>
        <patternFill patternType="solid">
          <fgColor indexed="64"/>
          <bgColor rgb="FFFEF3C7"/>
        </patternFill>
      </fill>
    </dxf>
    <dxf>
      <font>
        <color rgb="FF991B1B"/>
      </font>
      <fill>
        <patternFill patternType="solid">
          <fgColor indexed="64"/>
          <bgColor rgb="FFFEE2E2"/>
        </patternFill>
      </fill>
    </dxf>
    <dxf>
      <font>
        <color rgb="FF92400E"/>
      </font>
      <fill>
        <patternFill patternType="solid">
          <fgColor indexed="64"/>
          <bgColor rgb="FFFEF3C7"/>
        </patternFill>
      </fill>
    </dxf>
    <dxf>
      <font>
        <color rgb="FF991B1B"/>
      </font>
      <fill>
        <patternFill patternType="solid">
          <fgColor indexed="64"/>
          <bgColor rgb="FFFEE2E2"/>
        </patternFill>
      </fill>
    </dxf>
    <dxf>
      <font>
        <b/>
        <i val="0"/>
        <color rgb="FF92400E"/>
      </font>
      <fill>
        <patternFill patternType="solid">
          <fgColor indexed="64"/>
          <bgColor rgb="FFFEF3C7"/>
        </patternFill>
      </fill>
    </dxf>
    <dxf>
      <font>
        <b val="0"/>
        <i/>
        <color rgb="FF1D4ED8"/>
      </font>
    </dxf>
    <dxf>
      <font>
        <b/>
        <i val="0"/>
        <color rgb="FF1D4ED8"/>
      </font>
    </dxf>
    <dxf>
      <font>
        <color rgb="FF374151"/>
      </font>
    </dxf>
    <dxf>
      <font>
        <b/>
        <i val="0"/>
        <color rgb="FF92400E"/>
      </font>
    </dxf>
    <dxf>
      <font>
        <b/>
        <i val="0"/>
        <color rgb="FFFFFFFF"/>
      </font>
      <fill>
        <patternFill patternType="solid">
          <fgColor indexed="64"/>
          <bgColor rgb="FF991B1B"/>
        </patternFill>
      </fill>
    </dxf>
    <dxf>
      <font>
        <b/>
        <i val="0"/>
        <color rgb="FF92400E"/>
      </font>
    </dxf>
    <dxf>
      <font>
        <b/>
        <i val="0"/>
        <color rgb="FF92400E"/>
      </font>
    </dxf>
    <dxf>
      <font>
        <b/>
        <i val="0"/>
        <color rgb="FF991B1B"/>
      </font>
      <fill>
        <patternFill patternType="solid">
          <fgColor indexed="64"/>
          <bgColor rgb="FFFEE2E2"/>
        </patternFill>
      </fill>
    </dxf>
    <dxf>
      <font>
        <b/>
        <i val="0"/>
        <color rgb="FF92400E"/>
      </font>
    </dxf>
    <dxf>
      <font>
        <b val="0"/>
        <i/>
        <color rgb="FF1A5276"/>
      </font>
    </dxf>
    <dxf>
      <font>
        <b val="0"/>
        <i/>
        <color rgb="FF92400E"/>
      </font>
    </dxf>
    <dxf>
      <font>
        <b/>
        <i val="0"/>
        <color rgb="FF991B1B"/>
      </font>
      <fill>
        <patternFill patternType="solid">
          <fgColor indexed="64"/>
          <bgColor rgb="FFFEE2E2"/>
        </patternFill>
      </fill>
    </dxf>
    <dxf>
      <font>
        <b/>
        <i val="0"/>
        <color rgb="FF92400E"/>
      </font>
      <fill>
        <patternFill patternType="solid">
          <fgColor indexed="64"/>
          <bgColor rgb="FFFEF3C7"/>
        </patternFill>
      </fill>
    </dxf>
    <dxf>
      <font>
        <color rgb="FF166534"/>
      </font>
      <fill>
        <patternFill patternType="solid">
          <fgColor indexed="64"/>
          <bgColor rgb="FFDCFCE7"/>
        </patternFill>
      </fill>
    </dxf>
    <dxf>
      <font>
        <b/>
        <i val="0"/>
        <color rgb="FF991B1B"/>
      </font>
      <fill>
        <patternFill patternType="solid">
          <fgColor indexed="64"/>
          <bgColor rgb="FFFEE2E2"/>
        </patternFill>
      </fill>
    </dxf>
    <dxf>
      <font>
        <b/>
        <i val="0"/>
        <color rgb="FF92400E"/>
      </font>
    </dxf>
    <dxf>
      <font>
        <b val="0"/>
        <i/>
        <color rgb="FF1A5276"/>
      </font>
    </dxf>
    <dxf>
      <font>
        <b/>
        <i val="0"/>
        <color rgb="FF991B1B"/>
      </font>
      <fill>
        <patternFill patternType="solid">
          <fgColor indexed="64"/>
          <bgColor rgb="FFFEE2E2"/>
        </patternFill>
      </fill>
    </dxf>
    <dxf>
      <font>
        <b/>
        <i val="0"/>
        <color rgb="FF92400E"/>
      </font>
      <fill>
        <patternFill patternType="solid">
          <fgColor indexed="64"/>
          <bgColor rgb="FFFEF3C7"/>
        </patternFill>
      </fill>
    </dxf>
    <dxf>
      <font>
        <b/>
        <i val="0"/>
        <color rgb="FF166534"/>
      </font>
    </dxf>
    <dxf>
      <font>
        <b val="0"/>
        <i/>
        <color rgb="FF6B7280"/>
      </font>
    </dxf>
    <dxf>
      <font>
        <color rgb="FF166534"/>
      </font>
      <fill>
        <patternFill patternType="solid">
          <fgColor indexed="64"/>
          <bgColor rgb="FFDCFCE7"/>
        </patternFill>
      </fill>
    </dxf>
    <dxf>
      <font>
        <b/>
        <i val="0"/>
        <color rgb="FF92400E"/>
      </font>
      <fill>
        <patternFill patternType="solid">
          <fgColor indexed="64"/>
          <bgColor rgb="FFFEF3C7"/>
        </patternFill>
      </fill>
    </dxf>
    <dxf>
      <font>
        <b/>
        <i val="0"/>
        <color rgb="FF991B1B"/>
      </font>
      <fill>
        <patternFill patternType="solid">
          <fgColor indexed="64"/>
          <bgColor rgb="FFFEE2E2"/>
        </patternFill>
      </fill>
    </dxf>
    <dxf>
      <font>
        <b val="0"/>
        <i/>
        <color rgb="FF92400E"/>
      </font>
      <fill>
        <patternFill patternType="solid">
          <fgColor indexed="64"/>
          <bgColor rgb="FFFEF3C7"/>
        </patternFill>
      </fill>
    </dxf>
    <dxf>
      <font>
        <b/>
        <i val="0"/>
        <color rgb="FF166534"/>
      </font>
      <fill>
        <patternFill patternType="solid">
          <fgColor indexed="64"/>
          <bgColor rgb="FFDCFCE7"/>
        </patternFill>
      </fill>
    </dxf>
    <dxf>
      <font>
        <b/>
        <i val="0"/>
        <color rgb="FF991B1B"/>
      </font>
      <fill>
        <patternFill patternType="solid">
          <fgColor indexed="64"/>
          <bgColor rgb="FFFEE2E2"/>
        </patternFill>
      </fill>
    </dxf>
    <dxf>
      <font>
        <b/>
        <i val="0"/>
        <color rgb="FF92400E"/>
      </font>
    </dxf>
    <dxf>
      <font>
        <color rgb="FF166534"/>
      </font>
    </dxf>
    <dxf>
      <font>
        <b val="0"/>
        <i/>
        <color rgb="FF6B7280"/>
      </font>
      <fill>
        <patternFill patternType="solid">
          <fgColor indexed="64"/>
          <bgColor rgb="FFF3F4F6"/>
        </patternFill>
      </fill>
    </dxf>
    <dxf>
      <font>
        <b/>
        <i val="0"/>
        <color rgb="FF991B1B"/>
      </font>
      <fill>
        <patternFill patternType="solid">
          <fgColor indexed="64"/>
          <bgColor rgb="FFFEE2E2"/>
        </patternFill>
      </fill>
    </dxf>
    <dxf>
      <font>
        <b/>
        <i val="0"/>
        <color rgb="FF92400E"/>
      </font>
      <fill>
        <patternFill patternType="solid">
          <fgColor indexed="64"/>
          <bgColor rgb="FFFEF3C7"/>
        </patternFill>
      </fill>
    </dxf>
    <dxf>
      <font>
        <b/>
        <i val="0"/>
        <color rgb="FF166534"/>
      </font>
      <fill>
        <patternFill patternType="solid">
          <fgColor indexed="64"/>
          <bgColor rgb="FFDCFCE7"/>
        </patternFill>
      </fill>
    </dxf>
    <dxf>
      <fill>
        <patternFill patternType="solid">
          <fgColor indexed="64"/>
          <bgColor rgb="FFF9FAFB"/>
        </patternFill>
      </fill>
    </dxf>
    <dxf>
      <font>
        <b/>
        <i val="0"/>
      </font>
      <fill>
        <patternFill patternType="solid">
          <fgColor indexed="64"/>
          <bgColor rgb="FFFFF9E6"/>
        </patternFill>
      </fill>
    </dxf>
    <dxf>
      <fill>
        <patternFill patternType="solid">
          <fgColor indexed="64"/>
          <bgColor rgb="FFF9FAFB"/>
        </patternFill>
      </fill>
    </dxf>
    <dxf>
      <numFmt numFmtId="178" formatCode="&quot;-&quot;"/>
    </dxf>
    <dxf>
      <numFmt numFmtId="178" formatCode="&quot;-&quot;"/>
    </dxf>
    <dxf>
      <numFmt numFmtId="178" formatCode="&quot;-&quot;"/>
    </dxf>
    <dxf>
      <font>
        <b/>
        <color rgb="FF9C0006"/>
      </font>
      <fill>
        <patternFill>
          <bgColor rgb="FFFFCCCC"/>
        </patternFill>
      </fill>
    </dxf>
    <dxf>
      <font>
        <b/>
        <color rgb="FF9C6500"/>
      </font>
      <fill>
        <patternFill>
          <bgColor rgb="FFFFEB9C"/>
        </patternFill>
      </fill>
    </dxf>
    <dxf>
      <font>
        <b/>
        <color rgb="FF276221"/>
      </font>
      <fill>
        <patternFill>
          <bgColor rgb="FFC6EFCE"/>
        </patternFill>
      </fill>
    </dxf>
    <dxf>
      <font>
        <b/>
        <color rgb="FF9C0006"/>
      </font>
      <fill>
        <patternFill>
          <bgColor rgb="FFFFCCCC"/>
        </patternFill>
      </fill>
    </dxf>
    <dxf>
      <font>
        <b/>
        <color rgb="FF9C6500"/>
      </font>
      <fill>
        <patternFill>
          <bgColor rgb="FFFFEB9C"/>
        </patternFill>
      </fill>
    </dxf>
  </dxfs>
  <tableStyles count="0" defaultTableStyle="TableStyleMedium2" defaultPivotStyle="PivotStyleLight16"/>
  <colors>
    <indexedColors>
      <rgbColor rgb="FF000000"/>
      <rgbColor rgb="FFFFFFFF"/>
      <rgbColor rgb="FFFF0000"/>
      <rgbColor rgb="FFE2EFDA"/>
      <rgbColor rgb="FF0000FF"/>
      <rgbColor rgb="FFFDEAD6"/>
      <rgbColor rgb="FFEAF0F9"/>
      <rgbColor rgb="FFDAE6F7"/>
      <rgbColor rgb="FF87040B"/>
      <rgbColor rgb="FF006000"/>
      <rgbColor rgb="FFF6F8FD"/>
      <rgbColor rgb="FF6D5611"/>
      <rgbColor rgb="FFEEF3FB"/>
      <rgbColor rgb="FF0F5463"/>
      <rgbColor rgb="FFB7C4D8"/>
      <rgbColor rgb="FF6C8368"/>
      <rgbColor rgb="FFD8DCF1"/>
      <rgbColor rgb="FFE8EEF8"/>
      <rgbColor rgb="FFFFF2CC"/>
      <rgbColor rgb="FFD2ECF1"/>
      <rgbColor rgb="FFEEF6EA"/>
      <rgbColor rgb="FFE1D9F4"/>
      <rgbColor rgb="FF0384E8"/>
      <rgbColor rgb="FFC8D4E8"/>
      <rgbColor rgb="FFFEF6F1"/>
      <rgbColor rgb="FFEFF2FA"/>
      <rgbColor rgb="FFDCEBD0"/>
      <rgbColor rgb="FFDEEAF8"/>
      <rgbColor rgb="FFEBF5F8"/>
      <rgbColor rgb="FFEEF5FF"/>
      <rgbColor rgb="FF164E7C"/>
      <rgbColor rgb="FFF2F5FB"/>
      <rgbColor rgb="FFD9E1F2"/>
      <rgbColor rgb="FFE2F0FF"/>
      <rgbColor rgb="FFC6EFCE"/>
      <rgbColor rgb="FFFFEC9C"/>
      <rgbColor rgb="FFC0CBDF"/>
      <rgbColor rgb="FFFFCBCD"/>
      <rgbColor rgb="FFC8D9F1"/>
      <rgbColor rgb="FFF5C7A8"/>
      <rgbColor rgb="FF2777C5"/>
      <rgbColor rgb="FFCCE8EF"/>
      <rgbColor rgb="FFCBE8ED"/>
      <rgbColor rgb="FFD8EAD0"/>
      <rgbColor rgb="FFD58B27"/>
      <rgbColor rgb="FFE2EFD9"/>
      <rgbColor rgb="FF4D5864"/>
      <rgbColor rgb="FFC1E5C2"/>
      <rgbColor rgb="FF1F3864"/>
      <rgbColor rgb="FF4776C5"/>
      <rgbColor rgb="FFEEF9EC"/>
      <rgbColor rgb="FFE6F4F7"/>
      <rgbColor rgb="FFECEEF8"/>
      <rgbColor rgb="FFEEEDF6"/>
      <rgbColor rgb="FF622E8F"/>
      <rgbColor rgb="FF2B5D2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119DD44-3837-44DE-9EB0-F20190B1A297}">
  <we:reference id="WA200009404" version="1.0.0.8" store="Omex" storeType="OMEX"/>
  <we:alternateReferences>
    <we:reference id="WA200009404" version="1.0.0.8" store="WA200009404" storeType="OMEX"/>
  </we:alternateReferences>
  <we:properties>
    <we:property name="claude.fileId" value="&quot;e7ef1c67-ff4b-4dbe-b6cc-44129b7cc005&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G45"/>
  <sheetViews>
    <sheetView showGridLines="0" zoomScaleNormal="100" workbookViewId="0">
      <selection activeCell="H7" sqref="H7"/>
    </sheetView>
  </sheetViews>
  <sheetFormatPr defaultColWidth="8.6640625" defaultRowHeight="14.4" x14ac:dyDescent="0.3"/>
  <cols>
    <col min="1" max="1" width="17.5546875" customWidth="1"/>
    <col min="2" max="2" width="26.88671875" customWidth="1"/>
    <col min="3" max="3" width="37" customWidth="1"/>
    <col min="4" max="4" width="24.109375" customWidth="1"/>
    <col min="5" max="7" width="9.21875" customWidth="1"/>
    <col min="8" max="14" width="18" customWidth="1"/>
  </cols>
  <sheetData>
    <row r="1" spans="1:7" ht="42" customHeight="1" x14ac:dyDescent="0.3">
      <c r="A1" s="1168" t="s">
        <v>0</v>
      </c>
      <c r="B1" s="1168"/>
      <c r="C1" s="1168"/>
      <c r="D1" s="1168"/>
      <c r="E1" s="1168"/>
      <c r="F1" s="1168"/>
      <c r="G1" s="1168"/>
    </row>
    <row r="2" spans="1:7" ht="28.05" customHeight="1" x14ac:dyDescent="0.3">
      <c r="A2" s="1169" t="s">
        <v>1</v>
      </c>
      <c r="B2" s="1169"/>
      <c r="C2" s="1169"/>
      <c r="D2" s="1169"/>
      <c r="E2" s="1169"/>
      <c r="F2" s="1169"/>
      <c r="G2" s="1169"/>
    </row>
    <row r="3" spans="1:7" ht="4.95" customHeight="1" x14ac:dyDescent="0.3">
      <c r="A3" s="38"/>
      <c r="B3" s="38"/>
      <c r="C3" s="38"/>
      <c r="D3" s="38"/>
      <c r="E3" s="38"/>
      <c r="F3" s="38"/>
      <c r="G3" s="38"/>
    </row>
    <row r="4" spans="1:7" ht="25.95" customHeight="1" x14ac:dyDescent="0.3">
      <c r="A4" s="1170" t="str">
        <f>"As of: " &amp; TEXT(AsOfDate,"dd-mmm-yyyy")</f>
        <v>As of: 31-Mar-2026</v>
      </c>
      <c r="B4" s="1170"/>
      <c r="C4" s="1170"/>
      <c r="D4" s="1170"/>
      <c r="E4" s="1170"/>
      <c r="F4" s="1170"/>
      <c r="G4" s="1170"/>
    </row>
    <row r="5" spans="1:7" ht="7.95" customHeight="1" x14ac:dyDescent="0.3">
      <c r="A5" s="39"/>
      <c r="B5" s="39"/>
      <c r="C5" s="39"/>
      <c r="D5" s="39"/>
      <c r="E5" s="39"/>
      <c r="F5" s="39"/>
      <c r="G5" s="39"/>
    </row>
    <row r="6" spans="1:7" ht="25.95" customHeight="1" x14ac:dyDescent="0.3">
      <c r="A6" s="56"/>
      <c r="B6" s="47" t="s">
        <v>2</v>
      </c>
      <c r="C6" s="40"/>
      <c r="D6" s="41">
        <f t="array" ref="D6">ROUND(SUMPRODUCT(1/COUNTIF('Facility Master'!B5:B38,'Facility Master'!B5:B38&amp;"")),0)</f>
        <v>5</v>
      </c>
      <c r="E6" s="57"/>
      <c r="F6" s="57"/>
      <c r="G6" s="58"/>
    </row>
    <row r="7" spans="1:7" ht="25.95" customHeight="1" x14ac:dyDescent="0.3">
      <c r="A7" s="59"/>
      <c r="B7" s="48" t="s">
        <v>3</v>
      </c>
      <c r="C7" s="42"/>
      <c r="D7" s="43">
        <f>COUNTIF('Facility Master'!A5:A38,"&gt;0")</f>
        <v>34</v>
      </c>
      <c r="E7" s="60"/>
      <c r="F7" s="60"/>
      <c r="G7" s="61"/>
    </row>
    <row r="8" spans="1:7" ht="25.95" customHeight="1" x14ac:dyDescent="0.3">
      <c r="A8" s="62"/>
      <c r="B8" s="49" t="s">
        <v>4</v>
      </c>
      <c r="C8" s="44"/>
      <c r="D8" s="45">
        <f>SanctionedDebt</f>
        <v>1320.7</v>
      </c>
      <c r="E8" s="60"/>
      <c r="F8" s="60"/>
      <c r="G8" s="61"/>
    </row>
    <row r="9" spans="1:7" ht="25.95" customHeight="1" x14ac:dyDescent="0.3">
      <c r="A9" s="59"/>
      <c r="B9" s="48" t="s">
        <v>5</v>
      </c>
      <c r="C9" s="42"/>
      <c r="D9" s="45">
        <f>NFBContingent</f>
        <v>815</v>
      </c>
      <c r="E9" s="60"/>
      <c r="F9" s="60"/>
      <c r="G9" s="61"/>
    </row>
    <row r="10" spans="1:7" ht="25.95" customHeight="1" x14ac:dyDescent="0.3">
      <c r="A10" s="62"/>
      <c r="B10" s="49" t="s">
        <v>6</v>
      </c>
      <c r="C10" s="44"/>
      <c r="D10" s="46">
        <f>AsOfDate</f>
        <v>46112</v>
      </c>
      <c r="E10" s="60"/>
      <c r="F10" s="60"/>
      <c r="G10" s="61"/>
    </row>
    <row r="11" spans="1:7" ht="25.95" customHeight="1" x14ac:dyDescent="0.3">
      <c r="A11" s="59"/>
      <c r="B11" s="63" t="s">
        <v>7</v>
      </c>
      <c r="C11" s="64"/>
      <c r="D11" s="65">
        <f>FDBackedTotal</f>
        <v>100</v>
      </c>
      <c r="E11" s="60"/>
      <c r="F11" s="60"/>
      <c r="G11" s="61"/>
    </row>
    <row r="12" spans="1:7" ht="25.95" customHeight="1" x14ac:dyDescent="0.3">
      <c r="A12" s="66"/>
      <c r="B12" s="67" t="s">
        <v>8</v>
      </c>
      <c r="C12" s="68"/>
      <c r="D12" s="69" t="s">
        <v>9</v>
      </c>
      <c r="E12" s="70"/>
      <c r="F12" s="70"/>
      <c r="G12" s="71"/>
    </row>
    <row r="13" spans="1:7" ht="31.95" customHeight="1" x14ac:dyDescent="0.3">
      <c r="A13" s="1171" t="s">
        <v>10</v>
      </c>
      <c r="B13" s="1172"/>
      <c r="C13" s="1171"/>
      <c r="D13" s="1173"/>
      <c r="E13" s="1174"/>
      <c r="F13" s="1174"/>
      <c r="G13" s="1175"/>
    </row>
    <row r="14" spans="1:7" ht="22.05" customHeight="1" x14ac:dyDescent="0.3">
      <c r="A14" s="1176" t="s">
        <v>11</v>
      </c>
      <c r="B14" s="1177"/>
      <c r="C14" s="1178" t="s">
        <v>12</v>
      </c>
      <c r="D14" s="1179"/>
      <c r="E14" s="1180"/>
      <c r="F14" s="1180"/>
      <c r="G14" s="1181"/>
    </row>
    <row r="15" spans="1:7" ht="22.05" customHeight="1" x14ac:dyDescent="0.3">
      <c r="A15" s="1156" t="s">
        <v>13</v>
      </c>
      <c r="B15" s="1157"/>
      <c r="C15" s="1158" t="s">
        <v>14</v>
      </c>
      <c r="D15" s="1159"/>
      <c r="E15" s="1160"/>
      <c r="F15" s="1160"/>
      <c r="G15" s="1161"/>
    </row>
    <row r="16" spans="1:7" ht="22.05" customHeight="1" x14ac:dyDescent="0.3">
      <c r="A16" s="1162" t="s">
        <v>15</v>
      </c>
      <c r="B16" s="1163"/>
      <c r="C16" s="1164" t="s">
        <v>16</v>
      </c>
      <c r="D16" s="1165"/>
      <c r="E16" s="1166"/>
      <c r="F16" s="1166"/>
      <c r="G16" s="1167"/>
    </row>
    <row r="17" spans="1:7" ht="22.05" customHeight="1" x14ac:dyDescent="0.3">
      <c r="A17" s="1182" t="s">
        <v>17</v>
      </c>
      <c r="B17" s="1183"/>
      <c r="C17" s="1184" t="s">
        <v>18</v>
      </c>
      <c r="D17" s="1185"/>
      <c r="E17" s="1186"/>
      <c r="F17" s="1186"/>
      <c r="G17" s="1187"/>
    </row>
    <row r="18" spans="1:7" ht="22.05" customHeight="1" x14ac:dyDescent="0.3">
      <c r="A18" s="1162" t="s">
        <v>19</v>
      </c>
      <c r="B18" s="1163"/>
      <c r="C18" s="1164" t="s">
        <v>20</v>
      </c>
      <c r="D18" s="1165"/>
      <c r="E18" s="1166"/>
      <c r="F18" s="1166"/>
      <c r="G18" s="1167"/>
    </row>
    <row r="19" spans="1:7" ht="22.05" customHeight="1" x14ac:dyDescent="0.3">
      <c r="A19" s="1182" t="s">
        <v>21</v>
      </c>
      <c r="B19" s="1183"/>
      <c r="C19" s="1184" t="s">
        <v>22</v>
      </c>
      <c r="D19" s="1185"/>
      <c r="E19" s="1186"/>
      <c r="F19" s="1186"/>
      <c r="G19" s="1187"/>
    </row>
    <row r="20" spans="1:7" ht="22.05" customHeight="1" x14ac:dyDescent="0.3">
      <c r="A20" s="1162" t="s">
        <v>23</v>
      </c>
      <c r="B20" s="1163"/>
      <c r="C20" s="1164" t="s">
        <v>24</v>
      </c>
      <c r="D20" s="1165"/>
      <c r="E20" s="1166"/>
      <c r="F20" s="1166"/>
      <c r="G20" s="1167"/>
    </row>
    <row r="21" spans="1:7" ht="22.05" customHeight="1" x14ac:dyDescent="0.3">
      <c r="A21" s="1182" t="s">
        <v>25</v>
      </c>
      <c r="B21" s="1183"/>
      <c r="C21" s="1184" t="s">
        <v>26</v>
      </c>
      <c r="D21" s="1185"/>
      <c r="E21" s="1186"/>
      <c r="F21" s="1186"/>
      <c r="G21" s="1187"/>
    </row>
    <row r="22" spans="1:7" ht="22.05" customHeight="1" x14ac:dyDescent="0.3">
      <c r="A22" s="1162" t="s">
        <v>27</v>
      </c>
      <c r="B22" s="1163"/>
      <c r="C22" s="1164" t="s">
        <v>28</v>
      </c>
      <c r="D22" s="1165"/>
      <c r="E22" s="1166"/>
      <c r="F22" s="1166"/>
      <c r="G22" s="1167"/>
    </row>
    <row r="23" spans="1:7" ht="22.05" customHeight="1" x14ac:dyDescent="0.3">
      <c r="A23" s="1182" t="s">
        <v>29</v>
      </c>
      <c r="B23" s="1183"/>
      <c r="C23" s="1184" t="s">
        <v>30</v>
      </c>
      <c r="D23" s="1185"/>
      <c r="E23" s="1186"/>
      <c r="F23" s="1186"/>
      <c r="G23" s="1187"/>
    </row>
    <row r="24" spans="1:7" ht="22.05" customHeight="1" x14ac:dyDescent="0.3">
      <c r="A24" s="1162" t="s">
        <v>31</v>
      </c>
      <c r="B24" s="1163"/>
      <c r="C24" s="1164" t="s">
        <v>32</v>
      </c>
      <c r="D24" s="1165"/>
      <c r="E24" s="1166"/>
      <c r="F24" s="1166"/>
      <c r="G24" s="1167"/>
    </row>
    <row r="25" spans="1:7" ht="22.05" customHeight="1" x14ac:dyDescent="0.3">
      <c r="A25" s="1182" t="s">
        <v>33</v>
      </c>
      <c r="B25" s="1183"/>
      <c r="C25" s="1184" t="s">
        <v>34</v>
      </c>
      <c r="D25" s="1185"/>
      <c r="E25" s="1186"/>
      <c r="F25" s="1186"/>
      <c r="G25" s="1187"/>
    </row>
    <row r="26" spans="1:7" ht="22.05" customHeight="1" x14ac:dyDescent="0.3">
      <c r="A26" s="1162" t="s">
        <v>35</v>
      </c>
      <c r="B26" s="1163"/>
      <c r="C26" s="1164" t="s">
        <v>36</v>
      </c>
      <c r="D26" s="1165"/>
      <c r="E26" s="1166"/>
      <c r="F26" s="1166"/>
      <c r="G26" s="1167"/>
    </row>
    <row r="27" spans="1:7" ht="22.05" customHeight="1" x14ac:dyDescent="0.3">
      <c r="A27" s="1182" t="s">
        <v>37</v>
      </c>
      <c r="B27" s="1183"/>
      <c r="C27" s="1184" t="s">
        <v>38</v>
      </c>
      <c r="D27" s="1185"/>
      <c r="E27" s="1186"/>
      <c r="F27" s="1186"/>
      <c r="G27" s="1187"/>
    </row>
    <row r="28" spans="1:7" ht="22.05" customHeight="1" x14ac:dyDescent="0.3">
      <c r="A28" s="1162" t="s">
        <v>39</v>
      </c>
      <c r="B28" s="1163"/>
      <c r="C28" s="1164" t="s">
        <v>40</v>
      </c>
      <c r="D28" s="1165"/>
      <c r="E28" s="1166"/>
      <c r="F28" s="1166"/>
      <c r="G28" s="1167"/>
    </row>
    <row r="29" spans="1:7" ht="22.05" customHeight="1" x14ac:dyDescent="0.3">
      <c r="A29" s="1182" t="s">
        <v>41</v>
      </c>
      <c r="B29" s="1183"/>
      <c r="C29" s="1184" t="s">
        <v>42</v>
      </c>
      <c r="D29" s="1185"/>
      <c r="E29" s="1186"/>
      <c r="F29" s="1186"/>
      <c r="G29" s="1187"/>
    </row>
    <row r="30" spans="1:7" ht="22.05" customHeight="1" x14ac:dyDescent="0.3">
      <c r="A30" s="1162" t="s">
        <v>43</v>
      </c>
      <c r="B30" s="1163"/>
      <c r="C30" s="1164" t="s">
        <v>44</v>
      </c>
      <c r="D30" s="1165"/>
      <c r="E30" s="1166"/>
      <c r="F30" s="1166"/>
      <c r="G30" s="1167"/>
    </row>
    <row r="31" spans="1:7" ht="22.05" customHeight="1" x14ac:dyDescent="0.3">
      <c r="A31" s="1182" t="s">
        <v>45</v>
      </c>
      <c r="B31" s="1183"/>
      <c r="C31" s="1184" t="s">
        <v>46</v>
      </c>
      <c r="D31" s="1185"/>
      <c r="E31" s="1186"/>
      <c r="F31" s="1186"/>
      <c r="G31" s="1187"/>
    </row>
    <row r="32" spans="1:7" ht="43.95" customHeight="1" x14ac:dyDescent="0.3">
      <c r="A32" s="50" t="s">
        <v>47</v>
      </c>
      <c r="B32" s="52"/>
      <c r="C32" s="51" t="s">
        <v>48</v>
      </c>
      <c r="D32" s="53"/>
      <c r="E32" s="54"/>
      <c r="F32" s="54"/>
      <c r="G32" s="55"/>
    </row>
    <row r="33" ht="19.5" customHeight="1" x14ac:dyDescent="0.3"/>
    <row r="34" ht="19.5" customHeight="1" x14ac:dyDescent="0.3"/>
    <row r="35" ht="19.5" customHeight="1" x14ac:dyDescent="0.3"/>
    <row r="36" ht="19.5" customHeight="1" x14ac:dyDescent="0.3"/>
    <row r="37" ht="19.5" customHeight="1" x14ac:dyDescent="0.3"/>
    <row r="38" ht="19.5" customHeight="1" x14ac:dyDescent="0.3"/>
    <row r="39" ht="19.5" customHeight="1" x14ac:dyDescent="0.3"/>
    <row r="40" ht="19.5" customHeight="1" x14ac:dyDescent="0.3"/>
    <row r="41" ht="9.75" customHeight="1" x14ac:dyDescent="0.3"/>
    <row r="42" ht="21.75" customHeight="1" x14ac:dyDescent="0.3"/>
    <row r="43" ht="39.75" customHeight="1" x14ac:dyDescent="0.3"/>
    <row r="44" ht="21.75" customHeight="1" x14ac:dyDescent="0.3"/>
    <row r="45" ht="15" customHeight="1" x14ac:dyDescent="0.3"/>
  </sheetData>
  <mergeCells count="40">
    <mergeCell ref="A29:B29"/>
    <mergeCell ref="C29:G29"/>
    <mergeCell ref="A30:B30"/>
    <mergeCell ref="C30:G30"/>
    <mergeCell ref="A31:B31"/>
    <mergeCell ref="C31:G31"/>
    <mergeCell ref="A26:B26"/>
    <mergeCell ref="C26:G26"/>
    <mergeCell ref="A27:B27"/>
    <mergeCell ref="C27:G27"/>
    <mergeCell ref="A28:B28"/>
    <mergeCell ref="C28:G28"/>
    <mergeCell ref="A23:B23"/>
    <mergeCell ref="C23:G23"/>
    <mergeCell ref="A24:B24"/>
    <mergeCell ref="C24:G24"/>
    <mergeCell ref="A25:B25"/>
    <mergeCell ref="C25:G25"/>
    <mergeCell ref="A20:B20"/>
    <mergeCell ref="C20:G20"/>
    <mergeCell ref="A21:B21"/>
    <mergeCell ref="C21:G21"/>
    <mergeCell ref="A22:B22"/>
    <mergeCell ref="C22:G22"/>
    <mergeCell ref="A17:B17"/>
    <mergeCell ref="C17:G17"/>
    <mergeCell ref="A18:B18"/>
    <mergeCell ref="C18:G18"/>
    <mergeCell ref="A19:B19"/>
    <mergeCell ref="C19:G19"/>
    <mergeCell ref="A15:B15"/>
    <mergeCell ref="C15:G15"/>
    <mergeCell ref="A16:B16"/>
    <mergeCell ref="C16:G16"/>
    <mergeCell ref="A1:G1"/>
    <mergeCell ref="A2:G2"/>
    <mergeCell ref="A4:G4"/>
    <mergeCell ref="A13:G13"/>
    <mergeCell ref="A14:B14"/>
    <mergeCell ref="C14:G14"/>
  </mergeCells>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595959"/>
  </sheetPr>
  <dimension ref="A1:F101"/>
  <sheetViews>
    <sheetView showGridLines="0" zoomScaleNormal="100" workbookViewId="0">
      <pane ySplit="2" topLeftCell="A23" activePane="bottomLeft" state="frozen"/>
      <selection pane="bottomLeft" activeCell="A33" sqref="A33:XFD33"/>
    </sheetView>
  </sheetViews>
  <sheetFormatPr defaultColWidth="8.6640625" defaultRowHeight="14.4" x14ac:dyDescent="0.3"/>
  <cols>
    <col min="1" max="1" width="9.6640625" customWidth="1"/>
    <col min="2" max="2" width="129.6640625" customWidth="1"/>
    <col min="3" max="6" width="110" customWidth="1"/>
  </cols>
  <sheetData>
    <row r="1" spans="1:6" ht="40.049999999999997" customHeight="1" thickBot="1" x14ac:dyDescent="0.35">
      <c r="A1" s="1190" t="s">
        <v>54</v>
      </c>
      <c r="B1" s="1191"/>
    </row>
    <row r="2" spans="1:6" ht="19.95" customHeight="1" x14ac:dyDescent="0.3">
      <c r="A2" s="1192" t="s">
        <v>793</v>
      </c>
      <c r="B2" s="1193"/>
      <c r="C2" s="2"/>
      <c r="D2" s="2"/>
      <c r="E2" s="2"/>
      <c r="F2" s="3"/>
    </row>
    <row r="3" spans="1:6" ht="4.05" customHeight="1" x14ac:dyDescent="0.3">
      <c r="A3" s="73"/>
      <c r="B3" s="100"/>
    </row>
    <row r="4" spans="1:6" ht="25.95" customHeight="1" x14ac:dyDescent="0.3">
      <c r="A4" s="1194" t="s">
        <v>55</v>
      </c>
      <c r="B4" s="1195"/>
    </row>
    <row r="5" spans="1:6" ht="27.6" x14ac:dyDescent="0.3">
      <c r="A5" s="74" t="s">
        <v>56</v>
      </c>
      <c r="B5" s="101" t="s">
        <v>57</v>
      </c>
      <c r="C5" s="4"/>
      <c r="D5" s="4"/>
      <c r="E5" s="4"/>
      <c r="F5" s="5"/>
    </row>
    <row r="6" spans="1:6" x14ac:dyDescent="0.3">
      <c r="A6" s="75" t="s">
        <v>58</v>
      </c>
      <c r="B6" s="102" t="s">
        <v>59</v>
      </c>
    </row>
    <row r="7" spans="1:6" ht="27.6" x14ac:dyDescent="0.3">
      <c r="A7" s="76" t="s">
        <v>60</v>
      </c>
      <c r="B7" s="103" t="s">
        <v>61</v>
      </c>
    </row>
    <row r="8" spans="1:6" ht="27.6" x14ac:dyDescent="0.3">
      <c r="A8" s="77" t="s">
        <v>62</v>
      </c>
      <c r="B8" s="104" t="s">
        <v>63</v>
      </c>
      <c r="C8" s="4"/>
      <c r="D8" s="4"/>
      <c r="E8" s="4"/>
      <c r="F8" s="5"/>
    </row>
    <row r="9" spans="1:6" x14ac:dyDescent="0.3">
      <c r="A9" s="78" t="s">
        <v>64</v>
      </c>
      <c r="B9" s="105" t="s">
        <v>65</v>
      </c>
    </row>
    <row r="10" spans="1:6" ht="4.05" customHeight="1" x14ac:dyDescent="0.3">
      <c r="A10" s="79"/>
      <c r="B10" s="100"/>
    </row>
    <row r="11" spans="1:6" ht="25.95" customHeight="1" x14ac:dyDescent="0.3">
      <c r="A11" s="1188" t="s">
        <v>66</v>
      </c>
      <c r="B11" s="1189"/>
    </row>
    <row r="12" spans="1:6" ht="41.4" x14ac:dyDescent="0.3">
      <c r="A12" s="80" t="s">
        <v>67</v>
      </c>
      <c r="B12" s="106" t="s">
        <v>68</v>
      </c>
    </row>
    <row r="13" spans="1:6" ht="27.6" x14ac:dyDescent="0.3">
      <c r="A13" s="81" t="s">
        <v>67</v>
      </c>
      <c r="B13" s="102" t="s">
        <v>69</v>
      </c>
    </row>
    <row r="14" spans="1:6" x14ac:dyDescent="0.3">
      <c r="A14" s="82" t="s">
        <v>67</v>
      </c>
      <c r="B14" s="107" t="s">
        <v>70</v>
      </c>
    </row>
    <row r="15" spans="1:6" ht="41.4" x14ac:dyDescent="0.3">
      <c r="A15" s="81" t="s">
        <v>67</v>
      </c>
      <c r="B15" s="102" t="s">
        <v>71</v>
      </c>
    </row>
    <row r="16" spans="1:6" ht="27.6" x14ac:dyDescent="0.3">
      <c r="A16" s="82" t="s">
        <v>67</v>
      </c>
      <c r="B16" s="107" t="s">
        <v>72</v>
      </c>
    </row>
    <row r="17" spans="1:6" x14ac:dyDescent="0.3">
      <c r="A17" s="83" t="s">
        <v>67</v>
      </c>
      <c r="B17" s="108" t="s">
        <v>73</v>
      </c>
    </row>
    <row r="18" spans="1:6" ht="4.05" customHeight="1" x14ac:dyDescent="0.3">
      <c r="A18" s="79"/>
      <c r="B18" s="100"/>
    </row>
    <row r="19" spans="1:6" ht="25.95" customHeight="1" x14ac:dyDescent="0.3">
      <c r="A19" s="1188" t="s">
        <v>74</v>
      </c>
      <c r="B19" s="1189"/>
    </row>
    <row r="20" spans="1:6" ht="41.4" x14ac:dyDescent="0.3">
      <c r="A20" s="84" t="s">
        <v>67</v>
      </c>
      <c r="B20" s="106" t="s">
        <v>75</v>
      </c>
    </row>
    <row r="21" spans="1:6" ht="69" x14ac:dyDescent="0.3">
      <c r="A21" s="85" t="s">
        <v>67</v>
      </c>
      <c r="B21" s="102" t="s">
        <v>76</v>
      </c>
    </row>
    <row r="22" spans="1:6" ht="27.6" x14ac:dyDescent="0.3">
      <c r="A22" s="86" t="s">
        <v>67</v>
      </c>
      <c r="B22" s="107" t="s">
        <v>77</v>
      </c>
    </row>
    <row r="23" spans="1:6" ht="41.4" x14ac:dyDescent="0.3">
      <c r="A23" s="85" t="s">
        <v>67</v>
      </c>
      <c r="B23" s="102" t="s">
        <v>78</v>
      </c>
    </row>
    <row r="24" spans="1:6" ht="27.6" x14ac:dyDescent="0.3">
      <c r="A24" s="87" t="s">
        <v>67</v>
      </c>
      <c r="B24" s="109" t="s">
        <v>79</v>
      </c>
    </row>
    <row r="25" spans="1:6" ht="4.05" customHeight="1" x14ac:dyDescent="0.3">
      <c r="A25" s="88"/>
      <c r="B25" s="110"/>
      <c r="C25" s="4"/>
      <c r="D25" s="4"/>
      <c r="E25" s="4"/>
      <c r="F25" s="5"/>
    </row>
    <row r="26" spans="1:6" ht="25.95" customHeight="1" x14ac:dyDescent="0.3">
      <c r="A26" s="1188" t="s">
        <v>80</v>
      </c>
      <c r="B26" s="1189"/>
    </row>
    <row r="27" spans="1:6" ht="27.6" x14ac:dyDescent="0.3">
      <c r="A27" s="89" t="s">
        <v>67</v>
      </c>
      <c r="B27" s="106" t="s">
        <v>81</v>
      </c>
    </row>
    <row r="28" spans="1:6" ht="27.6" x14ac:dyDescent="0.3">
      <c r="A28" s="90" t="s">
        <v>67</v>
      </c>
      <c r="B28" s="104" t="s">
        <v>82</v>
      </c>
      <c r="C28" s="4"/>
      <c r="D28" s="4"/>
      <c r="E28" s="4"/>
      <c r="F28" s="5"/>
    </row>
    <row r="29" spans="1:6" ht="27.6" x14ac:dyDescent="0.3">
      <c r="A29" s="91" t="s">
        <v>67</v>
      </c>
      <c r="B29" s="107" t="s">
        <v>83</v>
      </c>
    </row>
    <row r="30" spans="1:6" x14ac:dyDescent="0.3">
      <c r="A30" s="92" t="s">
        <v>67</v>
      </c>
      <c r="B30" s="102" t="s">
        <v>84</v>
      </c>
    </row>
    <row r="31" spans="1:6" ht="27.6" x14ac:dyDescent="0.3">
      <c r="A31" s="93" t="s">
        <v>67</v>
      </c>
      <c r="B31" s="111" t="s">
        <v>816</v>
      </c>
      <c r="C31" s="4"/>
      <c r="D31" s="4"/>
      <c r="E31" s="4"/>
      <c r="F31" s="5"/>
    </row>
    <row r="32" spans="1:6" ht="27.6" x14ac:dyDescent="0.3">
      <c r="A32" s="94" t="s">
        <v>67</v>
      </c>
      <c r="B32" s="102" t="s">
        <v>85</v>
      </c>
    </row>
    <row r="33" spans="1:6" ht="4.05" customHeight="1" x14ac:dyDescent="0.3">
      <c r="A33" s="88"/>
      <c r="B33" s="110"/>
      <c r="C33" s="4"/>
      <c r="D33" s="4"/>
      <c r="E33" s="4"/>
      <c r="F33" s="5"/>
    </row>
    <row r="34" spans="1:6" ht="25.95" customHeight="1" x14ac:dyDescent="0.3">
      <c r="A34" s="1188" t="s">
        <v>86</v>
      </c>
      <c r="B34" s="1189"/>
    </row>
    <row r="35" spans="1:6" x14ac:dyDescent="0.3">
      <c r="A35" s="95" t="s">
        <v>67</v>
      </c>
      <c r="B35" s="106" t="s">
        <v>87</v>
      </c>
    </row>
    <row r="36" spans="1:6" ht="27.6" x14ac:dyDescent="0.3">
      <c r="A36" s="96" t="s">
        <v>67</v>
      </c>
      <c r="B36" s="104" t="s">
        <v>88</v>
      </c>
      <c r="C36" s="4"/>
      <c r="D36" s="4"/>
      <c r="E36" s="4"/>
      <c r="F36" s="5"/>
    </row>
    <row r="37" spans="1:6" ht="27.6" x14ac:dyDescent="0.3">
      <c r="A37" s="97" t="s">
        <v>67</v>
      </c>
      <c r="B37" s="107" t="s">
        <v>817</v>
      </c>
    </row>
    <row r="38" spans="1:6" ht="27.6" x14ac:dyDescent="0.3">
      <c r="A38" s="98" t="s">
        <v>67</v>
      </c>
      <c r="B38" s="102" t="s">
        <v>89</v>
      </c>
    </row>
    <row r="39" spans="1:6" x14ac:dyDescent="0.3">
      <c r="A39" s="99" t="s">
        <v>67</v>
      </c>
      <c r="B39" s="112" t="s">
        <v>90</v>
      </c>
      <c r="C39" s="4"/>
      <c r="D39" s="4"/>
      <c r="E39" s="4"/>
      <c r="F39" s="5"/>
    </row>
    <row r="40" spans="1:6" ht="4.05" customHeight="1" x14ac:dyDescent="0.3">
      <c r="A40" s="73"/>
      <c r="B40" s="100"/>
    </row>
    <row r="41" spans="1:6" ht="6" customHeight="1" x14ac:dyDescent="0.3">
      <c r="A41" s="72"/>
      <c r="B41" s="1"/>
      <c r="C41" s="6"/>
      <c r="D41" s="6"/>
      <c r="E41" s="6"/>
      <c r="F41" s="7"/>
    </row>
    <row r="42" spans="1:6" ht="21.75" customHeight="1" x14ac:dyDescent="0.3">
      <c r="A42" s="8"/>
      <c r="B42" s="9"/>
      <c r="C42" s="9"/>
      <c r="D42" s="9"/>
      <c r="E42" s="9"/>
      <c r="F42" s="10"/>
    </row>
    <row r="43" spans="1:6" s="114" customFormat="1" ht="55.5" customHeight="1" x14ac:dyDescent="0.3">
      <c r="A43" s="113"/>
      <c r="B43" s="113"/>
      <c r="C43" s="113"/>
      <c r="D43" s="113"/>
      <c r="E43" s="113"/>
      <c r="F43" s="113"/>
    </row>
    <row r="44" spans="1:6" ht="36" customHeight="1" x14ac:dyDescent="0.3"/>
    <row r="45" spans="1:6" ht="21.75" customHeight="1" x14ac:dyDescent="0.3"/>
    <row r="46" spans="1:6" ht="51.75" customHeight="1" x14ac:dyDescent="0.3"/>
    <row r="47" spans="1:6" ht="36" customHeight="1" x14ac:dyDescent="0.3"/>
    <row r="48" spans="1:6" ht="21.75" customHeight="1" x14ac:dyDescent="0.3"/>
    <row r="49" ht="36" customHeight="1" x14ac:dyDescent="0.3"/>
    <row r="50" ht="36" customHeight="1" x14ac:dyDescent="0.3"/>
    <row r="51" ht="21.75" customHeight="1" x14ac:dyDescent="0.3"/>
    <row r="52" ht="36" customHeight="1" x14ac:dyDescent="0.3"/>
    <row r="53" ht="36" customHeight="1" x14ac:dyDescent="0.3"/>
    <row r="54" ht="21.75" customHeight="1" x14ac:dyDescent="0.3"/>
    <row r="55" ht="36" customHeight="1" x14ac:dyDescent="0.3"/>
    <row r="56" ht="36" customHeight="1" x14ac:dyDescent="0.3"/>
    <row r="57" ht="36" customHeight="1" x14ac:dyDescent="0.3"/>
    <row r="58" ht="21.75" customHeight="1" x14ac:dyDescent="0.3"/>
    <row r="59" ht="36" customHeight="1" x14ac:dyDescent="0.3"/>
    <row r="60" ht="36" customHeight="1" x14ac:dyDescent="0.3"/>
    <row r="61" ht="21.75" customHeight="1" x14ac:dyDescent="0.3"/>
    <row r="62" ht="51.75" customHeight="1" x14ac:dyDescent="0.3"/>
    <row r="63" ht="36" customHeight="1" x14ac:dyDescent="0.3"/>
    <row r="64" ht="21.75" customHeight="1" x14ac:dyDescent="0.3"/>
    <row r="65" ht="36" customHeight="1" x14ac:dyDescent="0.3"/>
    <row r="66" ht="21.75" customHeight="1" x14ac:dyDescent="0.3"/>
    <row r="67" ht="36" customHeight="1" x14ac:dyDescent="0.3"/>
    <row r="68" ht="120" customHeight="1" x14ac:dyDescent="0.3"/>
    <row r="69" ht="36" customHeight="1" x14ac:dyDescent="0.3"/>
    <row r="70" ht="36" customHeight="1" x14ac:dyDescent="0.3"/>
    <row r="71" ht="36" customHeight="1" x14ac:dyDescent="0.3"/>
    <row r="72" ht="21.75" customHeight="1" x14ac:dyDescent="0.3"/>
    <row r="73" ht="36" customHeight="1" x14ac:dyDescent="0.3"/>
    <row r="74" ht="36" customHeight="1" x14ac:dyDescent="0.3"/>
    <row r="75" ht="36" customHeight="1" x14ac:dyDescent="0.3"/>
    <row r="76" ht="36" customHeight="1" x14ac:dyDescent="0.3"/>
    <row r="77" ht="36" customHeight="1" x14ac:dyDescent="0.3"/>
    <row r="78" ht="36" customHeight="1" x14ac:dyDescent="0.3"/>
    <row r="79" ht="21.75" customHeight="1" x14ac:dyDescent="0.3"/>
    <row r="80" ht="36" customHeight="1" x14ac:dyDescent="0.3"/>
    <row r="81" ht="36" customHeight="1" x14ac:dyDescent="0.3"/>
    <row r="82" ht="36" customHeight="1" x14ac:dyDescent="0.3"/>
    <row r="83" ht="36" customHeight="1" x14ac:dyDescent="0.3"/>
    <row r="84" ht="36" customHeight="1" x14ac:dyDescent="0.3"/>
    <row r="85" ht="36" customHeight="1" x14ac:dyDescent="0.3"/>
    <row r="86" ht="36" customHeight="1" x14ac:dyDescent="0.3"/>
    <row r="87" ht="36" customHeight="1" x14ac:dyDescent="0.3"/>
    <row r="88" ht="36" customHeight="1" x14ac:dyDescent="0.3"/>
    <row r="89" ht="36" customHeight="1" x14ac:dyDescent="0.3"/>
    <row r="90" ht="36" customHeight="1" x14ac:dyDescent="0.3"/>
    <row r="91" ht="36" customHeight="1" x14ac:dyDescent="0.3"/>
    <row r="92" ht="36" customHeight="1" x14ac:dyDescent="0.3"/>
    <row r="93" ht="36" customHeight="1" x14ac:dyDescent="0.3"/>
    <row r="94" ht="36" customHeight="1" x14ac:dyDescent="0.3"/>
    <row r="95" ht="36" customHeight="1" x14ac:dyDescent="0.3"/>
    <row r="96" ht="36" customHeight="1" x14ac:dyDescent="0.3"/>
    <row r="97" ht="36" customHeight="1" x14ac:dyDescent="0.3"/>
    <row r="98" ht="36" customHeight="1" x14ac:dyDescent="0.3"/>
    <row r="99" ht="36" customHeight="1" x14ac:dyDescent="0.3"/>
    <row r="100" ht="21.75" customHeight="1" x14ac:dyDescent="0.3"/>
    <row r="101" ht="36" customHeight="1" x14ac:dyDescent="0.3"/>
  </sheetData>
  <mergeCells count="7">
    <mergeCell ref="A26:B26"/>
    <mergeCell ref="A34:B34"/>
    <mergeCell ref="A1:B1"/>
    <mergeCell ref="A2:B2"/>
    <mergeCell ref="A4:B4"/>
    <mergeCell ref="A11:B11"/>
    <mergeCell ref="A19:B1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3864"/>
    <pageSetUpPr fitToPage="1"/>
  </sheetPr>
  <dimension ref="A1:AA78"/>
  <sheetViews>
    <sheetView showGridLines="0" zoomScaleNormal="100" workbookViewId="0">
      <pane ySplit="2" topLeftCell="A3" activePane="bottomLeft" state="frozen"/>
      <selection activeCell="D1" sqref="D1"/>
      <selection pane="bottomLeft" activeCell="J13" sqref="J13:L13"/>
    </sheetView>
  </sheetViews>
  <sheetFormatPr defaultColWidth="8.6640625" defaultRowHeight="14.4" x14ac:dyDescent="0.3"/>
  <cols>
    <col min="1" max="12" width="16.33203125" customWidth="1"/>
    <col min="13" max="13" width="16.6640625" customWidth="1"/>
    <col min="14" max="14" width="15" customWidth="1"/>
  </cols>
  <sheetData>
    <row r="1" spans="1:27" ht="37.950000000000003" customHeight="1" x14ac:dyDescent="0.3">
      <c r="A1" s="1102" t="s">
        <v>91</v>
      </c>
      <c r="B1" s="1102"/>
      <c r="C1" s="1102"/>
      <c r="D1" s="1102"/>
      <c r="E1" s="1102"/>
      <c r="F1" s="1102"/>
      <c r="G1" s="1102"/>
      <c r="H1" s="1102"/>
      <c r="I1" s="1102"/>
      <c r="J1" s="1102"/>
      <c r="K1" s="1102"/>
      <c r="L1" s="1102"/>
      <c r="M1" s="11"/>
      <c r="AA1" s="12"/>
    </row>
    <row r="2" spans="1:27" ht="22.05" customHeight="1" x14ac:dyDescent="0.3">
      <c r="A2" s="1103" t="str">
        <f>"As of: " &amp; TEXT(AsOfDate,"dd-mmm-yyyy") &amp; "  •  Financial Basis: " &amp; FinBasis &amp; "  •  All figures in INR Crores"</f>
        <v>As of: 31-Mar-2026  •  Financial Basis: Projected  •  All figures in INR Crores</v>
      </c>
      <c r="B2" s="1103"/>
      <c r="C2" s="1103"/>
      <c r="D2" s="1103"/>
      <c r="E2" s="1103"/>
      <c r="F2" s="1103"/>
      <c r="G2" s="1103"/>
      <c r="H2" s="1103"/>
      <c r="I2" s="1103"/>
      <c r="J2" s="1103"/>
      <c r="K2" s="1103"/>
      <c r="L2" s="1103"/>
      <c r="M2" s="13"/>
    </row>
    <row r="3" spans="1:27" ht="6" customHeight="1" x14ac:dyDescent="0.3">
      <c r="A3" s="14"/>
      <c r="B3" s="14"/>
      <c r="C3" s="14"/>
      <c r="D3" s="14"/>
      <c r="E3" s="14"/>
      <c r="F3" s="14"/>
      <c r="G3" s="14"/>
      <c r="H3" s="14"/>
      <c r="I3" s="14"/>
      <c r="J3" s="14"/>
      <c r="K3" s="14"/>
      <c r="L3" s="14"/>
      <c r="M3" s="14"/>
    </row>
    <row r="4" spans="1:27" ht="22.05" customHeight="1" x14ac:dyDescent="0.3">
      <c r="A4" s="1104" t="s">
        <v>4</v>
      </c>
      <c r="B4" s="1104"/>
      <c r="C4" s="1104"/>
      <c r="D4" s="1105" t="s">
        <v>92</v>
      </c>
      <c r="E4" s="1105"/>
      <c r="F4" s="1105"/>
      <c r="G4" s="1106" t="s">
        <v>93</v>
      </c>
      <c r="H4" s="1106"/>
      <c r="I4" s="1106"/>
      <c r="J4" s="1107" t="s">
        <v>5</v>
      </c>
      <c r="K4" s="1107"/>
      <c r="L4" s="1107"/>
      <c r="M4" s="14"/>
    </row>
    <row r="5" spans="1:27" ht="46.05" customHeight="1" x14ac:dyDescent="0.3">
      <c r="A5" s="1108">
        <f>SanctionedDebt</f>
        <v>1320.7</v>
      </c>
      <c r="B5" s="1108"/>
      <c r="C5" s="1108"/>
      <c r="D5" s="1109">
        <f>FBMainsTotal</f>
        <v>720.7</v>
      </c>
      <c r="E5" s="1109"/>
      <c r="F5" s="1109"/>
      <c r="G5" s="1110">
        <f>NFBMainsTotal</f>
        <v>600</v>
      </c>
      <c r="H5" s="1110"/>
      <c r="I5" s="1110"/>
      <c r="J5" s="1111">
        <f>NFBContingent</f>
        <v>815</v>
      </c>
      <c r="K5" s="1111"/>
      <c r="L5" s="1111"/>
      <c r="M5" s="14"/>
    </row>
    <row r="6" spans="1:27" ht="18" customHeight="1" x14ac:dyDescent="0.3">
      <c r="A6" s="1112" t="s">
        <v>94</v>
      </c>
      <c r="B6" s="1112"/>
      <c r="C6" s="1112"/>
      <c r="D6" s="1113" t="s">
        <v>95</v>
      </c>
      <c r="E6" s="1113"/>
      <c r="F6" s="1113"/>
      <c r="G6" s="1114" t="s">
        <v>96</v>
      </c>
      <c r="H6" s="1114"/>
      <c r="I6" s="1114"/>
      <c r="J6" s="1115" t="s">
        <v>97</v>
      </c>
      <c r="K6" s="1115"/>
      <c r="L6" s="1115"/>
      <c r="M6" s="15"/>
    </row>
    <row r="7" spans="1:27" ht="6" customHeight="1" x14ac:dyDescent="0.3">
      <c r="A7" s="14"/>
      <c r="B7" s="14"/>
      <c r="C7" s="14"/>
      <c r="D7" s="14"/>
      <c r="E7" s="14"/>
      <c r="F7" s="14"/>
      <c r="G7" s="14"/>
      <c r="H7" s="14"/>
      <c r="I7" s="14"/>
      <c r="J7" s="14"/>
      <c r="K7" s="14"/>
      <c r="L7" s="14"/>
      <c r="M7" s="14"/>
    </row>
    <row r="8" spans="1:27" ht="22.05" customHeight="1" x14ac:dyDescent="0.3">
      <c r="A8" s="1104" t="s">
        <v>98</v>
      </c>
      <c r="B8" s="1104"/>
      <c r="C8" s="1104"/>
      <c r="D8" s="1105" t="s">
        <v>99</v>
      </c>
      <c r="E8" s="1105"/>
      <c r="F8" s="1105"/>
      <c r="G8" s="1106" t="s">
        <v>100</v>
      </c>
      <c r="H8" s="1106"/>
      <c r="I8" s="1106"/>
      <c r="J8" s="1107" t="s">
        <v>101</v>
      </c>
      <c r="K8" s="1107"/>
      <c r="L8" s="1107"/>
      <c r="M8" s="14"/>
    </row>
    <row r="9" spans="1:27" ht="46.05" customHeight="1" x14ac:dyDescent="0.3">
      <c r="A9" s="1108">
        <f>FDBackedTotal</f>
        <v>100</v>
      </c>
      <c r="B9" s="1108"/>
      <c r="C9" s="1108"/>
      <c r="D9" s="1116">
        <f>IFERROR(SUMIFS('Facility Master'!M:M,'Facility Master'!H:H,1),0)</f>
        <v>495.96119999999996</v>
      </c>
      <c r="E9" s="1116"/>
      <c r="F9" s="1116"/>
      <c r="G9" s="1117">
        <f>WtAvgDebtCost</f>
        <v>8.0780537671092015E-2</v>
      </c>
      <c r="H9" s="1117"/>
      <c r="I9" s="1117"/>
      <c r="J9" s="1118">
        <f>TotalIntComm</f>
        <v>49.039012399999997</v>
      </c>
      <c r="K9" s="1118"/>
      <c r="L9" s="1118"/>
      <c r="M9" s="14"/>
      <c r="AA9" s="12"/>
    </row>
    <row r="10" spans="1:27" ht="18" customHeight="1" x14ac:dyDescent="0.3">
      <c r="A10" s="1112" t="s">
        <v>102</v>
      </c>
      <c r="B10" s="1112"/>
      <c r="C10" s="1112"/>
      <c r="D10" s="1113" t="s">
        <v>103</v>
      </c>
      <c r="E10" s="1113"/>
      <c r="F10" s="1113"/>
      <c r="G10" s="1114" t="s">
        <v>104</v>
      </c>
      <c r="H10" s="1114"/>
      <c r="I10" s="1114"/>
      <c r="J10" s="1115" t="s">
        <v>105</v>
      </c>
      <c r="K10" s="1115"/>
      <c r="L10" s="1115"/>
      <c r="M10" s="15"/>
    </row>
    <row r="11" spans="1:27" ht="6" customHeight="1" x14ac:dyDescent="0.3">
      <c r="A11" s="190"/>
      <c r="B11" s="190"/>
      <c r="C11" s="190"/>
      <c r="D11" s="190"/>
      <c r="E11" s="190"/>
      <c r="F11" s="190"/>
      <c r="G11" s="190"/>
      <c r="H11" s="190"/>
      <c r="I11" s="190"/>
      <c r="J11" s="190"/>
      <c r="K11" s="190"/>
      <c r="L11" s="190"/>
      <c r="M11" s="14"/>
    </row>
    <row r="12" spans="1:27" ht="22.05" customHeight="1" x14ac:dyDescent="0.3">
      <c r="A12" s="1119" t="s">
        <v>106</v>
      </c>
      <c r="B12" s="1119"/>
      <c r="C12" s="1119"/>
      <c r="D12" s="1119" t="s">
        <v>107</v>
      </c>
      <c r="E12" s="1119"/>
      <c r="F12" s="1119"/>
      <c r="G12" s="1119" t="s">
        <v>108</v>
      </c>
      <c r="H12" s="1119"/>
      <c r="I12" s="1119"/>
      <c r="J12" s="1120" t="s">
        <v>109</v>
      </c>
      <c r="K12" s="1120"/>
      <c r="L12" s="1120"/>
      <c r="M12" s="14"/>
    </row>
    <row r="13" spans="1:27" ht="46.05" customHeight="1" x14ac:dyDescent="0.3">
      <c r="A13" s="1121">
        <f>IFERROR(34-COUNTIF('Facility Master'!F:F,TRUE()),0)</f>
        <v>10</v>
      </c>
      <c r="B13" s="1121"/>
      <c r="C13" s="1121"/>
      <c r="D13" s="1122">
        <f>IFERROR(_xlfn.MINIFS('Facility Master'!Z:Z,'Facility Master'!D:D,"FB-Term",'Facility Master'!H:H,1),"")</f>
        <v>47208</v>
      </c>
      <c r="E13" s="1122"/>
      <c r="F13" s="1122"/>
      <c r="G13" s="1122">
        <f>IFERROR(_xlfn.MAXIFS('Facility Master'!Z:Z,'Facility Master'!D:D,"FB-Term",'Facility Master'!H:H,1),"")</f>
        <v>49948</v>
      </c>
      <c r="H13" s="1122"/>
      <c r="I13" s="1122"/>
      <c r="J13" s="1123">
        <f>IFERROR(SUMIFS('Facility Master'!M:M,'Facility Master'!H:H,1)/SUMIFS('Facility Master'!K:K,'Facility Master'!H:H,1),0)</f>
        <v>0.68816594977105583</v>
      </c>
      <c r="K13" s="1123"/>
      <c r="L13" s="1123"/>
      <c r="M13" s="14"/>
    </row>
    <row r="14" spans="1:27" ht="18" customHeight="1" x14ac:dyDescent="0.3">
      <c r="A14" s="1124" t="s">
        <v>110</v>
      </c>
      <c r="B14" s="1124"/>
      <c r="C14" s="1124"/>
      <c r="D14" s="1124" t="s">
        <v>111</v>
      </c>
      <c r="E14" s="1124"/>
      <c r="F14" s="1124"/>
      <c r="G14" s="1124" t="s">
        <v>112</v>
      </c>
      <c r="H14" s="1124"/>
      <c r="I14" s="1124"/>
      <c r="J14" s="1125" t="s">
        <v>113</v>
      </c>
      <c r="K14" s="1125"/>
      <c r="L14" s="1125"/>
      <c r="M14" s="15"/>
    </row>
    <row r="15" spans="1:27" ht="6" customHeight="1" x14ac:dyDescent="0.3">
      <c r="A15" s="191"/>
      <c r="B15" s="191"/>
      <c r="C15" s="191"/>
      <c r="D15" s="191"/>
      <c r="E15" s="191"/>
      <c r="F15" s="191"/>
      <c r="G15" s="191"/>
      <c r="H15" s="191"/>
      <c r="I15" s="191"/>
      <c r="J15" s="191"/>
      <c r="K15" s="191"/>
      <c r="L15" s="191"/>
      <c r="M15" s="14"/>
    </row>
    <row r="16" spans="1:27" ht="25.95" customHeight="1" x14ac:dyDescent="0.3">
      <c r="A16" s="1126" t="s">
        <v>114</v>
      </c>
      <c r="B16" s="1126"/>
      <c r="C16" s="1126"/>
      <c r="D16" s="1126"/>
      <c r="E16" s="1126"/>
      <c r="F16" s="1126"/>
      <c r="G16" s="1126"/>
      <c r="H16" s="1126"/>
      <c r="I16" s="1126"/>
      <c r="J16" s="1126"/>
      <c r="K16" s="1126"/>
      <c r="L16" s="1126"/>
      <c r="M16" s="16"/>
    </row>
    <row r="17" spans="1:13" ht="19.95" customHeight="1" x14ac:dyDescent="0.3">
      <c r="A17" s="17" t="s">
        <v>115</v>
      </c>
      <c r="B17" s="17" t="s">
        <v>116</v>
      </c>
      <c r="C17" s="17" t="s">
        <v>117</v>
      </c>
      <c r="D17" s="17" t="s">
        <v>118</v>
      </c>
      <c r="E17" s="17" t="s">
        <v>119</v>
      </c>
      <c r="F17" s="17" t="s">
        <v>120</v>
      </c>
      <c r="M17" s="14"/>
    </row>
    <row r="18" spans="1:13" ht="31.95" customHeight="1" x14ac:dyDescent="0.3">
      <c r="A18" s="18">
        <f>CovenantCount</f>
        <v>24</v>
      </c>
      <c r="B18" s="18">
        <f>CovenantCompliant</f>
        <v>24</v>
      </c>
      <c r="C18" s="18">
        <f>CovenantNearBreach</f>
        <v>0</v>
      </c>
      <c r="D18" s="18">
        <f>CovenantBreached</f>
        <v>0</v>
      </c>
      <c r="E18" s="18">
        <f>CovenantPending</f>
        <v>0</v>
      </c>
      <c r="F18" s="19">
        <f>PortfolioCompliancePct</f>
        <v>1</v>
      </c>
      <c r="M18" s="14"/>
    </row>
    <row r="19" spans="1:13" ht="6" customHeight="1" x14ac:dyDescent="0.3">
      <c r="A19" s="14"/>
      <c r="B19" s="14"/>
      <c r="C19" s="14"/>
      <c r="D19" s="14"/>
      <c r="E19" s="14"/>
      <c r="F19" s="14"/>
      <c r="G19" s="14"/>
      <c r="H19" s="14"/>
      <c r="I19" s="14"/>
      <c r="J19" s="14"/>
      <c r="K19" s="14"/>
      <c r="L19" s="14"/>
      <c r="M19" s="14"/>
    </row>
    <row r="20" spans="1:13" ht="19.95" customHeight="1" x14ac:dyDescent="0.3">
      <c r="A20" s="1127" t="str">
        <f>"Portfolio Compliance: " &amp; TEXT(PortfolioCompliancePct,"0.0%") &amp; " (" &amp; CovenantCompliant &amp; " of " &amp; CovenantCount &amp; " covenants Compliant). " &amp; CovenantNearBreach &amp; " Near Breach. " &amp; CovenantBreached &amp; " Breached. " &amp; CovenantPending &amp; " Pending Input."</f>
        <v>Portfolio Compliance: 100.0% (24 of 24 covenants Compliant). 0 Near Breach. 0 Breached. 0 Pending Input.</v>
      </c>
      <c r="B20" s="1127"/>
      <c r="C20" s="1127"/>
      <c r="D20" s="1127"/>
      <c r="E20" s="1127"/>
      <c r="F20" s="1127"/>
      <c r="G20" s="1127"/>
      <c r="H20" s="1127"/>
      <c r="I20" s="1127"/>
      <c r="J20" s="1127"/>
      <c r="K20" s="1127"/>
      <c r="L20" s="1127"/>
      <c r="M20" s="20"/>
    </row>
    <row r="21" spans="1:13" ht="7.95" customHeight="1" x14ac:dyDescent="0.3">
      <c r="A21" s="14"/>
      <c r="B21" s="14"/>
      <c r="C21" s="14"/>
      <c r="D21" s="14"/>
      <c r="E21" s="14"/>
      <c r="F21" s="14"/>
      <c r="G21" s="14"/>
      <c r="H21" s="14"/>
      <c r="I21" s="14"/>
      <c r="J21" s="14"/>
      <c r="K21" s="14"/>
      <c r="L21" s="14"/>
      <c r="M21" s="14"/>
    </row>
    <row r="22" spans="1:13" ht="7.95" customHeight="1" x14ac:dyDescent="0.3">
      <c r="A22" s="192"/>
      <c r="B22" s="192"/>
      <c r="C22" s="192"/>
      <c r="D22" s="192"/>
      <c r="E22" s="192"/>
      <c r="F22" s="192"/>
      <c r="G22" s="192"/>
      <c r="H22" s="192"/>
      <c r="I22" s="192"/>
      <c r="J22" s="192"/>
      <c r="K22" s="192"/>
      <c r="L22" s="192"/>
      <c r="M22" s="14"/>
    </row>
    <row r="23" spans="1:13" ht="25.95" customHeight="1" x14ac:dyDescent="0.3">
      <c r="A23" s="1128" t="s">
        <v>121</v>
      </c>
      <c r="B23" s="1129"/>
      <c r="C23" s="1129"/>
      <c r="D23" s="1129"/>
      <c r="E23" s="1129"/>
      <c r="F23" s="1129"/>
      <c r="G23" s="1129"/>
      <c r="H23" s="1129"/>
      <c r="I23" s="1129"/>
      <c r="J23" s="1129"/>
      <c r="K23" s="1129"/>
      <c r="L23" s="1130"/>
      <c r="M23" s="16"/>
    </row>
    <row r="24" spans="1:13" ht="22.05" customHeight="1" x14ac:dyDescent="0.3">
      <c r="A24" s="136" t="s">
        <v>122</v>
      </c>
      <c r="B24" s="123" t="s">
        <v>4</v>
      </c>
      <c r="C24" s="124" t="s">
        <v>123</v>
      </c>
      <c r="D24" s="123"/>
      <c r="E24" s="147"/>
      <c r="F24" s="146"/>
      <c r="G24" s="146"/>
      <c r="H24" s="146"/>
      <c r="I24" s="146"/>
      <c r="J24" s="146"/>
      <c r="K24" s="146"/>
      <c r="L24" s="148" t="s">
        <v>779</v>
      </c>
      <c r="M24" s="14"/>
    </row>
    <row r="25" spans="1:13" ht="22.05" customHeight="1" x14ac:dyDescent="0.3">
      <c r="A25" s="132" t="s">
        <v>124</v>
      </c>
      <c r="B25" s="125">
        <f>'Lender Summary'!D6</f>
        <v>520.70000000000005</v>
      </c>
      <c r="C25" s="126">
        <f>IFERROR(B25/SanctionedDebt,0)</f>
        <v>0.3942606193685167</v>
      </c>
      <c r="D25" s="127"/>
      <c r="E25" s="149" t="str">
        <f>REPT("█", ROUND(C25*40,0))</f>
        <v>████████████████</v>
      </c>
      <c r="F25" s="115"/>
      <c r="G25" s="115"/>
      <c r="H25" s="115"/>
      <c r="I25" s="115"/>
      <c r="J25" s="115"/>
      <c r="K25" s="115"/>
      <c r="L25" s="116"/>
      <c r="M25" s="14"/>
    </row>
    <row r="26" spans="1:13" ht="22.05" customHeight="1" x14ac:dyDescent="0.3">
      <c r="A26" s="133" t="s">
        <v>125</v>
      </c>
      <c r="B26" s="128">
        <f>'Lender Summary'!D5</f>
        <v>300</v>
      </c>
      <c r="C26" s="129">
        <f>IFERROR(B26/SanctionedDebt,0)</f>
        <v>0.22715226773680622</v>
      </c>
      <c r="D26" s="140"/>
      <c r="E26" s="137" t="str">
        <f>REPT("█", ROUND(C26*40,0))</f>
        <v>█████████</v>
      </c>
      <c r="F26" s="142"/>
      <c r="G26" s="142"/>
      <c r="H26" s="142"/>
      <c r="I26" s="142"/>
      <c r="J26" s="142"/>
      <c r="K26" s="142"/>
      <c r="L26" s="143"/>
      <c r="M26" s="14"/>
    </row>
    <row r="27" spans="1:13" ht="22.05" customHeight="1" x14ac:dyDescent="0.3">
      <c r="A27" s="134" t="s">
        <v>126</v>
      </c>
      <c r="B27" s="130">
        <f>'Lender Summary'!D8</f>
        <v>200</v>
      </c>
      <c r="C27" s="131">
        <f>IFERROR(B27/SanctionedDebt,0)</f>
        <v>0.15143484515787081</v>
      </c>
      <c r="D27" s="141"/>
      <c r="E27" s="138" t="str">
        <f>REPT("█", ROUND(C27*40,0))</f>
        <v>██████</v>
      </c>
      <c r="F27" s="144"/>
      <c r="G27" s="144"/>
      <c r="H27" s="144"/>
      <c r="I27" s="144"/>
      <c r="J27" s="144"/>
      <c r="K27" s="144"/>
      <c r="L27" s="145"/>
      <c r="M27" s="14"/>
    </row>
    <row r="28" spans="1:13" ht="22.05" customHeight="1" x14ac:dyDescent="0.3">
      <c r="A28" s="135" t="s">
        <v>127</v>
      </c>
      <c r="B28" s="128">
        <f>'Lender Summary'!D7</f>
        <v>150</v>
      </c>
      <c r="C28" s="129">
        <f>IFERROR(B28/SanctionedDebt,0)</f>
        <v>0.11357613386840311</v>
      </c>
      <c r="D28" s="140"/>
      <c r="E28" s="139" t="str">
        <f>REPT("█", ROUND(C28*40,0))</f>
        <v>█████</v>
      </c>
      <c r="F28" s="142"/>
      <c r="G28" s="142"/>
      <c r="H28" s="142"/>
      <c r="I28" s="142"/>
      <c r="J28" s="142"/>
      <c r="K28" s="142"/>
      <c r="L28" s="143"/>
      <c r="M28" s="14"/>
    </row>
    <row r="29" spans="1:13" ht="22.05" customHeight="1" x14ac:dyDescent="0.3">
      <c r="A29" s="193" t="s">
        <v>128</v>
      </c>
      <c r="B29" s="130">
        <f>'Lender Summary'!D9</f>
        <v>150</v>
      </c>
      <c r="C29" s="131">
        <f>IFERROR(B29/SanctionedDebt,0)</f>
        <v>0.11357613386840311</v>
      </c>
      <c r="D29" s="141"/>
      <c r="E29" s="194" t="str">
        <f>REPT("█", ROUND(C29*40,0))</f>
        <v>█████</v>
      </c>
      <c r="F29" s="144"/>
      <c r="G29" s="144"/>
      <c r="H29" s="144"/>
      <c r="I29" s="144"/>
      <c r="J29" s="144"/>
      <c r="K29" s="144"/>
      <c r="L29" s="145"/>
      <c r="M29" s="14"/>
    </row>
    <row r="30" spans="1:13" ht="7.95" customHeight="1" x14ac:dyDescent="0.3">
      <c r="A30" s="195"/>
      <c r="B30" s="195"/>
      <c r="C30" s="195"/>
      <c r="D30" s="195"/>
      <c r="E30" s="195"/>
      <c r="F30" s="195"/>
      <c r="G30" s="195"/>
      <c r="H30" s="195"/>
      <c r="I30" s="195"/>
      <c r="J30" s="195"/>
      <c r="K30" s="195"/>
      <c r="L30" s="195"/>
      <c r="M30" s="14"/>
    </row>
    <row r="31" spans="1:13" ht="7.95" customHeight="1" x14ac:dyDescent="0.3">
      <c r="A31" s="192"/>
      <c r="B31" s="192"/>
      <c r="C31" s="192"/>
      <c r="D31" s="192"/>
      <c r="E31" s="192"/>
      <c r="F31" s="192"/>
      <c r="G31" s="192"/>
      <c r="H31" s="192"/>
      <c r="I31" s="192"/>
      <c r="J31" s="192"/>
      <c r="K31" s="192"/>
      <c r="L31" s="192"/>
      <c r="M31" s="14"/>
    </row>
    <row r="32" spans="1:13" ht="25.95" customHeight="1" x14ac:dyDescent="0.3">
      <c r="A32" s="1131" t="s">
        <v>129</v>
      </c>
      <c r="B32" s="1132"/>
      <c r="C32" s="1132"/>
      <c r="D32" s="1132"/>
      <c r="E32" s="1133"/>
      <c r="F32" s="1133"/>
      <c r="G32" s="1132"/>
      <c r="H32" s="1132"/>
      <c r="I32" s="1132"/>
      <c r="J32" s="1132"/>
      <c r="K32" s="1132"/>
      <c r="L32" s="1134"/>
      <c r="M32" s="16"/>
    </row>
    <row r="33" spans="1:13" ht="22.05" customHeight="1" x14ac:dyDescent="0.3">
      <c r="A33" s="152" t="s">
        <v>130</v>
      </c>
      <c r="B33" s="153" t="s">
        <v>131</v>
      </c>
      <c r="C33" s="153" t="s">
        <v>132</v>
      </c>
      <c r="D33" s="154" t="s">
        <v>133</v>
      </c>
      <c r="E33" s="158" t="s">
        <v>134</v>
      </c>
      <c r="F33" s="159" t="s">
        <v>780</v>
      </c>
      <c r="G33" s="155"/>
      <c r="H33" s="155"/>
      <c r="I33" s="155"/>
      <c r="J33" s="155"/>
      <c r="K33" s="155"/>
      <c r="L33" s="156"/>
      <c r="M33" s="14"/>
    </row>
    <row r="34" spans="1:13" ht="19.95" customHeight="1" x14ac:dyDescent="0.3">
      <c r="A34" s="150" t="s">
        <v>135</v>
      </c>
      <c r="B34" s="21">
        <f>DATE(2023,4,1)</f>
        <v>45017</v>
      </c>
      <c r="C34" s="21">
        <f>DATE(2024,3,31)</f>
        <v>45382</v>
      </c>
      <c r="D34" s="157">
        <f>IFERROR(SUMIFS('Repayment Schedule'!S:S,'Repayment Schedule'!B:B,"&gt;="&amp;B34,'Repayment Schedule'!B:B,"&lt;="&amp;C34),0)</f>
        <v>0</v>
      </c>
      <c r="E34" s="161">
        <f>D34</f>
        <v>0</v>
      </c>
      <c r="F34" s="162" t="str">
        <f t="shared" ref="F34:F47" si="0">IFERROR(REPT("█",ROUND(D34/48.72*30,0)),"")</f>
        <v/>
      </c>
      <c r="G34" s="117"/>
      <c r="H34" s="117"/>
      <c r="I34" s="117"/>
      <c r="J34" s="117"/>
      <c r="K34" s="117"/>
      <c r="L34" s="118"/>
      <c r="M34" s="14"/>
    </row>
    <row r="35" spans="1:13" ht="19.95" customHeight="1" x14ac:dyDescent="0.3">
      <c r="A35" s="151" t="s">
        <v>136</v>
      </c>
      <c r="B35" s="22">
        <f>DATE(2024,4,1)</f>
        <v>45383</v>
      </c>
      <c r="C35" s="22">
        <f>DATE(2025,3,31)</f>
        <v>45747</v>
      </c>
      <c r="D35" s="160">
        <f>IFERROR(SUMIFS('Repayment Schedule'!S:S,'Repayment Schedule'!B:B,"&gt;="&amp;B35,'Repayment Schedule'!B:B,"&lt;="&amp;C35),0)</f>
        <v>0</v>
      </c>
      <c r="E35" s="163">
        <f t="shared" ref="E35:E47" si="1">E34+D35</f>
        <v>0</v>
      </c>
      <c r="F35" s="164" t="str">
        <f t="shared" si="0"/>
        <v/>
      </c>
      <c r="G35" s="119"/>
      <c r="H35" s="119"/>
      <c r="I35" s="119"/>
      <c r="J35" s="119"/>
      <c r="K35" s="119"/>
      <c r="L35" s="120"/>
      <c r="M35" s="14"/>
    </row>
    <row r="36" spans="1:13" ht="19.95" customHeight="1" x14ac:dyDescent="0.3">
      <c r="A36" s="150" t="s">
        <v>137</v>
      </c>
      <c r="B36" s="21">
        <f>DATE(2025,4,1)</f>
        <v>45748</v>
      </c>
      <c r="C36" s="21">
        <f>DATE(2026,3,31)</f>
        <v>46112</v>
      </c>
      <c r="D36" s="157">
        <f>IFERROR(SUMIFS('Repayment Schedule'!S:S,'Repayment Schedule'!B:B,"&gt;="&amp;B36,'Repayment Schedule'!B:B,"&lt;="&amp;C36),0)</f>
        <v>24.738800000000001</v>
      </c>
      <c r="E36" s="161">
        <f t="shared" si="1"/>
        <v>24.738800000000001</v>
      </c>
      <c r="F36" s="162" t="str">
        <f t="shared" si="0"/>
        <v>███████████████</v>
      </c>
      <c r="G36" s="117"/>
      <c r="H36" s="117"/>
      <c r="I36" s="117"/>
      <c r="J36" s="117"/>
      <c r="K36" s="117"/>
      <c r="L36" s="118"/>
      <c r="M36" s="14"/>
    </row>
    <row r="37" spans="1:13" ht="19.95" customHeight="1" x14ac:dyDescent="0.3">
      <c r="A37" s="151" t="s">
        <v>138</v>
      </c>
      <c r="B37" s="22">
        <f>DATE(2026,4,1)</f>
        <v>46113</v>
      </c>
      <c r="C37" s="22">
        <f>DATE(2027,3,31)</f>
        <v>46477</v>
      </c>
      <c r="D37" s="160">
        <f>IFERROR(SUMIFS('Repayment Schedule'!S:S,'Repayment Schedule'!B:B,"&gt;="&amp;B37,'Repayment Schedule'!B:B,"&lt;="&amp;C37),0)</f>
        <v>35.453085800000004</v>
      </c>
      <c r="E37" s="163">
        <f t="shared" si="1"/>
        <v>60.191885800000009</v>
      </c>
      <c r="F37" s="164" t="str">
        <f t="shared" si="0"/>
        <v>██████████████████████</v>
      </c>
      <c r="G37" s="119"/>
      <c r="H37" s="119"/>
      <c r="I37" s="119"/>
      <c r="J37" s="119"/>
      <c r="K37" s="119"/>
      <c r="L37" s="120"/>
      <c r="M37" s="14"/>
    </row>
    <row r="38" spans="1:13" ht="19.95" customHeight="1" x14ac:dyDescent="0.3">
      <c r="A38" s="150" t="s">
        <v>139</v>
      </c>
      <c r="B38" s="21">
        <f>DATE(2027,4,1)</f>
        <v>46478</v>
      </c>
      <c r="C38" s="21">
        <f>DATE(2028,3,31)</f>
        <v>46843</v>
      </c>
      <c r="D38" s="157">
        <f>IFERROR(SUMIFS('Repayment Schedule'!S:S,'Repayment Schedule'!B:B,"&gt;="&amp;B38,'Repayment Schedule'!B:B,"&lt;="&amp;C38),0)</f>
        <v>46.167371600000003</v>
      </c>
      <c r="E38" s="161">
        <f t="shared" si="1"/>
        <v>106.35925740000002</v>
      </c>
      <c r="F38" s="162" t="str">
        <f t="shared" si="0"/>
        <v>████████████████████████████</v>
      </c>
      <c r="G38" s="117"/>
      <c r="H38" s="117"/>
      <c r="I38" s="117"/>
      <c r="J38" s="117"/>
      <c r="K38" s="117"/>
      <c r="L38" s="118"/>
      <c r="M38" s="14"/>
    </row>
    <row r="39" spans="1:13" ht="19.95" customHeight="1" x14ac:dyDescent="0.3">
      <c r="A39" s="151" t="s">
        <v>140</v>
      </c>
      <c r="B39" s="22">
        <f>DATE(2028,4,1)</f>
        <v>46844</v>
      </c>
      <c r="C39" s="22">
        <f>DATE(2029,3,31)</f>
        <v>47208</v>
      </c>
      <c r="D39" s="160">
        <f>IFERROR(SUMIFS('Repayment Schedule'!S:S,'Repayment Schedule'!B:B,"&gt;="&amp;B39,'Repayment Schedule'!B:B,"&lt;="&amp;C39),0)</f>
        <v>46.4277716</v>
      </c>
      <c r="E39" s="163">
        <f t="shared" si="1"/>
        <v>152.78702900000002</v>
      </c>
      <c r="F39" s="164" t="str">
        <f t="shared" si="0"/>
        <v>█████████████████████████████</v>
      </c>
      <c r="G39" s="119"/>
      <c r="H39" s="119"/>
      <c r="I39" s="119"/>
      <c r="J39" s="119"/>
      <c r="K39" s="119"/>
      <c r="L39" s="120"/>
      <c r="M39" s="14"/>
    </row>
    <row r="40" spans="1:13" ht="19.95" customHeight="1" x14ac:dyDescent="0.3">
      <c r="A40" s="150" t="s">
        <v>141</v>
      </c>
      <c r="B40" s="21">
        <f>DATE(2029,4,1)</f>
        <v>47209</v>
      </c>
      <c r="C40" s="21">
        <f>DATE(2030,3,31)</f>
        <v>47573</v>
      </c>
      <c r="D40" s="157">
        <f>IFERROR(SUMIFS('Repayment Schedule'!S:S,'Repayment Schedule'!B:B,"&gt;="&amp;B40,'Repayment Schedule'!B:B,"&lt;="&amp;C40),0)</f>
        <v>47.956971600000003</v>
      </c>
      <c r="E40" s="161">
        <f t="shared" si="1"/>
        <v>200.74400060000002</v>
      </c>
      <c r="F40" s="162" t="str">
        <f t="shared" si="0"/>
        <v>██████████████████████████████</v>
      </c>
      <c r="G40" s="117"/>
      <c r="H40" s="117"/>
      <c r="I40" s="117"/>
      <c r="J40" s="117"/>
      <c r="K40" s="117"/>
      <c r="L40" s="118"/>
      <c r="M40" s="14"/>
    </row>
    <row r="41" spans="1:13" ht="19.95" customHeight="1" x14ac:dyDescent="0.3">
      <c r="A41" s="151" t="s">
        <v>142</v>
      </c>
      <c r="B41" s="22">
        <f>DATE(2030,4,1)</f>
        <v>47574</v>
      </c>
      <c r="C41" s="22">
        <f>DATE(2031,3,31)</f>
        <v>47938</v>
      </c>
      <c r="D41" s="160">
        <f>IFERROR(SUMIFS('Repayment Schedule'!S:S,'Repayment Schedule'!B:B,"&gt;="&amp;B41,'Repayment Schedule'!B:B,"&lt;="&amp;C41),0)</f>
        <v>50.317371600000001</v>
      </c>
      <c r="E41" s="163">
        <f t="shared" si="1"/>
        <v>251.06137220000002</v>
      </c>
      <c r="F41" s="164" t="str">
        <f t="shared" si="0"/>
        <v>███████████████████████████████</v>
      </c>
      <c r="G41" s="119"/>
      <c r="H41" s="119"/>
      <c r="I41" s="119"/>
      <c r="J41" s="119"/>
      <c r="K41" s="119"/>
      <c r="L41" s="120"/>
      <c r="M41" s="14"/>
    </row>
    <row r="42" spans="1:13" ht="19.95" customHeight="1" x14ac:dyDescent="0.3">
      <c r="A42" s="150" t="s">
        <v>143</v>
      </c>
      <c r="B42" s="21">
        <f>DATE(2031,4,1)</f>
        <v>47939</v>
      </c>
      <c r="C42" s="21">
        <f>DATE(2032,3,31)</f>
        <v>48304</v>
      </c>
      <c r="D42" s="157">
        <f>IFERROR(SUMIFS('Repayment Schedule'!S:S,'Repayment Schedule'!B:B,"&gt;="&amp;B42,'Repayment Schedule'!B:B,"&lt;="&amp;C42),0)</f>
        <v>52.400571600000006</v>
      </c>
      <c r="E42" s="161">
        <f t="shared" si="1"/>
        <v>303.46194380000003</v>
      </c>
      <c r="F42" s="162" t="str">
        <f t="shared" si="0"/>
        <v>████████████████████████████████</v>
      </c>
      <c r="G42" s="117"/>
      <c r="H42" s="117"/>
      <c r="I42" s="117"/>
      <c r="J42" s="117"/>
      <c r="K42" s="117"/>
      <c r="L42" s="118"/>
      <c r="M42" s="14"/>
    </row>
    <row r="43" spans="1:13" ht="19.95" customHeight="1" x14ac:dyDescent="0.3">
      <c r="A43" s="151" t="s">
        <v>144</v>
      </c>
      <c r="B43" s="22">
        <f>DATE(2032,4,1)</f>
        <v>48305</v>
      </c>
      <c r="C43" s="22">
        <f>DATE(2033,3,31)</f>
        <v>48669</v>
      </c>
      <c r="D43" s="160">
        <f>IFERROR(SUMIFS('Repayment Schedule'!S:S,'Repayment Schedule'!B:B,"&gt;="&amp;B43,'Repayment Schedule'!B:B,"&lt;="&amp;C43),0)</f>
        <v>52.400571600000006</v>
      </c>
      <c r="E43" s="163">
        <f t="shared" si="1"/>
        <v>355.86251540000001</v>
      </c>
      <c r="F43" s="164" t="str">
        <f t="shared" si="0"/>
        <v>████████████████████████████████</v>
      </c>
      <c r="G43" s="119"/>
      <c r="H43" s="119"/>
      <c r="I43" s="119"/>
      <c r="J43" s="119"/>
      <c r="K43" s="119"/>
      <c r="L43" s="120"/>
      <c r="M43" s="14"/>
    </row>
    <row r="44" spans="1:13" ht="19.95" customHeight="1" x14ac:dyDescent="0.3">
      <c r="A44" s="150" t="s">
        <v>145</v>
      </c>
      <c r="B44" s="21">
        <f>DATE(2033,4,1)</f>
        <v>48670</v>
      </c>
      <c r="C44" s="21">
        <f>DATE(2034,3,31)</f>
        <v>49034</v>
      </c>
      <c r="D44" s="157">
        <f>IFERROR(SUMIFS('Repayment Schedule'!S:S,'Repayment Schedule'!B:B,"&gt;="&amp;B44,'Repayment Schedule'!B:B,"&lt;="&amp;C44),0)</f>
        <v>41.686284600000008</v>
      </c>
      <c r="E44" s="161">
        <f t="shared" si="1"/>
        <v>397.54880000000003</v>
      </c>
      <c r="F44" s="162" t="str">
        <f t="shared" si="0"/>
        <v>██████████████████████████</v>
      </c>
      <c r="G44" s="117"/>
      <c r="H44" s="117"/>
      <c r="I44" s="117"/>
      <c r="J44" s="117"/>
      <c r="K44" s="117"/>
      <c r="L44" s="118"/>
      <c r="M44" s="14"/>
    </row>
    <row r="45" spans="1:13" ht="19.95" customHeight="1" x14ac:dyDescent="0.3">
      <c r="A45" s="151" t="s">
        <v>146</v>
      </c>
      <c r="B45" s="22">
        <f>DATE(2034,4,1)</f>
        <v>49035</v>
      </c>
      <c r="C45" s="22">
        <f>DATE(2035,3,31)</f>
        <v>49399</v>
      </c>
      <c r="D45" s="160">
        <f>IFERROR(SUMIFS('Repayment Schedule'!S:S,'Repayment Schedule'!B:B,"&gt;="&amp;B45,'Repayment Schedule'!B:B,"&lt;="&amp;C45),0)</f>
        <v>32.222799999999999</v>
      </c>
      <c r="E45" s="163">
        <f t="shared" si="1"/>
        <v>429.77160000000003</v>
      </c>
      <c r="F45" s="164" t="str">
        <f t="shared" si="0"/>
        <v>████████████████████</v>
      </c>
      <c r="G45" s="119"/>
      <c r="H45" s="119"/>
      <c r="I45" s="119"/>
      <c r="J45" s="119"/>
      <c r="K45" s="119"/>
      <c r="L45" s="120"/>
      <c r="M45" s="14"/>
    </row>
    <row r="46" spans="1:13" ht="19.95" customHeight="1" x14ac:dyDescent="0.3">
      <c r="A46" s="150" t="s">
        <v>147</v>
      </c>
      <c r="B46" s="21">
        <f>DATE(2035,4,1)</f>
        <v>49400</v>
      </c>
      <c r="C46" s="21">
        <f>DATE(2036,3,31)</f>
        <v>49765</v>
      </c>
      <c r="D46" s="157">
        <f>IFERROR(SUMIFS('Repayment Schedule'!S:S,'Repayment Schedule'!B:B,"&gt;="&amp;B46,'Repayment Schedule'!B:B,"&lt;="&amp;C46),0)</f>
        <v>36.112000000000002</v>
      </c>
      <c r="E46" s="161">
        <f t="shared" si="1"/>
        <v>465.88360000000006</v>
      </c>
      <c r="F46" s="162" t="str">
        <f t="shared" si="0"/>
        <v>██████████████████████</v>
      </c>
      <c r="G46" s="117"/>
      <c r="H46" s="117"/>
      <c r="I46" s="117"/>
      <c r="J46" s="117"/>
      <c r="K46" s="117"/>
      <c r="L46" s="118"/>
      <c r="M46" s="14"/>
    </row>
    <row r="47" spans="1:13" ht="19.95" customHeight="1" x14ac:dyDescent="0.3">
      <c r="A47" s="196" t="s">
        <v>148</v>
      </c>
      <c r="B47" s="197">
        <f>DATE(2036,4,1)</f>
        <v>49766</v>
      </c>
      <c r="C47" s="197">
        <f>DATE(2037,3,31)</f>
        <v>50130</v>
      </c>
      <c r="D47" s="198">
        <f>IFERROR(SUMIFS('Repayment Schedule'!S:S,'Repayment Schedule'!B:B,"&gt;="&amp;B47,'Repayment Schedule'!B:B,"&lt;="&amp;C47),0)</f>
        <v>4.8163999999999998</v>
      </c>
      <c r="E47" s="163">
        <f t="shared" si="1"/>
        <v>470.70000000000005</v>
      </c>
      <c r="F47" s="164" t="str">
        <f t="shared" si="0"/>
        <v>███</v>
      </c>
      <c r="G47" s="142"/>
      <c r="H47" s="142"/>
      <c r="I47" s="142"/>
      <c r="J47" s="142"/>
      <c r="K47" s="142"/>
      <c r="L47" s="143"/>
      <c r="M47" s="14"/>
    </row>
    <row r="48" spans="1:13" ht="7.95" customHeight="1" x14ac:dyDescent="0.3">
      <c r="A48" s="195"/>
      <c r="B48" s="195"/>
      <c r="C48" s="195"/>
      <c r="D48" s="195"/>
      <c r="E48" s="195"/>
      <c r="F48" s="195"/>
      <c r="G48" s="195"/>
      <c r="H48" s="195"/>
      <c r="I48" s="195"/>
      <c r="J48" s="195"/>
      <c r="K48" s="195"/>
      <c r="L48" s="195"/>
      <c r="M48" s="14"/>
    </row>
    <row r="49" spans="1:13" ht="7.95" customHeight="1" x14ac:dyDescent="0.3">
      <c r="A49" s="192"/>
      <c r="B49" s="192"/>
      <c r="C49" s="192"/>
      <c r="D49" s="192"/>
      <c r="E49" s="192"/>
      <c r="F49" s="192"/>
      <c r="G49" s="192"/>
      <c r="H49" s="192"/>
      <c r="I49" s="192"/>
      <c r="J49" s="192"/>
      <c r="K49" s="192"/>
      <c r="L49" s="192"/>
      <c r="M49" s="14"/>
    </row>
    <row r="50" spans="1:13" ht="25.95" customHeight="1" x14ac:dyDescent="0.3">
      <c r="A50" s="1135" t="s">
        <v>149</v>
      </c>
      <c r="B50" s="1136"/>
      <c r="C50" s="1136"/>
      <c r="D50" s="1136"/>
      <c r="E50" s="1136"/>
      <c r="F50" s="1136"/>
      <c r="G50" s="1136"/>
      <c r="H50" s="1136"/>
      <c r="I50" s="1136"/>
      <c r="J50" s="1136"/>
      <c r="K50" s="1136"/>
      <c r="L50" s="1137"/>
      <c r="M50" s="16"/>
    </row>
    <row r="51" spans="1:13" ht="22.05" customHeight="1" x14ac:dyDescent="0.3">
      <c r="A51" s="167" t="s">
        <v>150</v>
      </c>
      <c r="B51" s="168" t="s">
        <v>151</v>
      </c>
      <c r="C51" s="169" t="s">
        <v>781</v>
      </c>
      <c r="D51" s="170" t="s">
        <v>782</v>
      </c>
      <c r="E51" s="165"/>
      <c r="F51" s="165"/>
      <c r="G51" s="165"/>
      <c r="H51" s="165"/>
      <c r="I51" s="165"/>
      <c r="J51" s="165"/>
      <c r="K51" s="165"/>
      <c r="L51" s="166"/>
      <c r="M51" s="14"/>
    </row>
    <row r="52" spans="1:13" ht="25.95" customHeight="1" x14ac:dyDescent="0.3">
      <c r="A52" s="212" t="s">
        <v>152</v>
      </c>
      <c r="B52" s="171">
        <f>SanctionedDebt</f>
        <v>1320.7</v>
      </c>
      <c r="C52" s="204">
        <f>IFERROR(B52/SanctionedDebt,"")</f>
        <v>1</v>
      </c>
      <c r="D52" s="172" t="str">
        <f>IFERROR(REPT("█",ROUND(B52/SanctionedDebt*40,0)),"")</f>
        <v>████████████████████████████████████████</v>
      </c>
      <c r="E52" s="121"/>
      <c r="F52" s="121"/>
      <c r="G52" s="121"/>
      <c r="H52" s="121"/>
      <c r="I52" s="121"/>
      <c r="J52" s="121"/>
      <c r="K52" s="121"/>
      <c r="L52" s="122"/>
      <c r="M52" s="14"/>
    </row>
    <row r="53" spans="1:13" ht="25.95" customHeight="1" x14ac:dyDescent="0.3">
      <c r="A53" s="213" t="s">
        <v>153</v>
      </c>
      <c r="B53" s="173">
        <f>NFBContingent</f>
        <v>815</v>
      </c>
      <c r="C53" s="205">
        <f>IFERROR(B53/SanctionedDebt,"")</f>
        <v>0.61709699401832363</v>
      </c>
      <c r="D53" s="174" t="str">
        <f>IFERROR(REPT("█",ROUND(B53/SanctionedDebt*40,0)),"")</f>
        <v>█████████████████████████</v>
      </c>
      <c r="E53" s="119"/>
      <c r="F53" s="119"/>
      <c r="G53" s="119"/>
      <c r="H53" s="119"/>
      <c r="I53" s="119"/>
      <c r="J53" s="119"/>
      <c r="K53" s="119"/>
      <c r="L53" s="120"/>
      <c r="M53" s="14"/>
    </row>
    <row r="54" spans="1:13" ht="25.95" customHeight="1" x14ac:dyDescent="0.3">
      <c r="A54" s="214" t="s">
        <v>154</v>
      </c>
      <c r="B54" s="175">
        <f>FDBackedTotal</f>
        <v>100</v>
      </c>
      <c r="C54" s="206">
        <f>IFERROR(B54/SanctionedDebt,"")</f>
        <v>7.5717422578935406E-2</v>
      </c>
      <c r="D54" s="176" t="str">
        <f>IFERROR(REPT("█",ROUND(B54/SanctionedDebt*40,0)),"")</f>
        <v>███</v>
      </c>
      <c r="E54" s="117"/>
      <c r="F54" s="117"/>
      <c r="G54" s="117"/>
      <c r="H54" s="117"/>
      <c r="I54" s="117"/>
      <c r="J54" s="117"/>
      <c r="K54" s="117"/>
      <c r="L54" s="118"/>
      <c r="M54" s="14"/>
    </row>
    <row r="55" spans="1:13" ht="25.95" customHeight="1" x14ac:dyDescent="0.3">
      <c r="A55" s="215" t="s">
        <v>155</v>
      </c>
      <c r="B55" s="199">
        <f>HedgeNotionalTotal</f>
        <v>23</v>
      </c>
      <c r="C55" s="207">
        <f>IFERROR(B55/SanctionedDebt,"")</f>
        <v>1.7415007193155144E-2</v>
      </c>
      <c r="D55" s="200" t="str">
        <f>IFERROR(REPT("█",ROUND(B55/SanctionedDebt*40,0)),"")</f>
        <v>█</v>
      </c>
      <c r="E55" s="142"/>
      <c r="F55" s="142"/>
      <c r="G55" s="142"/>
      <c r="H55" s="142"/>
      <c r="I55" s="142"/>
      <c r="J55" s="142"/>
      <c r="K55" s="142"/>
      <c r="L55" s="143"/>
      <c r="M55" s="14"/>
    </row>
    <row r="56" spans="1:13" ht="7.95" customHeight="1" x14ac:dyDescent="0.3">
      <c r="A56" s="201"/>
      <c r="B56" s="201"/>
      <c r="C56" s="201"/>
      <c r="D56" s="201"/>
      <c r="E56" s="201"/>
      <c r="F56" s="201"/>
      <c r="G56" s="201"/>
      <c r="H56" s="201"/>
      <c r="I56" s="201"/>
      <c r="J56" s="201"/>
      <c r="K56" s="201"/>
      <c r="L56" s="201"/>
      <c r="M56" s="14"/>
    </row>
    <row r="57" spans="1:13" ht="25.95" customHeight="1" thickBot="1" x14ac:dyDescent="0.35">
      <c r="A57" s="1138" t="s">
        <v>156</v>
      </c>
      <c r="B57" s="1139"/>
      <c r="C57" s="1139"/>
      <c r="D57" s="1139"/>
      <c r="E57" s="1139"/>
      <c r="F57" s="1139"/>
      <c r="G57" s="1139"/>
      <c r="H57" s="1139"/>
      <c r="I57" s="1139"/>
      <c r="J57" s="1139"/>
      <c r="K57" s="1139"/>
      <c r="L57" s="1140"/>
      <c r="M57" s="16"/>
    </row>
    <row r="58" spans="1:13" ht="31.95" customHeight="1" x14ac:dyDescent="0.3">
      <c r="A58" s="208" t="s">
        <v>67</v>
      </c>
      <c r="B58" s="1141" t="s">
        <v>157</v>
      </c>
      <c r="C58" s="1142"/>
      <c r="D58" s="1142"/>
      <c r="E58" s="1142"/>
      <c r="F58" s="1142"/>
      <c r="G58" s="1142"/>
      <c r="H58" s="1142"/>
      <c r="I58" s="1142"/>
      <c r="J58" s="1142"/>
      <c r="K58" s="1142"/>
      <c r="L58" s="1143"/>
      <c r="M58" s="23"/>
    </row>
    <row r="59" spans="1:13" ht="31.95" customHeight="1" x14ac:dyDescent="0.3">
      <c r="A59" s="209" t="s">
        <v>67</v>
      </c>
      <c r="B59" s="1144" t="s">
        <v>158</v>
      </c>
      <c r="C59" s="1145"/>
      <c r="D59" s="1145"/>
      <c r="E59" s="1145"/>
      <c r="F59" s="1145"/>
      <c r="G59" s="1145"/>
      <c r="H59" s="1145"/>
      <c r="I59" s="1145"/>
      <c r="J59" s="1145"/>
      <c r="K59" s="1145"/>
      <c r="L59" s="1146"/>
      <c r="M59" s="24"/>
    </row>
    <row r="60" spans="1:13" ht="31.95" customHeight="1" x14ac:dyDescent="0.3">
      <c r="A60" s="210" t="s">
        <v>67</v>
      </c>
      <c r="B60" s="1147" t="s">
        <v>159</v>
      </c>
      <c r="C60" s="1148"/>
      <c r="D60" s="1148"/>
      <c r="E60" s="1148"/>
      <c r="F60" s="1148"/>
      <c r="G60" s="1148"/>
      <c r="H60" s="1148"/>
      <c r="I60" s="1148"/>
      <c r="J60" s="1148"/>
      <c r="K60" s="1148"/>
      <c r="L60" s="1149"/>
      <c r="M60" s="24"/>
    </row>
    <row r="61" spans="1:13" ht="31.95" customHeight="1" x14ac:dyDescent="0.3">
      <c r="A61" s="209" t="s">
        <v>67</v>
      </c>
      <c r="B61" s="1144" t="s">
        <v>160</v>
      </c>
      <c r="C61" s="1145"/>
      <c r="D61" s="1145"/>
      <c r="E61" s="1145"/>
      <c r="F61" s="1145"/>
      <c r="G61" s="1145"/>
      <c r="H61" s="1145"/>
      <c r="I61" s="1145"/>
      <c r="J61" s="1145"/>
      <c r="K61" s="1145"/>
      <c r="L61" s="1146"/>
      <c r="M61" s="24"/>
    </row>
    <row r="62" spans="1:13" ht="36" customHeight="1" thickBot="1" x14ac:dyDescent="0.35">
      <c r="A62" s="210" t="s">
        <v>67</v>
      </c>
      <c r="B62" s="1147" t="s">
        <v>161</v>
      </c>
      <c r="C62" s="1148"/>
      <c r="D62" s="1148"/>
      <c r="E62" s="1148"/>
      <c r="F62" s="1148"/>
      <c r="G62" s="1148"/>
      <c r="H62" s="1148"/>
      <c r="I62" s="1148"/>
      <c r="J62" s="1148"/>
      <c r="K62" s="1148"/>
      <c r="L62" s="1149"/>
      <c r="M62" s="25"/>
    </row>
    <row r="63" spans="1:13" ht="42" customHeight="1" x14ac:dyDescent="0.3">
      <c r="A63" s="211" t="s">
        <v>67</v>
      </c>
      <c r="B63" s="202" t="s">
        <v>162</v>
      </c>
      <c r="C63" s="177"/>
      <c r="D63" s="177"/>
      <c r="E63" s="177"/>
      <c r="F63" s="177"/>
      <c r="G63" s="177"/>
      <c r="H63" s="177"/>
      <c r="I63" s="177"/>
      <c r="J63" s="177"/>
      <c r="K63" s="177"/>
      <c r="L63" s="178"/>
      <c r="M63" s="14"/>
    </row>
    <row r="64" spans="1:13" ht="7.95" customHeight="1" thickBot="1" x14ac:dyDescent="0.35">
      <c r="A64" s="203"/>
      <c r="B64" s="203"/>
      <c r="C64" s="203"/>
      <c r="D64" s="203"/>
      <c r="E64" s="203"/>
      <c r="F64" s="203"/>
      <c r="G64" s="203"/>
      <c r="H64" s="203"/>
      <c r="I64" s="203"/>
      <c r="J64" s="203"/>
      <c r="K64" s="203"/>
      <c r="L64" s="203"/>
      <c r="M64" s="14"/>
    </row>
    <row r="65" spans="1:13" ht="22.05" customHeight="1" x14ac:dyDescent="0.3">
      <c r="A65" s="1150" t="s">
        <v>163</v>
      </c>
      <c r="B65" s="1151"/>
      <c r="C65" s="1151"/>
      <c r="D65" s="1151"/>
      <c r="E65" s="1151"/>
      <c r="F65" s="1151"/>
      <c r="G65" s="1151"/>
      <c r="H65" s="1151"/>
      <c r="I65" s="1151"/>
      <c r="J65" s="1151"/>
      <c r="K65" s="1151"/>
      <c r="L65" s="1152"/>
      <c r="M65" s="179"/>
    </row>
    <row r="66" spans="1:13" ht="19.95" customHeight="1" x14ac:dyDescent="0.3">
      <c r="A66" s="183"/>
      <c r="B66" s="1153" t="s">
        <v>164</v>
      </c>
      <c r="C66" s="1153"/>
      <c r="D66" s="1153" t="s">
        <v>165</v>
      </c>
      <c r="E66" s="1153"/>
      <c r="F66" s="1153" t="s">
        <v>166</v>
      </c>
      <c r="G66" s="1153"/>
      <c r="H66" s="1153" t="s">
        <v>167</v>
      </c>
      <c r="I66" s="1153"/>
      <c r="J66" s="1153" t="s">
        <v>168</v>
      </c>
      <c r="K66" s="1153"/>
      <c r="L66" s="187"/>
      <c r="M66" s="180"/>
    </row>
    <row r="67" spans="1:13" ht="37.950000000000003" customHeight="1" x14ac:dyDescent="0.3">
      <c r="A67" s="184"/>
      <c r="B67" s="1155" t="str">
        <f>IFERROR(IF(COUNTIFS('Validation Engine'!G13:G63,"Bucket",'Validation Engine'!E13:E63,"FAIL")=0,IF(COUNTIFS('Validation Engine'!G13:G63,"Bucket")&gt;0,"✓","—"),"—"),"—")</f>
        <v>✓</v>
      </c>
      <c r="C67" s="1155"/>
      <c r="D67" s="1155" t="str">
        <f>IFERROR(IF(COUNTIFS('Validation Engine'!G13:G63,"TL",'Validation Engine'!E13:E63,"FAIL")=0,IF(COUNTIFS('Validation Engine'!G13:G63,"TL")&gt;0,"✓","—"),"—"),"—")</f>
        <v>✓</v>
      </c>
      <c r="E67" s="1155"/>
      <c r="F67" s="1155" t="str">
        <f>IFERROR(IF(COUNTIFS('Validation Engine'!G13:G63,"Cov",'Validation Engine'!E13:E63,"FAIL")=0,IF(COUNTIFS('Validation Engine'!G13:G63,"Cov")&gt;0,"✓","—"),"—"),"—")</f>
        <v>✓</v>
      </c>
      <c r="G67" s="1155"/>
      <c r="H67" s="1155" t="str">
        <f>IFERROR(IF(COUNTIFS('Validation Engine'!G13:G63,"Inputs",'Validation Engine'!E13:E63,"FAIL")=0,IF(COUNTIFS('Validation Engine'!G13:G63,"Inputs")&gt;0,"✓","—"),"—"),"—")</f>
        <v>✓</v>
      </c>
      <c r="I67" s="1155"/>
      <c r="J67" s="1155" t="str">
        <f>IFERROR(IF(COUNTIFS('Validation Engine'!G13:G63,"FM",'Validation Engine'!E13:E63,"FAIL")=0,IF(COUNTIFS('Validation Engine'!G13:G63,"FM")&gt;0,"✓","—"),"—"),"—")</f>
        <v>✓</v>
      </c>
      <c r="K67" s="1155"/>
      <c r="L67" s="188"/>
      <c r="M67" s="181"/>
    </row>
    <row r="68" spans="1:13" ht="19.95" customHeight="1" thickBot="1" x14ac:dyDescent="0.35">
      <c r="A68" s="185"/>
      <c r="B68" s="186"/>
      <c r="C68" s="186"/>
      <c r="D68" s="186"/>
      <c r="E68" s="186"/>
      <c r="F68" s="186"/>
      <c r="G68" s="186"/>
      <c r="H68" s="186"/>
      <c r="I68" s="186"/>
      <c r="J68" s="186"/>
      <c r="K68" s="186"/>
      <c r="L68" s="189"/>
      <c r="M68" s="182"/>
    </row>
    <row r="69" spans="1:13" ht="19.95" customHeight="1" x14ac:dyDescent="0.3">
      <c r="A69" s="1154" t="s">
        <v>169</v>
      </c>
      <c r="B69" s="1154"/>
      <c r="C69" s="1154"/>
      <c r="D69" s="1154"/>
      <c r="E69" s="1154"/>
      <c r="F69" s="1154"/>
      <c r="G69" s="1154"/>
      <c r="H69" s="1154"/>
      <c r="I69" s="1154"/>
      <c r="J69" s="1154"/>
      <c r="K69" s="1154"/>
      <c r="L69" s="1154"/>
      <c r="M69" s="26"/>
    </row>
    <row r="70" spans="1:13" ht="24" customHeight="1" x14ac:dyDescent="0.3"/>
    <row r="72" spans="1:13" ht="45.75" customHeight="1" x14ac:dyDescent="0.3"/>
    <row r="73" spans="1:13" ht="45.75" customHeight="1" x14ac:dyDescent="0.3"/>
    <row r="74" spans="1:13" ht="45.75" customHeight="1" x14ac:dyDescent="0.3"/>
    <row r="75" spans="1:13" ht="45.75" customHeight="1" x14ac:dyDescent="0.3"/>
    <row r="76" spans="1:13" ht="45.75" customHeight="1" x14ac:dyDescent="0.3"/>
    <row r="77" spans="1:13" ht="45.75" customHeight="1" x14ac:dyDescent="0.3"/>
    <row r="78" spans="1:13" ht="45.75" customHeight="1" x14ac:dyDescent="0.3"/>
  </sheetData>
  <mergeCells count="61">
    <mergeCell ref="A69:L69"/>
    <mergeCell ref="B67:C67"/>
    <mergeCell ref="D67:E67"/>
    <mergeCell ref="F67:G67"/>
    <mergeCell ref="H67:I67"/>
    <mergeCell ref="J67:K67"/>
    <mergeCell ref="B62:L62"/>
    <mergeCell ref="A65:L65"/>
    <mergeCell ref="B66:C66"/>
    <mergeCell ref="D66:E66"/>
    <mergeCell ref="F66:G66"/>
    <mergeCell ref="H66:I66"/>
    <mergeCell ref="J66:K66"/>
    <mergeCell ref="A57:L57"/>
    <mergeCell ref="B58:L58"/>
    <mergeCell ref="B59:L59"/>
    <mergeCell ref="B60:L60"/>
    <mergeCell ref="B61:L61"/>
    <mergeCell ref="A16:L16"/>
    <mergeCell ref="A20:L20"/>
    <mergeCell ref="A23:L23"/>
    <mergeCell ref="A32:L32"/>
    <mergeCell ref="A50:L50"/>
    <mergeCell ref="A13:C13"/>
    <mergeCell ref="D13:F13"/>
    <mergeCell ref="G13:I13"/>
    <mergeCell ref="J13:L13"/>
    <mergeCell ref="A14:C14"/>
    <mergeCell ref="D14:F14"/>
    <mergeCell ref="G14:I14"/>
    <mergeCell ref="J14:L14"/>
    <mergeCell ref="A10:C10"/>
    <mergeCell ref="D10:F10"/>
    <mergeCell ref="G10:I10"/>
    <mergeCell ref="J10:L10"/>
    <mergeCell ref="A12:C12"/>
    <mergeCell ref="D12:F12"/>
    <mergeCell ref="G12:I12"/>
    <mergeCell ref="J12:L12"/>
    <mergeCell ref="A8:C8"/>
    <mergeCell ref="D8:F8"/>
    <mergeCell ref="G8:I8"/>
    <mergeCell ref="J8:L8"/>
    <mergeCell ref="A9:C9"/>
    <mergeCell ref="D9:F9"/>
    <mergeCell ref="G9:I9"/>
    <mergeCell ref="J9:L9"/>
    <mergeCell ref="A5:C5"/>
    <mergeCell ref="D5:F5"/>
    <mergeCell ref="G5:I5"/>
    <mergeCell ref="J5:L5"/>
    <mergeCell ref="A6:C6"/>
    <mergeCell ref="D6:F6"/>
    <mergeCell ref="G6:I6"/>
    <mergeCell ref="J6:L6"/>
    <mergeCell ref="A1:L1"/>
    <mergeCell ref="A2:L2"/>
    <mergeCell ref="A4:C4"/>
    <mergeCell ref="D4:F4"/>
    <mergeCell ref="G4:I4"/>
    <mergeCell ref="J4:L4"/>
  </mergeCells>
  <conditionalFormatting sqref="C18">
    <cfRule type="cellIs" dxfId="56" priority="6" operator="greaterThan">
      <formula>0</formula>
    </cfRule>
  </conditionalFormatting>
  <conditionalFormatting sqref="D18">
    <cfRule type="cellIs" dxfId="55" priority="5" operator="greaterThan">
      <formula>0</formula>
    </cfRule>
  </conditionalFormatting>
  <conditionalFormatting sqref="F18">
    <cfRule type="cellIs" dxfId="54" priority="2" operator="greaterThanOrEqual">
      <formula>0.9</formula>
    </cfRule>
    <cfRule type="cellIs" dxfId="53" priority="3" operator="between">
      <formula>0.7</formula>
      <formula>0.9</formula>
    </cfRule>
    <cfRule type="cellIs" dxfId="52" priority="4" operator="lessThan">
      <formula>0.7</formula>
    </cfRule>
  </conditionalFormatting>
  <pageMargins left="0.75" right="0.75" top="1" bottom="1" header="0.511811023622047" footer="0.511811023622047"/>
  <pageSetup paperSize="9" fitToHeight="0" orientation="landscape"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E79"/>
  <sheetViews>
    <sheetView showGridLines="0" zoomScale="93" zoomScaleNormal="93" workbookViewId="0">
      <pane ySplit="1" topLeftCell="A2" activePane="bottomLeft" state="frozen"/>
      <selection pane="bottomLeft" activeCell="B5" sqref="B5"/>
    </sheetView>
  </sheetViews>
  <sheetFormatPr defaultColWidth="8.6640625" defaultRowHeight="14.4" x14ac:dyDescent="0.3"/>
  <cols>
    <col min="1" max="1" width="38.88671875" customWidth="1"/>
    <col min="2" max="2" width="21.33203125" customWidth="1"/>
    <col min="3" max="3" width="18.5546875" customWidth="1"/>
    <col min="4" max="5" width="32.44140625" customWidth="1"/>
  </cols>
  <sheetData>
    <row r="1" spans="1:5" ht="37.950000000000003" customHeight="1" thickBot="1" x14ac:dyDescent="0.35">
      <c r="A1" s="1196" t="s">
        <v>170</v>
      </c>
      <c r="B1" s="1197"/>
      <c r="C1" s="1197"/>
      <c r="D1" s="1197"/>
      <c r="E1" s="1198"/>
    </row>
    <row r="2" spans="1:5" ht="4.05" customHeight="1" thickBot="1" x14ac:dyDescent="0.35">
      <c r="A2" s="270"/>
      <c r="B2" s="221"/>
      <c r="C2" s="221"/>
      <c r="D2" s="221"/>
      <c r="E2" s="277"/>
    </row>
    <row r="3" spans="1:5" ht="25.95" customHeight="1" x14ac:dyDescent="0.3">
      <c r="A3" s="224" t="s">
        <v>171</v>
      </c>
      <c r="B3" s="225" t="s">
        <v>172</v>
      </c>
      <c r="C3" s="225" t="s">
        <v>173</v>
      </c>
      <c r="D3" s="225" t="s">
        <v>15</v>
      </c>
      <c r="E3" s="226"/>
    </row>
    <row r="4" spans="1:5" ht="34.049999999999997" customHeight="1" x14ac:dyDescent="0.3">
      <c r="A4" s="271" t="s">
        <v>6</v>
      </c>
      <c r="B4" s="222">
        <f>DATE(2026,3,31)</f>
        <v>46112</v>
      </c>
      <c r="C4" s="223" t="s">
        <v>174</v>
      </c>
      <c r="D4" s="223" t="s">
        <v>175</v>
      </c>
      <c r="E4" s="278"/>
    </row>
    <row r="5" spans="1:5" ht="34.049999999999997" customHeight="1" x14ac:dyDescent="0.3">
      <c r="A5" s="272" t="s">
        <v>176</v>
      </c>
      <c r="B5" s="28">
        <v>92.98</v>
      </c>
      <c r="C5" s="29" t="s">
        <v>177</v>
      </c>
      <c r="D5" s="29" t="s">
        <v>178</v>
      </c>
      <c r="E5" s="279"/>
    </row>
    <row r="6" spans="1:5" ht="34.049999999999997" customHeight="1" x14ac:dyDescent="0.3">
      <c r="A6" s="273" t="s">
        <v>179</v>
      </c>
      <c r="B6" s="30" t="b">
        <f>TRUE()</f>
        <v>1</v>
      </c>
      <c r="C6" s="27" t="s">
        <v>180</v>
      </c>
      <c r="D6" s="27" t="s">
        <v>181</v>
      </c>
      <c r="E6" s="280"/>
    </row>
    <row r="7" spans="1:5" ht="34.049999999999997" customHeight="1" x14ac:dyDescent="0.3">
      <c r="A7" s="272" t="s">
        <v>182</v>
      </c>
      <c r="B7" s="30">
        <v>365</v>
      </c>
      <c r="C7" s="29" t="s">
        <v>183</v>
      </c>
      <c r="D7" s="29" t="s">
        <v>184</v>
      </c>
      <c r="E7" s="279"/>
    </row>
    <row r="8" spans="1:5" ht="34.049999999999997" customHeight="1" x14ac:dyDescent="0.3">
      <c r="A8" s="273" t="s">
        <v>185</v>
      </c>
      <c r="B8" s="30" t="s">
        <v>186</v>
      </c>
      <c r="C8" s="27" t="s">
        <v>187</v>
      </c>
      <c r="D8" s="27" t="s">
        <v>188</v>
      </c>
      <c r="E8" s="280"/>
    </row>
    <row r="9" spans="1:5" ht="4.05" customHeight="1" thickBot="1" x14ac:dyDescent="0.35">
      <c r="A9" s="274"/>
      <c r="B9" s="216"/>
      <c r="C9" s="217"/>
      <c r="D9" s="218"/>
      <c r="E9" s="281"/>
    </row>
    <row r="10" spans="1:5" ht="4.05" customHeight="1" thickBot="1" x14ac:dyDescent="0.35">
      <c r="A10" s="275"/>
      <c r="B10" s="219"/>
      <c r="C10" s="219"/>
      <c r="D10" s="220"/>
      <c r="E10" s="282"/>
    </row>
    <row r="11" spans="1:5" ht="25.95" customHeight="1" x14ac:dyDescent="0.3">
      <c r="A11" s="224" t="s">
        <v>189</v>
      </c>
      <c r="B11" s="225" t="s">
        <v>190</v>
      </c>
      <c r="C11" s="225"/>
      <c r="D11" s="225" t="s">
        <v>191</v>
      </c>
      <c r="E11" s="226"/>
    </row>
    <row r="12" spans="1:5" ht="31.95" customHeight="1" x14ac:dyDescent="0.3">
      <c r="A12" s="271" t="s">
        <v>192</v>
      </c>
      <c r="B12" s="227">
        <v>0.09</v>
      </c>
      <c r="C12" s="223"/>
      <c r="D12" s="223" t="s">
        <v>193</v>
      </c>
      <c r="E12" s="278"/>
    </row>
    <row r="13" spans="1:5" ht="31.95" customHeight="1" x14ac:dyDescent="0.3">
      <c r="A13" s="272" t="s">
        <v>194</v>
      </c>
      <c r="B13" s="31">
        <v>0.09</v>
      </c>
      <c r="C13" s="29"/>
      <c r="D13" s="29" t="s">
        <v>195</v>
      </c>
      <c r="E13" s="279"/>
    </row>
    <row r="14" spans="1:5" ht="31.95" customHeight="1" x14ac:dyDescent="0.3">
      <c r="A14" s="273" t="s">
        <v>196</v>
      </c>
      <c r="B14" s="31">
        <v>8.3000000000000004E-2</v>
      </c>
      <c r="C14" s="27"/>
      <c r="D14" s="27" t="s">
        <v>197</v>
      </c>
      <c r="E14" s="280"/>
    </row>
    <row r="15" spans="1:5" ht="31.95" customHeight="1" x14ac:dyDescent="0.3">
      <c r="A15" s="272" t="s">
        <v>198</v>
      </c>
      <c r="B15" s="31">
        <v>9.7500000000000003E-2</v>
      </c>
      <c r="C15" s="29"/>
      <c r="D15" s="29" t="s">
        <v>199</v>
      </c>
      <c r="E15" s="279"/>
    </row>
    <row r="16" spans="1:5" ht="31.95" customHeight="1" x14ac:dyDescent="0.3">
      <c r="A16" s="273" t="s">
        <v>200</v>
      </c>
      <c r="B16" s="31">
        <v>8.5000000000000006E-2</v>
      </c>
      <c r="C16" s="27"/>
      <c r="D16" s="27" t="s">
        <v>201</v>
      </c>
      <c r="E16" s="280"/>
    </row>
    <row r="17" spans="1:5" ht="31.95" customHeight="1" x14ac:dyDescent="0.3">
      <c r="A17" s="272" t="s">
        <v>202</v>
      </c>
      <c r="B17" s="31">
        <v>4.2999999999999997E-2</v>
      </c>
      <c r="C17" s="29"/>
      <c r="D17" s="29" t="s">
        <v>203</v>
      </c>
      <c r="E17" s="279"/>
    </row>
    <row r="18" spans="1:5" ht="31.95" customHeight="1" x14ac:dyDescent="0.3">
      <c r="A18" s="273" t="s">
        <v>204</v>
      </c>
      <c r="B18" s="31">
        <v>5.1799999999999999E-2</v>
      </c>
      <c r="C18" s="27"/>
      <c r="D18" s="27" t="s">
        <v>205</v>
      </c>
      <c r="E18" s="280"/>
    </row>
    <row r="19" spans="1:5" ht="31.95" customHeight="1" x14ac:dyDescent="0.3">
      <c r="A19" s="272" t="s">
        <v>206</v>
      </c>
      <c r="B19" s="31">
        <v>5.2499999999999998E-2</v>
      </c>
      <c r="C19" s="29"/>
      <c r="D19" s="29" t="s">
        <v>207</v>
      </c>
      <c r="E19" s="279"/>
    </row>
    <row r="20" spans="1:5" ht="31.95" customHeight="1" thickBot="1" x14ac:dyDescent="0.35">
      <c r="A20" s="273" t="s">
        <v>208</v>
      </c>
      <c r="B20" s="31">
        <v>7.0000000000000007E-2</v>
      </c>
      <c r="C20" s="27"/>
      <c r="D20" s="27" t="s">
        <v>209</v>
      </c>
      <c r="E20" s="280"/>
    </row>
    <row r="21" spans="1:5" ht="4.05" customHeight="1" thickBot="1" x14ac:dyDescent="0.35">
      <c r="A21" s="275"/>
      <c r="B21" s="219"/>
      <c r="C21" s="219"/>
      <c r="D21" s="220"/>
      <c r="E21" s="282"/>
    </row>
    <row r="22" spans="1:5" ht="25.95" customHeight="1" x14ac:dyDescent="0.3">
      <c r="A22" s="224" t="s">
        <v>210</v>
      </c>
      <c r="B22" s="225" t="s">
        <v>211</v>
      </c>
      <c r="C22" s="225" t="s">
        <v>212</v>
      </c>
      <c r="D22" s="225" t="s">
        <v>213</v>
      </c>
      <c r="E22" s="226"/>
    </row>
    <row r="23" spans="1:5" ht="22.05" customHeight="1" x14ac:dyDescent="0.3">
      <c r="A23" s="276"/>
      <c r="B23" s="269"/>
      <c r="C23" s="269"/>
      <c r="D23" s="269"/>
      <c r="E23" s="283"/>
    </row>
    <row r="24" spans="1:5" ht="19.95" customHeight="1" x14ac:dyDescent="0.3">
      <c r="A24" s="273" t="s">
        <v>214</v>
      </c>
      <c r="B24" s="32">
        <f t="array" ref="B24">IFERROR(IF(FinBasis="Actual",C24,D24),0)</f>
        <v>383.96</v>
      </c>
      <c r="C24" s="33">
        <v>173.37</v>
      </c>
      <c r="D24" s="33">
        <v>383.96</v>
      </c>
      <c r="E24" s="284"/>
    </row>
    <row r="25" spans="1:5" ht="19.95" customHeight="1" x14ac:dyDescent="0.3">
      <c r="A25" s="272" t="s">
        <v>215</v>
      </c>
      <c r="B25" s="32">
        <f t="array" ref="B25">IFERROR(IF(FinBasis="Actual",C25,D25),0)</f>
        <v>613.03</v>
      </c>
      <c r="C25" s="33">
        <v>471.82</v>
      </c>
      <c r="D25" s="33">
        <v>613.03</v>
      </c>
      <c r="E25" s="285"/>
    </row>
    <row r="26" spans="1:5" ht="19.95" customHeight="1" x14ac:dyDescent="0.3">
      <c r="A26" s="273" t="s">
        <v>216</v>
      </c>
      <c r="B26" s="32">
        <f t="array" ref="B26">IFERROR(IF(FinBasis="Actual",C26,D26),0)</f>
        <v>431.28</v>
      </c>
      <c r="C26" s="33">
        <v>324.01</v>
      </c>
      <c r="D26" s="33">
        <v>431.28</v>
      </c>
      <c r="E26" s="284"/>
    </row>
    <row r="27" spans="1:5" ht="19.95" customHeight="1" x14ac:dyDescent="0.3">
      <c r="A27" s="272" t="s">
        <v>217</v>
      </c>
      <c r="B27" s="32">
        <f t="array" ref="B27">IFERROR(IF(FinBasis="Actual",C27,D27),0)</f>
        <v>740.13</v>
      </c>
      <c r="C27" s="33">
        <v>720.11</v>
      </c>
      <c r="D27" s="33">
        <v>740.13</v>
      </c>
      <c r="E27" s="285"/>
    </row>
    <row r="28" spans="1:5" ht="19.95" customHeight="1" x14ac:dyDescent="0.3">
      <c r="A28" s="273" t="s">
        <v>218</v>
      </c>
      <c r="B28" s="32">
        <f t="array" ref="B28">IFERROR(IF(FinBasis="Actual",C28,D28),0)</f>
        <v>720.76</v>
      </c>
      <c r="C28" s="33">
        <v>588.29</v>
      </c>
      <c r="D28" s="33">
        <v>720.76</v>
      </c>
      <c r="E28" s="284"/>
    </row>
    <row r="29" spans="1:5" ht="19.95" customHeight="1" x14ac:dyDescent="0.3">
      <c r="A29" s="272" t="s">
        <v>219</v>
      </c>
      <c r="B29" s="32">
        <f t="array" ref="B29">IFERROR(IF(FinBasis="Actual",C29,D29),0)</f>
        <v>755.02</v>
      </c>
      <c r="C29" s="33">
        <v>711.3</v>
      </c>
      <c r="D29" s="33">
        <v>755.02</v>
      </c>
      <c r="E29" s="285"/>
    </row>
    <row r="30" spans="1:5" ht="19.95" customHeight="1" x14ac:dyDescent="0.3">
      <c r="A30" s="273" t="s">
        <v>220</v>
      </c>
      <c r="B30" s="32">
        <f t="array" ref="B30">IFERROR(IF(FinBasis="Actual",C30,D30),0)</f>
        <v>544.79</v>
      </c>
      <c r="C30" s="33">
        <v>513.82000000000005</v>
      </c>
      <c r="D30" s="33">
        <v>544.79</v>
      </c>
      <c r="E30" s="284"/>
    </row>
    <row r="31" spans="1:5" ht="19.95" customHeight="1" x14ac:dyDescent="0.3">
      <c r="A31" s="272" t="s">
        <v>221</v>
      </c>
      <c r="B31" s="32">
        <f t="array" ref="B31">IFERROR(IF(FinBasis="Actual",C31,D31),0)</f>
        <v>1143.49</v>
      </c>
      <c r="C31" s="33">
        <v>1143.77</v>
      </c>
      <c r="D31" s="33">
        <v>1143.49</v>
      </c>
      <c r="E31" s="285"/>
    </row>
    <row r="32" spans="1:5" ht="19.95" customHeight="1" x14ac:dyDescent="0.3">
      <c r="A32" s="273" t="s">
        <v>222</v>
      </c>
      <c r="B32" s="32">
        <f t="array" ref="B32">IFERROR(IF(FinBasis="Actual",C32,D32),0)</f>
        <v>49.08</v>
      </c>
      <c r="C32" s="33">
        <v>39.869999999999997</v>
      </c>
      <c r="D32" s="33">
        <v>49.08</v>
      </c>
      <c r="E32" s="284"/>
    </row>
    <row r="33" spans="1:5" ht="19.95" customHeight="1" x14ac:dyDescent="0.3">
      <c r="A33" s="272" t="s">
        <v>223</v>
      </c>
      <c r="B33" s="32">
        <f t="array" ref="B33">IFERROR(IF(FinBasis="Actual",C33,D33),0)</f>
        <v>937.69</v>
      </c>
      <c r="C33" s="33">
        <v>449.34</v>
      </c>
      <c r="D33" s="33">
        <v>937.69</v>
      </c>
      <c r="E33" s="285"/>
    </row>
    <row r="34" spans="1:5" ht="19.95" customHeight="1" x14ac:dyDescent="0.3">
      <c r="A34" s="273" t="s">
        <v>224</v>
      </c>
      <c r="B34" s="32">
        <f t="array" ref="B34">IFERROR(IF(FinBasis="Actual",C34,D34),0)</f>
        <v>431.28</v>
      </c>
      <c r="C34" s="33">
        <v>324.01</v>
      </c>
      <c r="D34" s="33">
        <v>431.28</v>
      </c>
      <c r="E34" s="284"/>
    </row>
    <row r="35" spans="1:5" ht="19.95" customHeight="1" x14ac:dyDescent="0.3">
      <c r="A35" s="272" t="s">
        <v>225</v>
      </c>
      <c r="B35" s="34" t="str">
        <f t="array" ref="B35">IFERROR(IF(FinBasis="Actual",C35,D35),0)</f>
        <v>CARE A+; Stable / A1</v>
      </c>
      <c r="C35" s="35" t="s">
        <v>226</v>
      </c>
      <c r="D35" s="35" t="s">
        <v>226</v>
      </c>
      <c r="E35" s="285"/>
    </row>
    <row r="36" spans="1:5" ht="19.95" customHeight="1" x14ac:dyDescent="0.3">
      <c r="A36" s="273" t="s">
        <v>227</v>
      </c>
      <c r="B36" s="36">
        <f t="array" ref="B36">IFERROR(IF(FinBasis="Actual",C36,D36),0)</f>
        <v>1</v>
      </c>
      <c r="C36" s="37">
        <v>1</v>
      </c>
      <c r="D36" s="37">
        <v>1</v>
      </c>
      <c r="E36" s="284"/>
    </row>
    <row r="37" spans="1:5" ht="19.95" customHeight="1" x14ac:dyDescent="0.3">
      <c r="A37" s="272" t="s">
        <v>228</v>
      </c>
      <c r="B37" s="32">
        <f t="array" ref="B37">IFERROR(IF(FinBasis="Actual",C37,D37),0)</f>
        <v>170.07</v>
      </c>
      <c r="C37" s="33">
        <v>18.760000000000002</v>
      </c>
      <c r="D37" s="33">
        <v>170.07</v>
      </c>
      <c r="E37" s="285"/>
    </row>
    <row r="38" spans="1:5" ht="19.95" customHeight="1" x14ac:dyDescent="0.3">
      <c r="A38" s="273" t="s">
        <v>229</v>
      </c>
      <c r="B38" s="32">
        <f t="array" ref="B38">IFERROR(IF(FinBasis="Actual",C38,D38),0)</f>
        <v>69.36</v>
      </c>
      <c r="C38" s="33">
        <v>0</v>
      </c>
      <c r="D38" s="33">
        <v>69.36</v>
      </c>
      <c r="E38" s="284"/>
    </row>
    <row r="39" spans="1:5" ht="19.95" customHeight="1" thickBot="1" x14ac:dyDescent="0.35">
      <c r="A39" s="272" t="s">
        <v>230</v>
      </c>
      <c r="B39" s="32">
        <f t="array" ref="B39">IFERROR(IF(FinBasis="Actual",C39,D39),0)</f>
        <v>41.09</v>
      </c>
      <c r="C39" s="33">
        <v>0</v>
      </c>
      <c r="D39" s="33">
        <v>41.09</v>
      </c>
      <c r="E39" s="285"/>
    </row>
    <row r="40" spans="1:5" ht="4.05" customHeight="1" thickBot="1" x14ac:dyDescent="0.35">
      <c r="A40" s="275"/>
      <c r="B40" s="219"/>
      <c r="C40" s="219"/>
      <c r="D40" s="220"/>
      <c r="E40" s="282"/>
    </row>
    <row r="41" spans="1:5" ht="25.95" customHeight="1" x14ac:dyDescent="0.3">
      <c r="A41" s="228" t="s">
        <v>231</v>
      </c>
      <c r="B41" s="229" t="s">
        <v>172</v>
      </c>
      <c r="C41" s="229"/>
      <c r="D41" s="229"/>
      <c r="E41" s="230"/>
    </row>
    <row r="42" spans="1:5" ht="22.05" customHeight="1" x14ac:dyDescent="0.3">
      <c r="A42" s="290" t="s">
        <v>232</v>
      </c>
      <c r="B42" s="291">
        <v>100</v>
      </c>
      <c r="C42" s="292"/>
      <c r="D42" s="292"/>
      <c r="E42" s="293"/>
    </row>
    <row r="43" spans="1:5" ht="22.05" customHeight="1" x14ac:dyDescent="0.3">
      <c r="A43" s="294" t="s">
        <v>233</v>
      </c>
      <c r="B43" s="291">
        <v>100</v>
      </c>
      <c r="C43" s="295"/>
      <c r="D43" s="295"/>
      <c r="E43" s="296"/>
    </row>
    <row r="44" spans="1:5" ht="22.05" customHeight="1" x14ac:dyDescent="0.3">
      <c r="A44" s="290" t="s">
        <v>234</v>
      </c>
      <c r="B44" s="291">
        <v>172</v>
      </c>
      <c r="C44" s="292"/>
      <c r="D44" s="292"/>
      <c r="E44" s="293"/>
    </row>
    <row r="45" spans="1:5" ht="22.05" customHeight="1" x14ac:dyDescent="0.3">
      <c r="A45" s="294" t="s">
        <v>235</v>
      </c>
      <c r="B45" s="291">
        <v>50</v>
      </c>
      <c r="C45" s="295"/>
      <c r="D45" s="295"/>
      <c r="E45" s="296"/>
    </row>
    <row r="46" spans="1:5" ht="22.05" customHeight="1" thickBot="1" x14ac:dyDescent="0.35">
      <c r="A46" s="297" t="s">
        <v>236</v>
      </c>
      <c r="B46" s="298">
        <v>50</v>
      </c>
      <c r="C46" s="299"/>
      <c r="D46" s="299"/>
      <c r="E46" s="300"/>
    </row>
    <row r="47" spans="1:5" ht="4.05" customHeight="1" thickBot="1" x14ac:dyDescent="0.35">
      <c r="A47" s="286"/>
      <c r="B47" s="287"/>
      <c r="C47" s="287"/>
      <c r="D47" s="288"/>
      <c r="E47" s="289"/>
    </row>
    <row r="48" spans="1:5" ht="25.95" customHeight="1" x14ac:dyDescent="0.3">
      <c r="A48" s="228" t="s">
        <v>237</v>
      </c>
      <c r="B48" s="229" t="s">
        <v>238</v>
      </c>
      <c r="C48" s="229"/>
      <c r="D48" s="229"/>
      <c r="E48" s="230"/>
    </row>
    <row r="49" spans="1:5" ht="22.05" customHeight="1" x14ac:dyDescent="0.3">
      <c r="A49" s="290" t="s">
        <v>239</v>
      </c>
      <c r="B49" s="301">
        <f>DATE(2029,3,31)</f>
        <v>47208</v>
      </c>
      <c r="C49" s="292"/>
      <c r="D49" s="292"/>
      <c r="E49" s="293"/>
    </row>
    <row r="50" spans="1:5" ht="22.05" customHeight="1" x14ac:dyDescent="0.3">
      <c r="A50" s="294" t="s">
        <v>240</v>
      </c>
      <c r="B50" s="301">
        <f>DATE(2025,6,30)</f>
        <v>45838</v>
      </c>
      <c r="C50" s="295"/>
      <c r="D50" s="295"/>
      <c r="E50" s="296"/>
    </row>
    <row r="51" spans="1:5" ht="22.05" customHeight="1" x14ac:dyDescent="0.3">
      <c r="A51" s="290" t="s">
        <v>241</v>
      </c>
      <c r="B51" s="301">
        <f>DATE(2036,9,30)</f>
        <v>49948</v>
      </c>
      <c r="C51" s="292"/>
      <c r="D51" s="292"/>
      <c r="E51" s="293"/>
    </row>
    <row r="52" spans="1:5" ht="22.05" customHeight="1" thickBot="1" x14ac:dyDescent="0.35">
      <c r="A52" s="302" t="s">
        <v>242</v>
      </c>
      <c r="B52" s="303">
        <f>DATE(2033,8,25)</f>
        <v>48816</v>
      </c>
      <c r="C52" s="304"/>
      <c r="D52" s="304"/>
      <c r="E52" s="305"/>
    </row>
    <row r="53" spans="1:5" ht="4.05" customHeight="1" thickBot="1" x14ac:dyDescent="0.35">
      <c r="A53" s="286"/>
      <c r="B53" s="287"/>
      <c r="C53" s="287"/>
      <c r="D53" s="288"/>
      <c r="E53" s="289"/>
    </row>
    <row r="54" spans="1:5" ht="25.95" customHeight="1" x14ac:dyDescent="0.3">
      <c r="A54" s="228" t="s">
        <v>243</v>
      </c>
      <c r="B54" s="229" t="s">
        <v>244</v>
      </c>
      <c r="C54" s="229"/>
      <c r="D54" s="229"/>
      <c r="E54" s="230"/>
    </row>
    <row r="55" spans="1:5" ht="22.05" customHeight="1" x14ac:dyDescent="0.3">
      <c r="A55" s="290" t="s">
        <v>245</v>
      </c>
      <c r="B55" s="308">
        <v>9</v>
      </c>
      <c r="C55" s="292"/>
      <c r="D55" s="292"/>
      <c r="E55" s="293"/>
    </row>
    <row r="56" spans="1:5" ht="22.05" customHeight="1" x14ac:dyDescent="0.3">
      <c r="A56" s="294" t="s">
        <v>246</v>
      </c>
      <c r="B56" s="308">
        <v>21</v>
      </c>
      <c r="C56" s="295"/>
      <c r="D56" s="295"/>
      <c r="E56" s="296"/>
    </row>
    <row r="57" spans="1:5" ht="22.05" customHeight="1" thickBot="1" x14ac:dyDescent="0.35">
      <c r="A57" s="297" t="s">
        <v>247</v>
      </c>
      <c r="B57" s="309">
        <v>22</v>
      </c>
      <c r="C57" s="299"/>
      <c r="D57" s="299"/>
      <c r="E57" s="300"/>
    </row>
    <row r="58" spans="1:5" ht="4.05" customHeight="1" thickBot="1" x14ac:dyDescent="0.35">
      <c r="A58" s="306"/>
      <c r="B58" s="38"/>
      <c r="C58" s="38"/>
      <c r="D58" s="38"/>
      <c r="E58" s="307"/>
    </row>
    <row r="59" spans="1:5" ht="25.95" customHeight="1" x14ac:dyDescent="0.3">
      <c r="A59" s="231" t="s">
        <v>248</v>
      </c>
      <c r="B59" s="232"/>
      <c r="C59" s="232"/>
      <c r="D59" s="232"/>
      <c r="E59" s="238"/>
    </row>
    <row r="60" spans="1:5" ht="22.05" customHeight="1" x14ac:dyDescent="0.3">
      <c r="A60" s="240" t="s">
        <v>249</v>
      </c>
      <c r="B60" s="241" t="s">
        <v>250</v>
      </c>
      <c r="C60" s="242" t="s">
        <v>15</v>
      </c>
      <c r="D60" s="243"/>
      <c r="E60" s="244"/>
    </row>
    <row r="61" spans="1:5" ht="19.95" customHeight="1" x14ac:dyDescent="0.3">
      <c r="A61" s="245" t="s">
        <v>251</v>
      </c>
      <c r="B61" s="239">
        <v>21</v>
      </c>
      <c r="C61" s="251" t="s">
        <v>252</v>
      </c>
      <c r="D61" s="252"/>
      <c r="E61" s="253"/>
    </row>
    <row r="62" spans="1:5" ht="19.95" customHeight="1" x14ac:dyDescent="0.3">
      <c r="A62" s="246" t="s">
        <v>253</v>
      </c>
      <c r="B62" s="234">
        <v>20</v>
      </c>
      <c r="C62" s="254"/>
      <c r="D62" s="255"/>
      <c r="E62" s="256"/>
    </row>
    <row r="63" spans="1:5" ht="19.95" customHeight="1" x14ac:dyDescent="0.3">
      <c r="A63" s="247" t="s">
        <v>254</v>
      </c>
      <c r="B63" s="233">
        <v>19</v>
      </c>
      <c r="C63" s="257"/>
      <c r="D63" s="258"/>
      <c r="E63" s="259"/>
    </row>
    <row r="64" spans="1:5" ht="19.95" customHeight="1" x14ac:dyDescent="0.3">
      <c r="A64" s="246" t="s">
        <v>255</v>
      </c>
      <c r="B64" s="234">
        <v>18</v>
      </c>
      <c r="C64" s="254"/>
      <c r="D64" s="255"/>
      <c r="E64" s="256"/>
    </row>
    <row r="65" spans="1:5" ht="19.95" customHeight="1" x14ac:dyDescent="0.3">
      <c r="A65" s="248" t="s">
        <v>256</v>
      </c>
      <c r="B65" s="235">
        <v>17</v>
      </c>
      <c r="C65" s="260" t="s">
        <v>257</v>
      </c>
      <c r="D65" s="261"/>
      <c r="E65" s="262"/>
    </row>
    <row r="66" spans="1:5" ht="19.95" customHeight="1" x14ac:dyDescent="0.3">
      <c r="A66" s="246" t="s">
        <v>258</v>
      </c>
      <c r="B66" s="234">
        <v>16</v>
      </c>
      <c r="C66" s="254"/>
      <c r="D66" s="255"/>
      <c r="E66" s="256"/>
    </row>
    <row r="67" spans="1:5" ht="19.95" customHeight="1" x14ac:dyDescent="0.3">
      <c r="A67" s="249" t="s">
        <v>259</v>
      </c>
      <c r="B67" s="236">
        <v>15</v>
      </c>
      <c r="C67" s="263" t="s">
        <v>260</v>
      </c>
      <c r="D67" s="264"/>
      <c r="E67" s="265"/>
    </row>
    <row r="68" spans="1:5" ht="19.95" customHeight="1" x14ac:dyDescent="0.3">
      <c r="A68" s="246" t="s">
        <v>261</v>
      </c>
      <c r="B68" s="234">
        <v>14</v>
      </c>
      <c r="C68" s="254" t="s">
        <v>262</v>
      </c>
      <c r="D68" s="255"/>
      <c r="E68" s="256"/>
    </row>
    <row r="69" spans="1:5" ht="19.95" customHeight="1" x14ac:dyDescent="0.3">
      <c r="A69" s="247" t="s">
        <v>263</v>
      </c>
      <c r="B69" s="233">
        <v>13</v>
      </c>
      <c r="C69" s="257"/>
      <c r="D69" s="258"/>
      <c r="E69" s="259"/>
    </row>
    <row r="70" spans="1:5" ht="19.95" customHeight="1" x14ac:dyDescent="0.3">
      <c r="A70" s="246" t="s">
        <v>264</v>
      </c>
      <c r="B70" s="234">
        <v>12</v>
      </c>
      <c r="C70" s="254"/>
      <c r="D70" s="255"/>
      <c r="E70" s="256"/>
    </row>
    <row r="71" spans="1:5" ht="19.95" customHeight="1" x14ac:dyDescent="0.3">
      <c r="A71" s="247" t="s">
        <v>265</v>
      </c>
      <c r="B71" s="233">
        <v>11</v>
      </c>
      <c r="C71" s="257" t="s">
        <v>266</v>
      </c>
      <c r="D71" s="258"/>
      <c r="E71" s="259"/>
    </row>
    <row r="72" spans="1:5" ht="19.95" customHeight="1" x14ac:dyDescent="0.3">
      <c r="A72" s="250" t="s">
        <v>267</v>
      </c>
      <c r="B72" s="237">
        <v>10</v>
      </c>
      <c r="C72" s="266"/>
      <c r="D72" s="267"/>
      <c r="E72" s="268"/>
    </row>
    <row r="73" spans="1:5" ht="19.5" customHeight="1" x14ac:dyDescent="0.3"/>
    <row r="74" spans="1:5" ht="19.5" customHeight="1" x14ac:dyDescent="0.3"/>
    <row r="75" spans="1:5" ht="19.5" customHeight="1" x14ac:dyDescent="0.3"/>
    <row r="76" spans="1:5" ht="19.5" customHeight="1" x14ac:dyDescent="0.3"/>
    <row r="77" spans="1:5" ht="64.5" customHeight="1" x14ac:dyDescent="0.3"/>
    <row r="78" spans="1:5" ht="64.5" customHeight="1" x14ac:dyDescent="0.3"/>
    <row r="79" spans="1:5" ht="64.5" customHeight="1" x14ac:dyDescent="0.3"/>
  </sheetData>
  <mergeCells count="1">
    <mergeCell ref="A1:E1"/>
  </mergeCells>
  <pageMargins left="0.75" right="0.75" top="1" bottom="1"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tabColor rgb="FF2E75B6"/>
  </sheetPr>
  <dimension ref="A1:AG42"/>
  <sheetViews>
    <sheetView showGridLines="0" tabSelected="1" zoomScaleNormal="100" workbookViewId="0">
      <selection activeCell="M4" sqref="M4"/>
    </sheetView>
  </sheetViews>
  <sheetFormatPr defaultColWidth="8.6640625" defaultRowHeight="14.4" x14ac:dyDescent="0.3"/>
  <cols>
    <col min="1" max="1" width="6.44140625" customWidth="1"/>
    <col min="2" max="2" width="14.77734375" customWidth="1"/>
    <col min="3" max="3" width="27.77734375" customWidth="1"/>
    <col min="4" max="4" width="13" customWidth="1"/>
    <col min="5" max="5" width="12" customWidth="1"/>
    <col min="6" max="7" width="10.21875" customWidth="1"/>
    <col min="8" max="9" width="9.21875" customWidth="1"/>
    <col min="10" max="10" width="11.109375" customWidth="1"/>
    <col min="11" max="11" width="12" customWidth="1"/>
    <col min="12" max="13" width="11.109375" customWidth="1"/>
    <col min="14" max="14" width="9.21875" customWidth="1"/>
    <col min="15" max="15" width="11.109375" customWidth="1"/>
    <col min="16" max="16" width="22.21875" customWidth="1"/>
    <col min="17" max="17" width="10.21875" customWidth="1"/>
    <col min="18" max="18" width="11.109375" customWidth="1"/>
    <col min="19" max="19" width="12" customWidth="1"/>
    <col min="20" max="20" width="10.21875" customWidth="1"/>
    <col min="21" max="21" width="13" customWidth="1"/>
    <col min="22" max="24" width="10.21875" customWidth="1"/>
    <col min="25" max="30" width="13" customWidth="1"/>
    <col min="31" max="31" width="29.6640625" customWidth="1"/>
    <col min="32" max="32" width="24.109375" customWidth="1"/>
    <col min="33" max="33" width="10.21875" customWidth="1"/>
  </cols>
  <sheetData>
    <row r="1" spans="1:33" ht="28.05" customHeight="1" x14ac:dyDescent="0.3">
      <c r="A1" s="1199" t="s">
        <v>268</v>
      </c>
      <c r="B1" s="1199"/>
      <c r="C1" s="1199"/>
      <c r="D1" s="1199"/>
      <c r="E1" s="1199"/>
      <c r="F1" s="1199"/>
      <c r="G1" s="1199"/>
      <c r="H1" s="1199"/>
      <c r="I1" s="1199"/>
      <c r="J1" s="1199"/>
      <c r="K1" s="1199"/>
      <c r="L1" s="1199"/>
      <c r="M1" s="1199"/>
      <c r="N1" s="1199"/>
      <c r="O1" s="1199"/>
      <c r="P1" s="1199"/>
      <c r="Q1" s="1199"/>
      <c r="R1" s="1199"/>
      <c r="S1" s="1199"/>
      <c r="T1" s="1199"/>
      <c r="U1" s="1199"/>
      <c r="V1" s="1199"/>
      <c r="W1" s="1199"/>
      <c r="X1" s="1199"/>
      <c r="Y1" s="1199"/>
      <c r="Z1" s="1199"/>
      <c r="AA1" s="1199"/>
      <c r="AB1" s="1199"/>
      <c r="AC1" s="1199"/>
      <c r="AD1" s="1199"/>
      <c r="AE1" s="1199"/>
      <c r="AF1" s="1199"/>
      <c r="AG1" s="310"/>
    </row>
    <row r="2" spans="1:33" ht="16.05" customHeight="1" thickBot="1" x14ac:dyDescent="0.35">
      <c r="A2" s="398"/>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100"/>
    </row>
    <row r="3" spans="1:33" ht="16.05" customHeight="1" x14ac:dyDescent="0.3">
      <c r="A3" s="399" t="s">
        <v>269</v>
      </c>
      <c r="B3" s="400"/>
      <c r="C3" s="400"/>
      <c r="D3" s="400"/>
      <c r="E3" s="400"/>
      <c r="F3" s="400"/>
      <c r="G3" s="401" t="s">
        <v>783</v>
      </c>
      <c r="H3" s="401"/>
      <c r="I3" s="402" t="s">
        <v>787</v>
      </c>
      <c r="J3" s="402"/>
      <c r="K3" s="402"/>
      <c r="L3" s="402"/>
      <c r="M3" s="402"/>
      <c r="N3" s="402"/>
      <c r="O3" s="402"/>
      <c r="P3" s="403" t="s">
        <v>784</v>
      </c>
      <c r="Q3" s="403"/>
      <c r="R3" s="403"/>
      <c r="S3" s="403"/>
      <c r="T3" s="403"/>
      <c r="U3" s="404" t="s">
        <v>785</v>
      </c>
      <c r="V3" s="404"/>
      <c r="W3" s="404"/>
      <c r="X3" s="404"/>
      <c r="Y3" s="405" t="s">
        <v>743</v>
      </c>
      <c r="Z3" s="405"/>
      <c r="AA3" s="405"/>
      <c r="AB3" s="405"/>
      <c r="AC3" s="405"/>
      <c r="AD3" s="405"/>
      <c r="AE3" s="406" t="s">
        <v>786</v>
      </c>
      <c r="AF3" s="406"/>
      <c r="AG3" s="407"/>
    </row>
    <row r="4" spans="1:33" ht="22.05" customHeight="1" x14ac:dyDescent="0.3">
      <c r="A4" s="429" t="s">
        <v>244</v>
      </c>
      <c r="B4" s="430" t="s">
        <v>122</v>
      </c>
      <c r="C4" s="430" t="s">
        <v>270</v>
      </c>
      <c r="D4" s="431" t="s">
        <v>271</v>
      </c>
      <c r="E4" s="431" t="s">
        <v>272</v>
      </c>
      <c r="F4" s="431" t="s">
        <v>273</v>
      </c>
      <c r="G4" s="431" t="s">
        <v>274</v>
      </c>
      <c r="H4" s="431" t="s">
        <v>150</v>
      </c>
      <c r="I4" s="431" t="s">
        <v>275</v>
      </c>
      <c r="J4" s="431" t="s">
        <v>276</v>
      </c>
      <c r="K4" s="431" t="s">
        <v>277</v>
      </c>
      <c r="L4" s="431" t="s">
        <v>278</v>
      </c>
      <c r="M4" s="431" t="s">
        <v>818</v>
      </c>
      <c r="N4" s="431" t="s">
        <v>280</v>
      </c>
      <c r="O4" s="431" t="s">
        <v>281</v>
      </c>
      <c r="P4" s="431" t="s">
        <v>282</v>
      </c>
      <c r="Q4" s="431" t="s">
        <v>283</v>
      </c>
      <c r="R4" s="431" t="s">
        <v>284</v>
      </c>
      <c r="S4" s="431" t="s">
        <v>285</v>
      </c>
      <c r="T4" s="431" t="s">
        <v>286</v>
      </c>
      <c r="U4" s="431" t="s">
        <v>287</v>
      </c>
      <c r="V4" s="431" t="s">
        <v>288</v>
      </c>
      <c r="W4" s="431" t="s">
        <v>289</v>
      </c>
      <c r="X4" s="431" t="s">
        <v>290</v>
      </c>
      <c r="Y4" s="431" t="s">
        <v>291</v>
      </c>
      <c r="Z4" s="431" t="s">
        <v>292</v>
      </c>
      <c r="AA4" s="431" t="s">
        <v>293</v>
      </c>
      <c r="AB4" s="431" t="s">
        <v>294</v>
      </c>
      <c r="AC4" s="431" t="s">
        <v>295</v>
      </c>
      <c r="AD4" s="431" t="s">
        <v>296</v>
      </c>
      <c r="AE4" s="431" t="s">
        <v>297</v>
      </c>
      <c r="AF4" s="431" t="s">
        <v>298</v>
      </c>
      <c r="AG4" s="432" t="s">
        <v>299</v>
      </c>
    </row>
    <row r="5" spans="1:33" ht="15" customHeight="1" x14ac:dyDescent="0.3">
      <c r="A5" s="433">
        <v>1</v>
      </c>
      <c r="B5" s="434" t="s">
        <v>125</v>
      </c>
      <c r="C5" s="436" t="s">
        <v>300</v>
      </c>
      <c r="D5" s="436" t="s">
        <v>301</v>
      </c>
      <c r="E5" s="436" t="s">
        <v>302</v>
      </c>
      <c r="F5" s="437" t="b">
        <f>FALSE()</f>
        <v>0</v>
      </c>
      <c r="G5" s="437" t="b">
        <f>FALSE()</f>
        <v>0</v>
      </c>
      <c r="H5" s="437">
        <v>2</v>
      </c>
      <c r="I5" s="437" t="s">
        <v>303</v>
      </c>
      <c r="J5" s="438">
        <v>100</v>
      </c>
      <c r="K5" s="438">
        <f t="shared" ref="K5:K17" si="0">IFERROR(J5,0)</f>
        <v>100</v>
      </c>
      <c r="L5" s="439"/>
      <c r="M5" s="438">
        <f t="shared" ref="M4:M38" si="1">IFERROR(IF(D5="FB-Term",IF(A5=RBL_TL_SNo,RBL_TL_PrincOS,IF(A5=YBL_TL_SNo,YBL_TL_PrincOS,IF(A5=Bajaj_TL_SNo,Bajaj_TL_PrincOS,0))),IF(L5&lt;&gt;"",L5,IF(UseFullUtil,K5,0))),0)</f>
        <v>100</v>
      </c>
      <c r="N5" s="440">
        <f t="shared" ref="N5:N38" si="2">IFERROR(M5/K5,0)</f>
        <v>1</v>
      </c>
      <c r="O5" s="439">
        <f t="shared" ref="O5:O38" si="3">IFERROR(K5-M5,0)</f>
        <v>0</v>
      </c>
      <c r="P5" s="436" t="s">
        <v>304</v>
      </c>
      <c r="Q5" s="441">
        <v>0</v>
      </c>
      <c r="R5" s="441">
        <f t="array" ref="R5">IFERROR(_xlfn.SWITCH(P5,"1Y MCLR (RBL Bank)",MCLR_RBL_1Y+Q5,"3M MCLR (YBL)",MCLR_YBL_3M+Q5,"6M I-MCLR (ICICI)",IMCLR_ICICI_6M+Q5,"12M MCLR (SIB)",MCLR_SIB_12M+Q5,"Bajaj Floating Reference Rate (BFRR)",BFRR_Bajaj+Q5,"Term SOFR (USD)",SOFR_3M+Q5,"3M T-Bill",TBill_3M+Q5,"Repo Rate",RepoRate+Q5,"FD rate",IFERROR(FD_Rate_RBL,0)+Q5,Q5),0)</f>
        <v>0</v>
      </c>
      <c r="S5" s="436" t="s">
        <v>305</v>
      </c>
      <c r="T5" s="442">
        <v>0</v>
      </c>
      <c r="U5" s="437" t="s">
        <v>306</v>
      </c>
      <c r="V5" s="442">
        <v>6</v>
      </c>
      <c r="W5" s="442">
        <v>0</v>
      </c>
      <c r="X5" s="443">
        <v>46022</v>
      </c>
      <c r="Y5" s="443">
        <f t="shared" ref="Y5:Y24" si="4">IFERROR(EDATE(X5,T5),"")</f>
        <v>46022</v>
      </c>
      <c r="Z5" s="443">
        <f t="shared" ref="Z5:Z12" si="5">IFERROR(EDATE(X5,V5),"")</f>
        <v>46203</v>
      </c>
      <c r="AA5" s="443">
        <v>46022</v>
      </c>
      <c r="AB5" s="443">
        <v>46356</v>
      </c>
      <c r="AC5" s="436" t="s">
        <v>307</v>
      </c>
      <c r="AD5" s="436" t="s">
        <v>308</v>
      </c>
      <c r="AE5" s="436" t="s">
        <v>309</v>
      </c>
      <c r="AF5" s="436" t="s">
        <v>310</v>
      </c>
      <c r="AG5" s="444" t="b">
        <f>TRUE()</f>
        <v>1</v>
      </c>
    </row>
    <row r="6" spans="1:33" ht="15" customHeight="1" x14ac:dyDescent="0.3">
      <c r="A6" s="565">
        <v>2</v>
      </c>
      <c r="B6" s="446" t="s">
        <v>125</v>
      </c>
      <c r="C6" s="564" t="s">
        <v>311</v>
      </c>
      <c r="D6" s="458" t="s">
        <v>301</v>
      </c>
      <c r="E6" s="458" t="s">
        <v>302</v>
      </c>
      <c r="F6" s="566" t="b">
        <f>TRUE()</f>
        <v>1</v>
      </c>
      <c r="G6" s="566" t="b">
        <f>FALSE()</f>
        <v>0</v>
      </c>
      <c r="H6" s="566">
        <v>0</v>
      </c>
      <c r="I6" s="566" t="s">
        <v>303</v>
      </c>
      <c r="J6" s="567">
        <v>25</v>
      </c>
      <c r="K6" s="567">
        <f t="shared" si="0"/>
        <v>25</v>
      </c>
      <c r="L6" s="568"/>
      <c r="M6" s="567">
        <f t="shared" si="1"/>
        <v>25</v>
      </c>
      <c r="N6" s="569">
        <f t="shared" si="2"/>
        <v>1</v>
      </c>
      <c r="O6" s="568">
        <f t="shared" si="3"/>
        <v>0</v>
      </c>
      <c r="P6" s="458" t="s">
        <v>304</v>
      </c>
      <c r="Q6" s="570">
        <v>0</v>
      </c>
      <c r="R6" s="570">
        <f t="array" ref="R6">IFERROR(_xlfn.SWITCH(P6,"1Y MCLR (RBL Bank)",MCLR_RBL_1Y+Q6,"3M MCLR (YBL)",MCLR_YBL_3M+Q6,"6M I-MCLR (ICICI)",IMCLR_ICICI_6M+Q6,"12M MCLR (SIB)",MCLR_SIB_12M+Q6,"Bajaj Floating Reference Rate (BFRR)",BFRR_Bajaj+Q6,"Term SOFR (USD)",SOFR_3M+Q6,"3M T-Bill",TBill_3M+Q6,"Repo Rate",RepoRate+Q6,"FD rate",IFERROR(FD_Rate_RBL,0)+Q6,Q6),0)</f>
        <v>0</v>
      </c>
      <c r="S6" s="458" t="s">
        <v>305</v>
      </c>
      <c r="T6" s="571">
        <v>0</v>
      </c>
      <c r="U6" s="566" t="s">
        <v>312</v>
      </c>
      <c r="V6" s="571">
        <v>12</v>
      </c>
      <c r="W6" s="571">
        <v>0</v>
      </c>
      <c r="X6" s="572">
        <v>46022</v>
      </c>
      <c r="Y6" s="572">
        <f t="shared" si="4"/>
        <v>46022</v>
      </c>
      <c r="Z6" s="572">
        <f t="shared" si="5"/>
        <v>46387</v>
      </c>
      <c r="AA6" s="572">
        <v>46022</v>
      </c>
      <c r="AB6" s="572">
        <v>46356</v>
      </c>
      <c r="AC6" s="458" t="s">
        <v>313</v>
      </c>
      <c r="AD6" s="458" t="s">
        <v>308</v>
      </c>
      <c r="AE6" s="458" t="s">
        <v>309</v>
      </c>
      <c r="AF6" s="458" t="s">
        <v>314</v>
      </c>
      <c r="AG6" s="573" t="b">
        <f>FALSE()</f>
        <v>0</v>
      </c>
    </row>
    <row r="7" spans="1:33" ht="15" customHeight="1" x14ac:dyDescent="0.3">
      <c r="A7" s="575">
        <v>3</v>
      </c>
      <c r="B7" s="456" t="s">
        <v>125</v>
      </c>
      <c r="C7" s="574" t="s">
        <v>315</v>
      </c>
      <c r="D7" s="435" t="s">
        <v>316</v>
      </c>
      <c r="E7" s="435" t="s">
        <v>302</v>
      </c>
      <c r="F7" s="576" t="b">
        <f>TRUE()</f>
        <v>1</v>
      </c>
      <c r="G7" s="576" t="b">
        <f>FALSE()</f>
        <v>0</v>
      </c>
      <c r="H7" s="576">
        <v>0</v>
      </c>
      <c r="I7" s="576" t="s">
        <v>303</v>
      </c>
      <c r="J7" s="577">
        <v>100</v>
      </c>
      <c r="K7" s="577">
        <f t="shared" si="0"/>
        <v>100</v>
      </c>
      <c r="L7" s="578"/>
      <c r="M7" s="577">
        <f t="shared" si="1"/>
        <v>100</v>
      </c>
      <c r="N7" s="579">
        <f t="shared" si="2"/>
        <v>1</v>
      </c>
      <c r="O7" s="578">
        <f t="shared" si="3"/>
        <v>0</v>
      </c>
      <c r="P7" s="435" t="s">
        <v>192</v>
      </c>
      <c r="Q7" s="580">
        <v>5.0000000000000001E-3</v>
      </c>
      <c r="R7" s="580">
        <f t="array" ref="R7">IFERROR(_xlfn.SWITCH(P7,"1Y MCLR (RBL Bank)",MCLR_RBL_1Y+Q7,"3M MCLR (YBL)",MCLR_YBL_3M+Q7,"6M I-MCLR (ICICI)",IMCLR_ICICI_6M+Q7,"12M MCLR (SIB)",MCLR_SIB_12M+Q7,"Bajaj Floating Reference Rate (BFRR)",BFRR_Bajaj+Q7,"Term SOFR (USD)",SOFR_3M+Q7,"3M T-Bill",TBill_3M+Q7,"Repo Rate",RepoRate+Q7,"FD rate",IFERROR(FD_Rate_RBL,0)+Q7,Q7),0)</f>
        <v>9.5000000000000001E-2</v>
      </c>
      <c r="S7" s="435" t="s">
        <v>317</v>
      </c>
      <c r="T7" s="581">
        <v>0</v>
      </c>
      <c r="U7" s="576" t="s">
        <v>306</v>
      </c>
      <c r="V7" s="581">
        <v>1</v>
      </c>
      <c r="W7" s="581">
        <v>0</v>
      </c>
      <c r="X7" s="582">
        <v>46022</v>
      </c>
      <c r="Y7" s="582">
        <f t="shared" si="4"/>
        <v>46022</v>
      </c>
      <c r="Z7" s="582">
        <f t="shared" si="5"/>
        <v>46053</v>
      </c>
      <c r="AA7" s="582">
        <v>46022</v>
      </c>
      <c r="AB7" s="582">
        <v>46356</v>
      </c>
      <c r="AC7" s="435" t="s">
        <v>318</v>
      </c>
      <c r="AD7" s="435" t="s">
        <v>308</v>
      </c>
      <c r="AE7" s="435" t="s">
        <v>309</v>
      </c>
      <c r="AF7" s="435" t="s">
        <v>319</v>
      </c>
      <c r="AG7" s="583" t="b">
        <f>FALSE()</f>
        <v>0</v>
      </c>
    </row>
    <row r="8" spans="1:33" ht="15" customHeight="1" x14ac:dyDescent="0.3">
      <c r="A8" s="565">
        <v>4</v>
      </c>
      <c r="B8" s="446" t="s">
        <v>125</v>
      </c>
      <c r="C8" s="564" t="s">
        <v>320</v>
      </c>
      <c r="D8" s="458" t="s">
        <v>301</v>
      </c>
      <c r="E8" s="458" t="s">
        <v>302</v>
      </c>
      <c r="F8" s="566" t="b">
        <f>TRUE()</f>
        <v>1</v>
      </c>
      <c r="G8" s="566" t="b">
        <f>FALSE()</f>
        <v>0</v>
      </c>
      <c r="H8" s="566">
        <v>0</v>
      </c>
      <c r="I8" s="566" t="s">
        <v>303</v>
      </c>
      <c r="J8" s="567">
        <v>100</v>
      </c>
      <c r="K8" s="567">
        <f t="shared" si="0"/>
        <v>100</v>
      </c>
      <c r="L8" s="568"/>
      <c r="M8" s="567">
        <f t="shared" si="1"/>
        <v>100</v>
      </c>
      <c r="N8" s="569">
        <f t="shared" si="2"/>
        <v>1</v>
      </c>
      <c r="O8" s="568">
        <f t="shared" si="3"/>
        <v>0</v>
      </c>
      <c r="P8" s="458" t="s">
        <v>321</v>
      </c>
      <c r="Q8" s="570">
        <v>5.0000000000000001E-3</v>
      </c>
      <c r="R8" s="570">
        <f t="array" ref="R8">IFERROR(_xlfn.SWITCH(P8,"1Y MCLR (RBL Bank)",MCLR_RBL_1Y+Q8,"3M MCLR (YBL)",MCLR_YBL_3M+Q8,"6M I-MCLR (ICICI)",IMCLR_ICICI_6M+Q8,"12M MCLR (SIB)",MCLR_SIB_12M+Q8,"Bajaj Floating Reference Rate (BFRR)",BFRR_Bajaj+Q8,"Term SOFR (USD)",SOFR_3M+Q8,"3M T-Bill",TBill_3M+Q8,"Repo Rate",RepoRate+Q8,"FD rate",IFERROR(FD_Rate_RBL,0)+Q8,Q8),0)</f>
        <v>5.0000000000000001E-3</v>
      </c>
      <c r="S8" s="458" t="s">
        <v>322</v>
      </c>
      <c r="T8" s="571">
        <v>0</v>
      </c>
      <c r="U8" s="566" t="s">
        <v>306</v>
      </c>
      <c r="V8" s="571">
        <v>6</v>
      </c>
      <c r="W8" s="571">
        <v>0</v>
      </c>
      <c r="X8" s="572">
        <v>45729</v>
      </c>
      <c r="Y8" s="572">
        <f t="shared" si="4"/>
        <v>45729</v>
      </c>
      <c r="Z8" s="572">
        <f t="shared" si="5"/>
        <v>45913</v>
      </c>
      <c r="AA8" s="572">
        <v>45729</v>
      </c>
      <c r="AB8" s="572">
        <v>46356</v>
      </c>
      <c r="AC8" s="458" t="s">
        <v>323</v>
      </c>
      <c r="AD8" s="458" t="s">
        <v>324</v>
      </c>
      <c r="AE8" s="458" t="s">
        <v>325</v>
      </c>
      <c r="AF8" s="458" t="s">
        <v>326</v>
      </c>
      <c r="AG8" s="573" t="b">
        <f>FALSE()</f>
        <v>0</v>
      </c>
    </row>
    <row r="9" spans="1:33" ht="15" customHeight="1" x14ac:dyDescent="0.3">
      <c r="A9" s="575">
        <v>5</v>
      </c>
      <c r="B9" s="456" t="s">
        <v>125</v>
      </c>
      <c r="C9" s="574" t="s">
        <v>327</v>
      </c>
      <c r="D9" s="435" t="s">
        <v>316</v>
      </c>
      <c r="E9" s="435" t="s">
        <v>302</v>
      </c>
      <c r="F9" s="576" t="b">
        <f>TRUE()</f>
        <v>1</v>
      </c>
      <c r="G9" s="576" t="b">
        <f>FALSE()</f>
        <v>0</v>
      </c>
      <c r="H9" s="576">
        <v>0</v>
      </c>
      <c r="I9" s="576" t="s">
        <v>303</v>
      </c>
      <c r="J9" s="577">
        <v>100</v>
      </c>
      <c r="K9" s="577">
        <f t="shared" si="0"/>
        <v>100</v>
      </c>
      <c r="L9" s="578"/>
      <c r="M9" s="577">
        <f t="shared" si="1"/>
        <v>100</v>
      </c>
      <c r="N9" s="579">
        <f t="shared" si="2"/>
        <v>1</v>
      </c>
      <c r="O9" s="578">
        <f t="shared" si="3"/>
        <v>0</v>
      </c>
      <c r="P9" s="435" t="s">
        <v>192</v>
      </c>
      <c r="Q9" s="580">
        <v>7.4999999999999997E-3</v>
      </c>
      <c r="R9" s="580">
        <f t="array" ref="R9">IFERROR(_xlfn.SWITCH(P9,"1Y MCLR (RBL Bank)",MCLR_RBL_1Y+Q9,"3M MCLR (YBL)",MCLR_YBL_3M+Q9,"6M I-MCLR (ICICI)",IMCLR_ICICI_6M+Q9,"12M MCLR (SIB)",MCLR_SIB_12M+Q9,"Bajaj Floating Reference Rate (BFRR)",BFRR_Bajaj+Q9,"Term SOFR (USD)",SOFR_3M+Q9,"3M T-Bill",TBill_3M+Q9,"Repo Rate",RepoRate+Q9,"FD rate",IFERROR(FD_Rate_RBL,0)+Q9,Q9),0)</f>
        <v>9.7500000000000003E-2</v>
      </c>
      <c r="S9" s="435" t="s">
        <v>317</v>
      </c>
      <c r="T9" s="581">
        <v>0</v>
      </c>
      <c r="U9" s="576" t="s">
        <v>306</v>
      </c>
      <c r="V9" s="581">
        <v>0</v>
      </c>
      <c r="W9" s="581">
        <v>0</v>
      </c>
      <c r="X9" s="582">
        <v>46022</v>
      </c>
      <c r="Y9" s="582">
        <f t="shared" si="4"/>
        <v>46022</v>
      </c>
      <c r="Z9" s="582">
        <f t="shared" si="5"/>
        <v>46022</v>
      </c>
      <c r="AA9" s="582">
        <v>46022</v>
      </c>
      <c r="AB9" s="582">
        <v>46356</v>
      </c>
      <c r="AC9" s="435" t="s">
        <v>318</v>
      </c>
      <c r="AD9" s="435" t="s">
        <v>308</v>
      </c>
      <c r="AE9" s="435" t="s">
        <v>309</v>
      </c>
      <c r="AF9" s="435" t="s">
        <v>328</v>
      </c>
      <c r="AG9" s="583" t="b">
        <f>FALSE()</f>
        <v>0</v>
      </c>
    </row>
    <row r="10" spans="1:33" ht="15" customHeight="1" x14ac:dyDescent="0.3">
      <c r="A10" s="565">
        <v>6</v>
      </c>
      <c r="B10" s="446" t="s">
        <v>125</v>
      </c>
      <c r="C10" s="564" t="s">
        <v>329</v>
      </c>
      <c r="D10" s="458" t="s">
        <v>316</v>
      </c>
      <c r="E10" s="458" t="s">
        <v>302</v>
      </c>
      <c r="F10" s="566" t="b">
        <f>TRUE()</f>
        <v>1</v>
      </c>
      <c r="G10" s="566" t="b">
        <f>FALSE()</f>
        <v>0</v>
      </c>
      <c r="H10" s="566">
        <v>0</v>
      </c>
      <c r="I10" s="566" t="s">
        <v>303</v>
      </c>
      <c r="J10" s="567">
        <v>100</v>
      </c>
      <c r="K10" s="567">
        <f t="shared" si="0"/>
        <v>100</v>
      </c>
      <c r="L10" s="568"/>
      <c r="M10" s="567">
        <f t="shared" si="1"/>
        <v>100</v>
      </c>
      <c r="N10" s="569">
        <f t="shared" si="2"/>
        <v>1</v>
      </c>
      <c r="O10" s="568">
        <f t="shared" si="3"/>
        <v>0</v>
      </c>
      <c r="P10" s="458" t="s">
        <v>192</v>
      </c>
      <c r="Q10" s="570">
        <v>5.0000000000000001E-4</v>
      </c>
      <c r="R10" s="570">
        <f t="array" ref="R10">IFERROR(_xlfn.SWITCH(P10,"1Y MCLR (RBL Bank)",MCLR_RBL_1Y+Q10,"3M MCLR (YBL)",MCLR_YBL_3M+Q10,"6M I-MCLR (ICICI)",IMCLR_ICICI_6M+Q10,"12M MCLR (SIB)",MCLR_SIB_12M+Q10,"Bajaj Floating Reference Rate (BFRR)",BFRR_Bajaj+Q10,"Term SOFR (USD)",SOFR_3M+Q10,"3M T-Bill",TBill_3M+Q10,"Repo Rate",RepoRate+Q10,"FD rate",IFERROR(FD_Rate_RBL,0)+Q10,Q10),0)</f>
        <v>9.0499999999999997E-2</v>
      </c>
      <c r="S10" s="458" t="s">
        <v>330</v>
      </c>
      <c r="T10" s="571">
        <v>0</v>
      </c>
      <c r="U10" s="566" t="s">
        <v>312</v>
      </c>
      <c r="V10" s="571">
        <v>0</v>
      </c>
      <c r="W10" s="571">
        <v>0</v>
      </c>
      <c r="X10" s="572">
        <v>45716</v>
      </c>
      <c r="Y10" s="572">
        <f t="shared" si="4"/>
        <v>45716</v>
      </c>
      <c r="Z10" s="572">
        <f t="shared" si="5"/>
        <v>45716</v>
      </c>
      <c r="AA10" s="572">
        <v>45716</v>
      </c>
      <c r="AB10" s="572">
        <v>46356</v>
      </c>
      <c r="AC10" s="458" t="s">
        <v>318</v>
      </c>
      <c r="AD10" s="458" t="s">
        <v>308</v>
      </c>
      <c r="AE10" s="458" t="s">
        <v>331</v>
      </c>
      <c r="AF10" s="458" t="s">
        <v>332</v>
      </c>
      <c r="AG10" s="573" t="b">
        <f>FALSE()</f>
        <v>0</v>
      </c>
    </row>
    <row r="11" spans="1:33" ht="15" customHeight="1" x14ac:dyDescent="0.3">
      <c r="A11" s="575">
        <v>7</v>
      </c>
      <c r="B11" s="456" t="s">
        <v>125</v>
      </c>
      <c r="C11" s="574" t="s">
        <v>333</v>
      </c>
      <c r="D11" s="435" t="s">
        <v>316</v>
      </c>
      <c r="E11" s="435" t="s">
        <v>302</v>
      </c>
      <c r="F11" s="576" t="b">
        <f>TRUE()</f>
        <v>1</v>
      </c>
      <c r="G11" s="576" t="b">
        <f>FALSE()</f>
        <v>0</v>
      </c>
      <c r="H11" s="576">
        <v>0</v>
      </c>
      <c r="I11" s="576" t="s">
        <v>303</v>
      </c>
      <c r="J11" s="577">
        <v>100</v>
      </c>
      <c r="K11" s="577">
        <f t="shared" si="0"/>
        <v>100</v>
      </c>
      <c r="L11" s="578"/>
      <c r="M11" s="577">
        <f t="shared" si="1"/>
        <v>100</v>
      </c>
      <c r="N11" s="579">
        <f t="shared" si="2"/>
        <v>1</v>
      </c>
      <c r="O11" s="578">
        <f t="shared" si="3"/>
        <v>0</v>
      </c>
      <c r="P11" s="435" t="s">
        <v>321</v>
      </c>
      <c r="Q11" s="580">
        <v>0</v>
      </c>
      <c r="R11" s="580">
        <f t="array" ref="R11">IFERROR(_xlfn.SWITCH(P11,"1Y MCLR (RBL Bank)",MCLR_RBL_1Y+Q11,"3M MCLR (YBL)",MCLR_YBL_3M+Q11,"6M I-MCLR (ICICI)",IMCLR_ICICI_6M+Q11,"12M MCLR (SIB)",MCLR_SIB_12M+Q11,"Bajaj Floating Reference Rate (BFRR)",BFRR_Bajaj+Q11,"Term SOFR (USD)",SOFR_3M+Q11,"3M T-Bill",TBill_3M+Q11,"Repo Rate",RepoRate+Q11,"FD rate",IFERROR(FD_Rate_RBL,0)+Q11,Q11),0)</f>
        <v>0</v>
      </c>
      <c r="S11" s="435" t="s">
        <v>322</v>
      </c>
      <c r="T11" s="581">
        <v>0</v>
      </c>
      <c r="U11" s="576" t="s">
        <v>312</v>
      </c>
      <c r="V11" s="581">
        <v>4</v>
      </c>
      <c r="W11" s="581">
        <v>0</v>
      </c>
      <c r="X11" s="582">
        <v>46022</v>
      </c>
      <c r="Y11" s="582">
        <f t="shared" si="4"/>
        <v>46022</v>
      </c>
      <c r="Z11" s="582">
        <f t="shared" si="5"/>
        <v>46142</v>
      </c>
      <c r="AA11" s="582">
        <v>46022</v>
      </c>
      <c r="AB11" s="582">
        <v>46356</v>
      </c>
      <c r="AC11" s="435" t="s">
        <v>318</v>
      </c>
      <c r="AD11" s="435" t="s">
        <v>308</v>
      </c>
      <c r="AE11" s="435" t="s">
        <v>309</v>
      </c>
      <c r="AF11" s="435" t="s">
        <v>334</v>
      </c>
      <c r="AG11" s="583" t="b">
        <f>FALSE()</f>
        <v>0</v>
      </c>
    </row>
    <row r="12" spans="1:33" ht="15" customHeight="1" x14ac:dyDescent="0.3">
      <c r="A12" s="565">
        <v>8</v>
      </c>
      <c r="B12" s="446" t="s">
        <v>125</v>
      </c>
      <c r="C12" s="564" t="s">
        <v>335</v>
      </c>
      <c r="D12" s="458" t="s">
        <v>336</v>
      </c>
      <c r="E12" s="458" t="s">
        <v>302</v>
      </c>
      <c r="F12" s="566" t="b">
        <f>TRUE()</f>
        <v>1</v>
      </c>
      <c r="G12" s="566" t="b">
        <f>FALSE()</f>
        <v>0</v>
      </c>
      <c r="H12" s="566">
        <v>0</v>
      </c>
      <c r="I12" s="566" t="s">
        <v>303</v>
      </c>
      <c r="J12" s="567">
        <v>20</v>
      </c>
      <c r="K12" s="567">
        <f t="shared" si="0"/>
        <v>20</v>
      </c>
      <c r="L12" s="568"/>
      <c r="M12" s="567">
        <f t="shared" si="1"/>
        <v>20</v>
      </c>
      <c r="N12" s="569">
        <f t="shared" si="2"/>
        <v>1</v>
      </c>
      <c r="O12" s="568">
        <f t="shared" si="3"/>
        <v>0</v>
      </c>
      <c r="P12" s="458" t="s">
        <v>337</v>
      </c>
      <c r="Q12" s="570">
        <v>0</v>
      </c>
      <c r="R12" s="570">
        <f t="array" ref="R12">IFERROR(_xlfn.SWITCH(P12,"1Y MCLR (RBL Bank)",MCLR_RBL_1Y+Q12,"3M MCLR (YBL)",MCLR_YBL_3M+Q12,"6M I-MCLR (ICICI)",IMCLR_ICICI_6M+Q12,"12M MCLR (SIB)",MCLR_SIB_12M+Q12,"Bajaj Floating Reference Rate (BFRR)",BFRR_Bajaj+Q12,"Term SOFR (USD)",SOFR_3M+Q12,"3M T-Bill",TBill_3M+Q12,"Repo Rate",RepoRate+Q12,"FD rate",IFERROR(FD_Rate_RBL,0)+Q12,Q12),0)</f>
        <v>0</v>
      </c>
      <c r="S12" s="458" t="s">
        <v>305</v>
      </c>
      <c r="T12" s="571">
        <v>0</v>
      </c>
      <c r="U12" s="566" t="s">
        <v>338</v>
      </c>
      <c r="V12" s="571">
        <v>12</v>
      </c>
      <c r="W12" s="571">
        <v>0</v>
      </c>
      <c r="X12" s="572">
        <v>46022</v>
      </c>
      <c r="Y12" s="572">
        <f t="shared" si="4"/>
        <v>46022</v>
      </c>
      <c r="Z12" s="572">
        <f t="shared" si="5"/>
        <v>46387</v>
      </c>
      <c r="AA12" s="572">
        <v>46022</v>
      </c>
      <c r="AB12" s="572">
        <v>46356</v>
      </c>
      <c r="AC12" s="458" t="s">
        <v>339</v>
      </c>
      <c r="AD12" s="458" t="s">
        <v>340</v>
      </c>
      <c r="AE12" s="458" t="s">
        <v>309</v>
      </c>
      <c r="AF12" s="458" t="s">
        <v>341</v>
      </c>
      <c r="AG12" s="573" t="b">
        <f>FALSE()</f>
        <v>0</v>
      </c>
    </row>
    <row r="13" spans="1:33" ht="15" customHeight="1" x14ac:dyDescent="0.3">
      <c r="A13" s="433">
        <v>9</v>
      </c>
      <c r="B13" s="434" t="s">
        <v>125</v>
      </c>
      <c r="C13" s="436" t="s">
        <v>342</v>
      </c>
      <c r="D13" s="436" t="s">
        <v>343</v>
      </c>
      <c r="E13" s="436" t="s">
        <v>344</v>
      </c>
      <c r="F13" s="437" t="b">
        <f>FALSE()</f>
        <v>0</v>
      </c>
      <c r="G13" s="437" t="b">
        <f>FALSE()</f>
        <v>0</v>
      </c>
      <c r="H13" s="437">
        <v>1</v>
      </c>
      <c r="I13" s="437" t="s">
        <v>303</v>
      </c>
      <c r="J13" s="438">
        <v>200</v>
      </c>
      <c r="K13" s="438">
        <f t="shared" si="0"/>
        <v>200</v>
      </c>
      <c r="L13" s="439"/>
      <c r="M13" s="438">
        <f t="shared" si="1"/>
        <v>0</v>
      </c>
      <c r="N13" s="440">
        <f t="shared" si="2"/>
        <v>0</v>
      </c>
      <c r="O13" s="439">
        <f t="shared" si="3"/>
        <v>200</v>
      </c>
      <c r="P13" s="436" t="s">
        <v>192</v>
      </c>
      <c r="Q13" s="441">
        <v>7.4999999999999997E-3</v>
      </c>
      <c r="R13" s="441">
        <f t="array" ref="R13">IFERROR(_xlfn.SWITCH(P13,"1Y MCLR (RBL Bank)",MCLR_RBL_1Y+Q13,"3M MCLR (YBL)",MCLR_YBL_3M+Q13,"6M I-MCLR (ICICI)",IMCLR_ICICI_6M+Q13,"12M MCLR (SIB)",MCLR_SIB_12M+Q13,"Bajaj Floating Reference Rate (BFRR)",BFRR_Bajaj+Q13,"Term SOFR (USD)",SOFR_3M+Q13,"3M T-Bill",TBill_3M+Q13,"Repo Rate",RepoRate+Q13,"FD rate",IFERROR(FD_Rate_RBL,0)+Q13,Q13),0)</f>
        <v>9.7500000000000003E-2</v>
      </c>
      <c r="S13" s="436" t="s">
        <v>317</v>
      </c>
      <c r="T13" s="442">
        <v>24</v>
      </c>
      <c r="U13" s="437" t="s">
        <v>345</v>
      </c>
      <c r="V13" s="442">
        <v>60</v>
      </c>
      <c r="W13" s="442">
        <v>12</v>
      </c>
      <c r="X13" s="443">
        <v>45315</v>
      </c>
      <c r="Y13" s="443">
        <f t="shared" si="4"/>
        <v>46046</v>
      </c>
      <c r="Z13" s="443">
        <f>RBL_TL_Maturity</f>
        <v>47208</v>
      </c>
      <c r="AA13" s="443">
        <v>45315</v>
      </c>
      <c r="AB13" s="443">
        <v>46387</v>
      </c>
      <c r="AC13" s="436" t="s">
        <v>346</v>
      </c>
      <c r="AD13" s="436" t="s">
        <v>347</v>
      </c>
      <c r="AE13" s="436" t="s">
        <v>348</v>
      </c>
      <c r="AF13" s="436" t="s">
        <v>349</v>
      </c>
      <c r="AG13" s="444" t="b">
        <f>FALSE()</f>
        <v>0</v>
      </c>
    </row>
    <row r="14" spans="1:33" ht="15" customHeight="1" x14ac:dyDescent="0.3">
      <c r="A14" s="565">
        <v>10</v>
      </c>
      <c r="B14" s="446" t="s">
        <v>125</v>
      </c>
      <c r="C14" s="564" t="s">
        <v>350</v>
      </c>
      <c r="D14" s="458" t="s">
        <v>301</v>
      </c>
      <c r="E14" s="458" t="s">
        <v>302</v>
      </c>
      <c r="F14" s="566" t="b">
        <f>TRUE()</f>
        <v>1</v>
      </c>
      <c r="G14" s="566" t="b">
        <f>FALSE()</f>
        <v>0</v>
      </c>
      <c r="H14" s="566">
        <v>0</v>
      </c>
      <c r="I14" s="566" t="s">
        <v>303</v>
      </c>
      <c r="J14" s="567">
        <v>190</v>
      </c>
      <c r="K14" s="567">
        <f t="shared" si="0"/>
        <v>190</v>
      </c>
      <c r="L14" s="568"/>
      <c r="M14" s="567">
        <f t="shared" si="1"/>
        <v>190</v>
      </c>
      <c r="N14" s="569">
        <f t="shared" si="2"/>
        <v>1</v>
      </c>
      <c r="O14" s="568">
        <f t="shared" si="3"/>
        <v>0</v>
      </c>
      <c r="P14" s="458" t="s">
        <v>304</v>
      </c>
      <c r="Q14" s="570">
        <v>5.0000000000000001E-3</v>
      </c>
      <c r="R14" s="570">
        <f t="array" ref="R14">IFERROR(_xlfn.SWITCH(P14,"1Y MCLR (RBL Bank)",MCLR_RBL_1Y+Q14,"3M MCLR (YBL)",MCLR_YBL_3M+Q14,"6M I-MCLR (ICICI)",IMCLR_ICICI_6M+Q14,"12M MCLR (SIB)",MCLR_SIB_12M+Q14,"Bajaj Floating Reference Rate (BFRR)",BFRR_Bajaj+Q14,"Term SOFR (USD)",SOFR_3M+Q14,"3M T-Bill",TBill_3M+Q14,"Repo Rate",RepoRate+Q14,"FD rate",IFERROR(FD_Rate_RBL,0)+Q14,Q14),0)</f>
        <v>5.0000000000000001E-3</v>
      </c>
      <c r="S14" s="458" t="s">
        <v>305</v>
      </c>
      <c r="T14" s="571">
        <v>0</v>
      </c>
      <c r="U14" s="566" t="s">
        <v>306</v>
      </c>
      <c r="V14" s="571">
        <v>36</v>
      </c>
      <c r="W14" s="571">
        <v>0</v>
      </c>
      <c r="X14" s="572">
        <v>46022</v>
      </c>
      <c r="Y14" s="572">
        <f t="shared" si="4"/>
        <v>46022</v>
      </c>
      <c r="Z14" s="572">
        <f t="shared" ref="Z14:Z24" si="6">IFERROR(EDATE(X14,V14),"")</f>
        <v>47118</v>
      </c>
      <c r="AA14" s="572">
        <v>46022</v>
      </c>
      <c r="AB14" s="572">
        <v>46356</v>
      </c>
      <c r="AC14" s="458" t="s">
        <v>351</v>
      </c>
      <c r="AD14" s="458" t="s">
        <v>347</v>
      </c>
      <c r="AE14" s="458" t="s">
        <v>309</v>
      </c>
      <c r="AF14" s="458" t="s">
        <v>352</v>
      </c>
      <c r="AG14" s="573" t="b">
        <f>TRUE()</f>
        <v>1</v>
      </c>
    </row>
    <row r="15" spans="1:33" ht="15" customHeight="1" x14ac:dyDescent="0.3">
      <c r="A15" s="575">
        <v>11</v>
      </c>
      <c r="B15" s="456" t="s">
        <v>125</v>
      </c>
      <c r="C15" s="574" t="s">
        <v>353</v>
      </c>
      <c r="D15" s="435" t="s">
        <v>301</v>
      </c>
      <c r="E15" s="435" t="s">
        <v>302</v>
      </c>
      <c r="F15" s="576" t="b">
        <f>TRUE()</f>
        <v>1</v>
      </c>
      <c r="G15" s="576" t="b">
        <f>FALSE()</f>
        <v>0</v>
      </c>
      <c r="H15" s="576">
        <v>0</v>
      </c>
      <c r="I15" s="576" t="s">
        <v>303</v>
      </c>
      <c r="J15" s="577">
        <v>25</v>
      </c>
      <c r="K15" s="577">
        <f t="shared" si="0"/>
        <v>25</v>
      </c>
      <c r="L15" s="578"/>
      <c r="M15" s="577">
        <f t="shared" si="1"/>
        <v>25</v>
      </c>
      <c r="N15" s="579">
        <f t="shared" si="2"/>
        <v>1</v>
      </c>
      <c r="O15" s="578">
        <f t="shared" si="3"/>
        <v>0</v>
      </c>
      <c r="P15" s="435" t="s">
        <v>304</v>
      </c>
      <c r="Q15" s="580">
        <v>5.0000000000000001E-3</v>
      </c>
      <c r="R15" s="580">
        <f t="array" ref="R15">IFERROR(_xlfn.SWITCH(P15,"1Y MCLR (RBL Bank)",MCLR_RBL_1Y+Q15,"3M MCLR (YBL)",MCLR_YBL_3M+Q15,"6M I-MCLR (ICICI)",IMCLR_ICICI_6M+Q15,"12M MCLR (SIB)",MCLR_SIB_12M+Q15,"Bajaj Floating Reference Rate (BFRR)",BFRR_Bajaj+Q15,"Term SOFR (USD)",SOFR_3M+Q15,"3M T-Bill",TBill_3M+Q15,"Repo Rate",RepoRate+Q15,"FD rate",IFERROR(FD_Rate_RBL,0)+Q15,Q15),0)</f>
        <v>5.0000000000000001E-3</v>
      </c>
      <c r="S15" s="435" t="s">
        <v>305</v>
      </c>
      <c r="T15" s="581">
        <v>0</v>
      </c>
      <c r="U15" s="576" t="s">
        <v>306</v>
      </c>
      <c r="V15" s="581">
        <v>36</v>
      </c>
      <c r="W15" s="581">
        <v>0</v>
      </c>
      <c r="X15" s="582">
        <v>46022</v>
      </c>
      <c r="Y15" s="582">
        <f t="shared" si="4"/>
        <v>46022</v>
      </c>
      <c r="Z15" s="582">
        <f t="shared" si="6"/>
        <v>47118</v>
      </c>
      <c r="AA15" s="582">
        <v>46022</v>
      </c>
      <c r="AB15" s="582">
        <v>46356</v>
      </c>
      <c r="AC15" s="435" t="s">
        <v>354</v>
      </c>
      <c r="AD15" s="435" t="s">
        <v>347</v>
      </c>
      <c r="AE15" s="435" t="s">
        <v>309</v>
      </c>
      <c r="AF15" s="435" t="s">
        <v>355</v>
      </c>
      <c r="AG15" s="583" t="b">
        <f>TRUE()</f>
        <v>1</v>
      </c>
    </row>
    <row r="16" spans="1:33" ht="15" customHeight="1" x14ac:dyDescent="0.3">
      <c r="A16" s="445">
        <v>12</v>
      </c>
      <c r="B16" s="457" t="s">
        <v>125</v>
      </c>
      <c r="C16" s="447" t="s">
        <v>356</v>
      </c>
      <c r="D16" s="447" t="s">
        <v>357</v>
      </c>
      <c r="E16" s="447" t="s">
        <v>302</v>
      </c>
      <c r="F16" s="448" t="b">
        <f>FALSE()</f>
        <v>0</v>
      </c>
      <c r="G16" s="448" t="b">
        <f>TRUE()</f>
        <v>1</v>
      </c>
      <c r="H16" s="448">
        <v>3</v>
      </c>
      <c r="I16" s="448" t="s">
        <v>303</v>
      </c>
      <c r="J16" s="449">
        <v>100</v>
      </c>
      <c r="K16" s="449">
        <f t="shared" si="0"/>
        <v>100</v>
      </c>
      <c r="L16" s="450"/>
      <c r="M16" s="449">
        <f t="shared" si="1"/>
        <v>100</v>
      </c>
      <c r="N16" s="451">
        <f t="shared" si="2"/>
        <v>1</v>
      </c>
      <c r="O16" s="450">
        <f t="shared" si="3"/>
        <v>0</v>
      </c>
      <c r="P16" s="447" t="s">
        <v>358</v>
      </c>
      <c r="Q16" s="452">
        <v>2.5000000000000001E-3</v>
      </c>
      <c r="R16" s="452">
        <f t="array" ref="R16">IFERROR(_xlfn.SWITCH(P16,"1Y MCLR (RBL Bank)",MCLR_RBL_1Y+Q16,"3M MCLR (YBL)",MCLR_YBL_3M+Q16,"6M I-MCLR (ICICI)",IMCLR_ICICI_6M+Q16,"12M MCLR (SIB)",MCLR_SIB_12M+Q16,"Bajaj Floating Reference Rate (BFRR)",BFRR_Bajaj+Q16,"Term SOFR (USD)",SOFR_3M+Q16,"3M T-Bill",TBill_3M+Q16,"Repo Rate",RepoRate+Q16,"FD rate",IFERROR(FD_Rate_RBL,0)+Q16,Q16),0)</f>
        <v>7.2500000000000009E-2</v>
      </c>
      <c r="S16" s="447" t="s">
        <v>330</v>
      </c>
      <c r="T16" s="453">
        <v>0</v>
      </c>
      <c r="U16" s="448" t="s">
        <v>312</v>
      </c>
      <c r="V16" s="453">
        <v>12</v>
      </c>
      <c r="W16" s="453">
        <v>0</v>
      </c>
      <c r="X16" s="454">
        <v>45315</v>
      </c>
      <c r="Y16" s="454">
        <f t="shared" si="4"/>
        <v>45315</v>
      </c>
      <c r="Z16" s="454">
        <f t="shared" si="6"/>
        <v>45681</v>
      </c>
      <c r="AA16" s="454">
        <v>45315</v>
      </c>
      <c r="AB16" s="454">
        <v>46356</v>
      </c>
      <c r="AC16" s="447" t="s">
        <v>359</v>
      </c>
      <c r="AD16" s="447" t="s">
        <v>360</v>
      </c>
      <c r="AE16" s="447" t="s">
        <v>361</v>
      </c>
      <c r="AF16" s="447" t="s">
        <v>362</v>
      </c>
      <c r="AG16" s="455" t="b">
        <f>FALSE()</f>
        <v>0</v>
      </c>
    </row>
    <row r="17" spans="1:33" ht="15" customHeight="1" x14ac:dyDescent="0.3">
      <c r="A17" s="575">
        <v>13</v>
      </c>
      <c r="B17" s="456" t="s">
        <v>125</v>
      </c>
      <c r="C17" s="574" t="s">
        <v>363</v>
      </c>
      <c r="D17" s="435" t="s">
        <v>364</v>
      </c>
      <c r="E17" s="435" t="s">
        <v>302</v>
      </c>
      <c r="F17" s="576" t="b">
        <f>TRUE()</f>
        <v>1</v>
      </c>
      <c r="G17" s="576" t="b">
        <f>TRUE()</f>
        <v>1</v>
      </c>
      <c r="H17" s="576">
        <v>0</v>
      </c>
      <c r="I17" s="576" t="s">
        <v>303</v>
      </c>
      <c r="J17" s="577">
        <v>50</v>
      </c>
      <c r="K17" s="577">
        <f t="shared" si="0"/>
        <v>50</v>
      </c>
      <c r="L17" s="578"/>
      <c r="M17" s="577">
        <f t="shared" si="1"/>
        <v>50</v>
      </c>
      <c r="N17" s="579">
        <f t="shared" si="2"/>
        <v>1</v>
      </c>
      <c r="O17" s="578">
        <f t="shared" si="3"/>
        <v>0</v>
      </c>
      <c r="P17" s="435" t="s">
        <v>321</v>
      </c>
      <c r="Q17" s="580">
        <v>0</v>
      </c>
      <c r="R17" s="580">
        <f t="array" ref="R17">IFERROR(_xlfn.SWITCH(P17,"1Y MCLR (RBL Bank)",MCLR_RBL_1Y+Q17,"3M MCLR (YBL)",MCLR_YBL_3M+Q17,"6M I-MCLR (ICICI)",IMCLR_ICICI_6M+Q17,"12M MCLR (SIB)",MCLR_SIB_12M+Q17,"Bajaj Floating Reference Rate (BFRR)",BFRR_Bajaj+Q17,"Term SOFR (USD)",SOFR_3M+Q17,"3M T-Bill",TBill_3M+Q17,"Repo Rate",RepoRate+Q17,"FD rate",IFERROR(FD_Rate_RBL,0)+Q17,Q17),0)</f>
        <v>0</v>
      </c>
      <c r="S17" s="435" t="s">
        <v>322</v>
      </c>
      <c r="T17" s="581">
        <v>0</v>
      </c>
      <c r="U17" s="576" t="s">
        <v>306</v>
      </c>
      <c r="V17" s="581">
        <v>12</v>
      </c>
      <c r="W17" s="581">
        <v>0</v>
      </c>
      <c r="X17" s="582">
        <v>45315</v>
      </c>
      <c r="Y17" s="582">
        <f t="shared" si="4"/>
        <v>45315</v>
      </c>
      <c r="Z17" s="582">
        <f t="shared" si="6"/>
        <v>45681</v>
      </c>
      <c r="AA17" s="582">
        <v>45315</v>
      </c>
      <c r="AB17" s="582">
        <v>46356</v>
      </c>
      <c r="AC17" s="435" t="s">
        <v>365</v>
      </c>
      <c r="AD17" s="435" t="s">
        <v>360</v>
      </c>
      <c r="AE17" s="435" t="s">
        <v>361</v>
      </c>
      <c r="AF17" s="435" t="s">
        <v>366</v>
      </c>
      <c r="AG17" s="583" t="b">
        <f>FALSE()</f>
        <v>0</v>
      </c>
    </row>
    <row r="18" spans="1:33" ht="15" customHeight="1" x14ac:dyDescent="0.3">
      <c r="A18" s="565">
        <v>14</v>
      </c>
      <c r="B18" s="446" t="s">
        <v>125</v>
      </c>
      <c r="C18" s="564" t="s">
        <v>367</v>
      </c>
      <c r="D18" s="458" t="s">
        <v>368</v>
      </c>
      <c r="E18" s="458" t="s">
        <v>302</v>
      </c>
      <c r="F18" s="566" t="b">
        <f>TRUE()</f>
        <v>1</v>
      </c>
      <c r="G18" s="566" t="b">
        <f>FALSE()</f>
        <v>0</v>
      </c>
      <c r="H18" s="566">
        <v>0</v>
      </c>
      <c r="I18" s="566" t="s">
        <v>369</v>
      </c>
      <c r="J18" s="567">
        <v>11</v>
      </c>
      <c r="K18" s="567">
        <v>100</v>
      </c>
      <c r="L18" s="568"/>
      <c r="M18" s="567">
        <f t="shared" si="1"/>
        <v>100</v>
      </c>
      <c r="N18" s="569">
        <f t="shared" si="2"/>
        <v>1</v>
      </c>
      <c r="O18" s="568">
        <f t="shared" si="3"/>
        <v>0</v>
      </c>
      <c r="P18" s="458" t="s">
        <v>370</v>
      </c>
      <c r="Q18" s="570">
        <v>0</v>
      </c>
      <c r="R18" s="570">
        <f t="array" ref="R18">IFERROR(_xlfn.SWITCH(P18,"1Y MCLR (RBL Bank)",MCLR_RBL_1Y+Q18,"3M MCLR (YBL)",MCLR_YBL_3M+Q18,"6M I-MCLR (ICICI)",IMCLR_ICICI_6M+Q18,"12M MCLR (SIB)",MCLR_SIB_12M+Q18,"Bajaj Floating Reference Rate (BFRR)",BFRR_Bajaj+Q18,"Term SOFR (USD)",SOFR_3M+Q18,"3M T-Bill",TBill_3M+Q18,"Repo Rate",RepoRate+Q18,"FD rate",IFERROR(FD_Rate_RBL,0)+Q18,Q18),0)</f>
        <v>4.2999999999999997E-2</v>
      </c>
      <c r="S18" s="458" t="s">
        <v>330</v>
      </c>
      <c r="T18" s="571">
        <v>0</v>
      </c>
      <c r="U18" s="566" t="s">
        <v>371</v>
      </c>
      <c r="V18" s="571">
        <v>6</v>
      </c>
      <c r="W18" s="571">
        <v>1</v>
      </c>
      <c r="X18" s="572">
        <v>45729</v>
      </c>
      <c r="Y18" s="572">
        <f t="shared" si="4"/>
        <v>45729</v>
      </c>
      <c r="Z18" s="572">
        <f t="shared" si="6"/>
        <v>45913</v>
      </c>
      <c r="AA18" s="572">
        <v>45729</v>
      </c>
      <c r="AB18" s="572">
        <v>46356</v>
      </c>
      <c r="AC18" s="458" t="s">
        <v>318</v>
      </c>
      <c r="AD18" s="458" t="s">
        <v>372</v>
      </c>
      <c r="AE18" s="458" t="s">
        <v>373</v>
      </c>
      <c r="AF18" s="458" t="s">
        <v>374</v>
      </c>
      <c r="AG18" s="573" t="b">
        <f>FALSE()</f>
        <v>0</v>
      </c>
    </row>
    <row r="19" spans="1:33" ht="15" customHeight="1" x14ac:dyDescent="0.3">
      <c r="A19" s="575">
        <v>15</v>
      </c>
      <c r="B19" s="456" t="s">
        <v>125</v>
      </c>
      <c r="C19" s="574" t="s">
        <v>375</v>
      </c>
      <c r="D19" s="435" t="s">
        <v>368</v>
      </c>
      <c r="E19" s="435" t="s">
        <v>302</v>
      </c>
      <c r="F19" s="576" t="b">
        <f>TRUE()</f>
        <v>1</v>
      </c>
      <c r="G19" s="576" t="b">
        <f>FALSE()</f>
        <v>0</v>
      </c>
      <c r="H19" s="576">
        <v>0</v>
      </c>
      <c r="I19" s="576" t="s">
        <v>369</v>
      </c>
      <c r="J19" s="577">
        <v>20</v>
      </c>
      <c r="K19" s="577">
        <v>172</v>
      </c>
      <c r="L19" s="578"/>
      <c r="M19" s="577">
        <f t="shared" si="1"/>
        <v>172</v>
      </c>
      <c r="N19" s="579">
        <f t="shared" si="2"/>
        <v>1</v>
      </c>
      <c r="O19" s="578">
        <f t="shared" si="3"/>
        <v>0</v>
      </c>
      <c r="P19" s="435" t="s">
        <v>370</v>
      </c>
      <c r="Q19" s="580">
        <v>0</v>
      </c>
      <c r="R19" s="580">
        <f t="array" ref="R19">IFERROR(_xlfn.SWITCH(P19,"1Y MCLR (RBL Bank)",MCLR_RBL_1Y+Q19,"3M MCLR (YBL)",MCLR_YBL_3M+Q19,"6M I-MCLR (ICICI)",IMCLR_ICICI_6M+Q19,"12M MCLR (SIB)",MCLR_SIB_12M+Q19,"Bajaj Floating Reference Rate (BFRR)",BFRR_Bajaj+Q19,"Term SOFR (USD)",SOFR_3M+Q19,"3M T-Bill",TBill_3M+Q19,"Repo Rate",RepoRate+Q19,"FD rate",IFERROR(FD_Rate_RBL,0)+Q19,Q19),0)</f>
        <v>4.2999999999999997E-2</v>
      </c>
      <c r="S19" s="435" t="s">
        <v>330</v>
      </c>
      <c r="T19" s="581">
        <v>0</v>
      </c>
      <c r="U19" s="576" t="s">
        <v>371</v>
      </c>
      <c r="V19" s="581">
        <v>36</v>
      </c>
      <c r="W19" s="581">
        <v>1</v>
      </c>
      <c r="X19" s="582">
        <v>45743</v>
      </c>
      <c r="Y19" s="582">
        <f t="shared" si="4"/>
        <v>45743</v>
      </c>
      <c r="Z19" s="582">
        <f t="shared" si="6"/>
        <v>46839</v>
      </c>
      <c r="AA19" s="582">
        <v>45743</v>
      </c>
      <c r="AB19" s="582">
        <v>46356</v>
      </c>
      <c r="AC19" s="435" t="s">
        <v>376</v>
      </c>
      <c r="AD19" s="435" t="s">
        <v>372</v>
      </c>
      <c r="AE19" s="435" t="s">
        <v>377</v>
      </c>
      <c r="AF19" s="435" t="s">
        <v>378</v>
      </c>
      <c r="AG19" s="583" t="b">
        <f>FALSE()</f>
        <v>0</v>
      </c>
    </row>
    <row r="20" spans="1:33" ht="15" customHeight="1" x14ac:dyDescent="0.3">
      <c r="A20" s="585">
        <v>16</v>
      </c>
      <c r="B20" s="460" t="s">
        <v>124</v>
      </c>
      <c r="C20" s="584" t="s">
        <v>379</v>
      </c>
      <c r="D20" s="482" t="s">
        <v>316</v>
      </c>
      <c r="E20" s="482" t="s">
        <v>302</v>
      </c>
      <c r="F20" s="586" t="b">
        <f>TRUE()</f>
        <v>1</v>
      </c>
      <c r="G20" s="586" t="b">
        <f>FALSE()</f>
        <v>0</v>
      </c>
      <c r="H20" s="586">
        <v>0</v>
      </c>
      <c r="I20" s="586" t="s">
        <v>303</v>
      </c>
      <c r="J20" s="587">
        <v>100</v>
      </c>
      <c r="K20" s="587">
        <f t="shared" ref="K20:K38" si="7">IFERROR(J20,0)</f>
        <v>100</v>
      </c>
      <c r="L20" s="588"/>
      <c r="M20" s="587">
        <f t="shared" si="1"/>
        <v>100</v>
      </c>
      <c r="N20" s="589">
        <f t="shared" si="2"/>
        <v>1</v>
      </c>
      <c r="O20" s="588">
        <f t="shared" si="3"/>
        <v>0</v>
      </c>
      <c r="P20" s="482" t="s">
        <v>194</v>
      </c>
      <c r="Q20" s="590">
        <v>5.0000000000000001E-3</v>
      </c>
      <c r="R20" s="590">
        <f t="array" ref="R20">IFERROR(_xlfn.SWITCH(P20,"1Y MCLR (RBL Bank)",MCLR_RBL_1Y+Q20,"3M MCLR (YBL)",MCLR_YBL_3M+Q20,"6M I-MCLR (ICICI)",IMCLR_ICICI_6M+Q20,"12M MCLR (SIB)",MCLR_SIB_12M+Q20,"Bajaj Floating Reference Rate (BFRR)",BFRR_Bajaj+Q20,"Term SOFR (USD)",SOFR_3M+Q20,"3M T-Bill",TBill_3M+Q20,"Repo Rate",RepoRate+Q20,"FD rate",IFERROR(FD_Rate_RBL,0)+Q20,Q20),0)</f>
        <v>9.5000000000000001E-2</v>
      </c>
      <c r="S20" s="482" t="s">
        <v>322</v>
      </c>
      <c r="T20" s="591">
        <v>0</v>
      </c>
      <c r="U20" s="586" t="s">
        <v>306</v>
      </c>
      <c r="V20" s="591">
        <v>3</v>
      </c>
      <c r="W20" s="591">
        <v>0</v>
      </c>
      <c r="X20" s="592">
        <v>46100</v>
      </c>
      <c r="Y20" s="592">
        <f t="shared" si="4"/>
        <v>46100</v>
      </c>
      <c r="Z20" s="592">
        <f t="shared" si="6"/>
        <v>46192</v>
      </c>
      <c r="AA20" s="592">
        <v>46100</v>
      </c>
      <c r="AB20" s="592">
        <v>46142</v>
      </c>
      <c r="AC20" s="482" t="s">
        <v>318</v>
      </c>
      <c r="AD20" s="482" t="s">
        <v>380</v>
      </c>
      <c r="AE20" s="482" t="s">
        <v>381</v>
      </c>
      <c r="AF20" s="482" t="s">
        <v>382</v>
      </c>
      <c r="AG20" s="593" t="b">
        <f>FALSE()</f>
        <v>0</v>
      </c>
    </row>
    <row r="21" spans="1:33" ht="15" customHeight="1" x14ac:dyDescent="0.3">
      <c r="A21" s="595">
        <v>17</v>
      </c>
      <c r="B21" s="471" t="s">
        <v>124</v>
      </c>
      <c r="C21" s="594" t="s">
        <v>329</v>
      </c>
      <c r="D21" s="484" t="s">
        <v>316</v>
      </c>
      <c r="E21" s="484" t="s">
        <v>302</v>
      </c>
      <c r="F21" s="596" t="b">
        <f>TRUE()</f>
        <v>1</v>
      </c>
      <c r="G21" s="596" t="b">
        <f>FALSE()</f>
        <v>0</v>
      </c>
      <c r="H21" s="596">
        <v>0</v>
      </c>
      <c r="I21" s="596" t="s">
        <v>303</v>
      </c>
      <c r="J21" s="597">
        <v>25</v>
      </c>
      <c r="K21" s="597">
        <f t="shared" si="7"/>
        <v>25</v>
      </c>
      <c r="L21" s="598"/>
      <c r="M21" s="597">
        <f t="shared" si="1"/>
        <v>25</v>
      </c>
      <c r="N21" s="599">
        <f t="shared" si="2"/>
        <v>1</v>
      </c>
      <c r="O21" s="598">
        <f t="shared" si="3"/>
        <v>0</v>
      </c>
      <c r="P21" s="484" t="s">
        <v>194</v>
      </c>
      <c r="Q21" s="600">
        <v>6.9999999999999999E-4</v>
      </c>
      <c r="R21" s="600">
        <f t="array" ref="R21">IFERROR(_xlfn.SWITCH(P21,"1Y MCLR (RBL Bank)",MCLR_RBL_1Y+Q21,"3M MCLR (YBL)",MCLR_YBL_3M+Q21,"6M I-MCLR (ICICI)",IMCLR_ICICI_6M+Q21,"12M MCLR (SIB)",MCLR_SIB_12M+Q21,"Bajaj Floating Reference Rate (BFRR)",BFRR_Bajaj+Q21,"Term SOFR (USD)",SOFR_3M+Q21,"3M T-Bill",TBill_3M+Q21,"Repo Rate",RepoRate+Q21,"FD rate",IFERROR(FD_Rate_RBL,0)+Q21,Q21),0)</f>
        <v>9.0700000000000003E-2</v>
      </c>
      <c r="S21" s="484" t="s">
        <v>330</v>
      </c>
      <c r="T21" s="601">
        <v>0</v>
      </c>
      <c r="U21" s="596" t="s">
        <v>312</v>
      </c>
      <c r="V21" s="601">
        <v>12</v>
      </c>
      <c r="W21" s="601">
        <v>0</v>
      </c>
      <c r="X21" s="602">
        <v>46100</v>
      </c>
      <c r="Y21" s="602">
        <f t="shared" si="4"/>
        <v>46100</v>
      </c>
      <c r="Z21" s="602">
        <f t="shared" si="6"/>
        <v>46465</v>
      </c>
      <c r="AA21" s="602">
        <v>46100</v>
      </c>
      <c r="AB21" s="602">
        <v>46490</v>
      </c>
      <c r="AC21" s="484" t="s">
        <v>318</v>
      </c>
      <c r="AD21" s="484" t="s">
        <v>383</v>
      </c>
      <c r="AE21" s="484" t="s">
        <v>381</v>
      </c>
      <c r="AF21" s="484" t="s">
        <v>384</v>
      </c>
      <c r="AG21" s="603" t="b">
        <f>FALSE()</f>
        <v>0</v>
      </c>
    </row>
    <row r="22" spans="1:33" ht="15" customHeight="1" x14ac:dyDescent="0.3">
      <c r="A22" s="459">
        <v>18</v>
      </c>
      <c r="B22" s="481" t="s">
        <v>124</v>
      </c>
      <c r="C22" s="461" t="s">
        <v>385</v>
      </c>
      <c r="D22" s="461" t="s">
        <v>301</v>
      </c>
      <c r="E22" s="461" t="s">
        <v>302</v>
      </c>
      <c r="F22" s="462" t="b">
        <f>FALSE()</f>
        <v>0</v>
      </c>
      <c r="G22" s="462" t="b">
        <f>FALSE()</f>
        <v>0</v>
      </c>
      <c r="H22" s="462">
        <v>2</v>
      </c>
      <c r="I22" s="462" t="s">
        <v>303</v>
      </c>
      <c r="J22" s="463">
        <v>200</v>
      </c>
      <c r="K22" s="463">
        <f t="shared" si="7"/>
        <v>200</v>
      </c>
      <c r="L22" s="464"/>
      <c r="M22" s="463">
        <f t="shared" si="1"/>
        <v>200</v>
      </c>
      <c r="N22" s="465">
        <f t="shared" si="2"/>
        <v>1</v>
      </c>
      <c r="O22" s="464">
        <f t="shared" si="3"/>
        <v>0</v>
      </c>
      <c r="P22" s="461" t="s">
        <v>304</v>
      </c>
      <c r="Q22" s="466">
        <v>0</v>
      </c>
      <c r="R22" s="466">
        <f t="array" ref="R22">IFERROR(_xlfn.SWITCH(P22,"1Y MCLR (RBL Bank)",MCLR_RBL_1Y+Q22,"3M MCLR (YBL)",MCLR_YBL_3M+Q22,"6M I-MCLR (ICICI)",IMCLR_ICICI_6M+Q22,"12M MCLR (SIB)",MCLR_SIB_12M+Q22,"Bajaj Floating Reference Rate (BFRR)",BFRR_Bajaj+Q22,"Term SOFR (USD)",SOFR_3M+Q22,"3M T-Bill",TBill_3M+Q22,"Repo Rate",RepoRate+Q22,"FD rate",IFERROR(FD_Rate_RBL,0)+Q22,Q22),0)</f>
        <v>0</v>
      </c>
      <c r="S22" s="461" t="s">
        <v>305</v>
      </c>
      <c r="T22" s="467">
        <v>0</v>
      </c>
      <c r="U22" s="462" t="s">
        <v>306</v>
      </c>
      <c r="V22" s="467">
        <v>7</v>
      </c>
      <c r="W22" s="467">
        <v>0</v>
      </c>
      <c r="X22" s="468">
        <v>46100</v>
      </c>
      <c r="Y22" s="468">
        <f t="shared" si="4"/>
        <v>46100</v>
      </c>
      <c r="Z22" s="468">
        <f t="shared" si="6"/>
        <v>46314</v>
      </c>
      <c r="AA22" s="468">
        <v>46100</v>
      </c>
      <c r="AB22" s="468">
        <v>46472</v>
      </c>
      <c r="AC22" s="461" t="s">
        <v>386</v>
      </c>
      <c r="AD22" s="461" t="s">
        <v>383</v>
      </c>
      <c r="AE22" s="461" t="s">
        <v>381</v>
      </c>
      <c r="AF22" s="461" t="s">
        <v>387</v>
      </c>
      <c r="AG22" s="469" t="b">
        <f>TRUE()</f>
        <v>1</v>
      </c>
    </row>
    <row r="23" spans="1:33" ht="15" customHeight="1" x14ac:dyDescent="0.3">
      <c r="A23" s="595">
        <v>19</v>
      </c>
      <c r="B23" s="471" t="s">
        <v>124</v>
      </c>
      <c r="C23" s="594" t="s">
        <v>388</v>
      </c>
      <c r="D23" s="484" t="s">
        <v>301</v>
      </c>
      <c r="E23" s="484" t="s">
        <v>302</v>
      </c>
      <c r="F23" s="596" t="b">
        <f>TRUE()</f>
        <v>1</v>
      </c>
      <c r="G23" s="596" t="b">
        <f>FALSE()</f>
        <v>0</v>
      </c>
      <c r="H23" s="596">
        <v>0</v>
      </c>
      <c r="I23" s="596" t="s">
        <v>303</v>
      </c>
      <c r="J23" s="597">
        <v>200</v>
      </c>
      <c r="K23" s="597">
        <f t="shared" si="7"/>
        <v>200</v>
      </c>
      <c r="L23" s="598"/>
      <c r="M23" s="597">
        <f t="shared" si="1"/>
        <v>200</v>
      </c>
      <c r="N23" s="599">
        <f t="shared" si="2"/>
        <v>1</v>
      </c>
      <c r="O23" s="598">
        <f t="shared" si="3"/>
        <v>0</v>
      </c>
      <c r="P23" s="484" t="s">
        <v>304</v>
      </c>
      <c r="Q23" s="600">
        <v>5.0000000000000001E-3</v>
      </c>
      <c r="R23" s="600">
        <f t="array" ref="R23">IFERROR(_xlfn.SWITCH(P23,"1Y MCLR (RBL Bank)",MCLR_RBL_1Y+Q23,"3M MCLR (YBL)",MCLR_YBL_3M+Q23,"6M I-MCLR (ICICI)",IMCLR_ICICI_6M+Q23,"12M MCLR (SIB)",MCLR_SIB_12M+Q23,"Bajaj Floating Reference Rate (BFRR)",BFRR_Bajaj+Q23,"Term SOFR (USD)",SOFR_3M+Q23,"3M T-Bill",TBill_3M+Q23,"Repo Rate",RepoRate+Q23,"FD rate",IFERROR(FD_Rate_RBL,0)+Q23,Q23),0)</f>
        <v>5.0000000000000001E-3</v>
      </c>
      <c r="S23" s="484" t="s">
        <v>305</v>
      </c>
      <c r="T23" s="601">
        <v>0</v>
      </c>
      <c r="U23" s="596" t="s">
        <v>306</v>
      </c>
      <c r="V23" s="601">
        <v>6</v>
      </c>
      <c r="W23" s="601">
        <v>0</v>
      </c>
      <c r="X23" s="602">
        <v>46100</v>
      </c>
      <c r="Y23" s="602">
        <f t="shared" si="4"/>
        <v>46100</v>
      </c>
      <c r="Z23" s="602">
        <f t="shared" si="6"/>
        <v>46284</v>
      </c>
      <c r="AA23" s="602">
        <v>46100</v>
      </c>
      <c r="AB23" s="602">
        <v>46490</v>
      </c>
      <c r="AC23" s="484" t="s">
        <v>389</v>
      </c>
      <c r="AD23" s="484" t="s">
        <v>383</v>
      </c>
      <c r="AE23" s="484" t="s">
        <v>381</v>
      </c>
      <c r="AF23" s="484" t="s">
        <v>326</v>
      </c>
      <c r="AG23" s="603" t="b">
        <f>FALSE()</f>
        <v>0</v>
      </c>
    </row>
    <row r="24" spans="1:33" ht="15" customHeight="1" x14ac:dyDescent="0.3">
      <c r="A24" s="585">
        <v>20</v>
      </c>
      <c r="B24" s="460" t="s">
        <v>124</v>
      </c>
      <c r="C24" s="584" t="s">
        <v>333</v>
      </c>
      <c r="D24" s="482" t="s">
        <v>316</v>
      </c>
      <c r="E24" s="482" t="s">
        <v>302</v>
      </c>
      <c r="F24" s="586" t="b">
        <f>TRUE()</f>
        <v>1</v>
      </c>
      <c r="G24" s="586" t="b">
        <f>FALSE()</f>
        <v>0</v>
      </c>
      <c r="H24" s="586">
        <v>0</v>
      </c>
      <c r="I24" s="586" t="s">
        <v>303</v>
      </c>
      <c r="J24" s="587">
        <v>50</v>
      </c>
      <c r="K24" s="587">
        <f t="shared" si="7"/>
        <v>50</v>
      </c>
      <c r="L24" s="588"/>
      <c r="M24" s="587">
        <f t="shared" si="1"/>
        <v>50</v>
      </c>
      <c r="N24" s="589">
        <f t="shared" si="2"/>
        <v>1</v>
      </c>
      <c r="O24" s="588">
        <f t="shared" si="3"/>
        <v>0</v>
      </c>
      <c r="P24" s="482" t="s">
        <v>321</v>
      </c>
      <c r="Q24" s="590">
        <v>0</v>
      </c>
      <c r="R24" s="590">
        <f t="array" ref="R24">IFERROR(_xlfn.SWITCH(P24,"1Y MCLR (RBL Bank)",MCLR_RBL_1Y+Q24,"3M MCLR (YBL)",MCLR_YBL_3M+Q24,"6M I-MCLR (ICICI)",IMCLR_ICICI_6M+Q24,"12M MCLR (SIB)",MCLR_SIB_12M+Q24,"Bajaj Floating Reference Rate (BFRR)",BFRR_Bajaj+Q24,"Term SOFR (USD)",SOFR_3M+Q24,"3M T-Bill",TBill_3M+Q24,"Repo Rate",RepoRate+Q24,"FD rate",IFERROR(FD_Rate_RBL,0)+Q24,Q24),0)</f>
        <v>0</v>
      </c>
      <c r="S24" s="482" t="s">
        <v>322</v>
      </c>
      <c r="T24" s="591">
        <v>0</v>
      </c>
      <c r="U24" s="586" t="s">
        <v>312</v>
      </c>
      <c r="V24" s="591">
        <v>6</v>
      </c>
      <c r="W24" s="591">
        <v>0</v>
      </c>
      <c r="X24" s="592">
        <v>46100</v>
      </c>
      <c r="Y24" s="592">
        <f t="shared" si="4"/>
        <v>46100</v>
      </c>
      <c r="Z24" s="592">
        <f t="shared" si="6"/>
        <v>46284</v>
      </c>
      <c r="AA24" s="592">
        <v>46100</v>
      </c>
      <c r="AB24" s="592">
        <v>46490</v>
      </c>
      <c r="AC24" s="482" t="s">
        <v>318</v>
      </c>
      <c r="AD24" s="482" t="s">
        <v>383</v>
      </c>
      <c r="AE24" s="482" t="s">
        <v>381</v>
      </c>
      <c r="AF24" s="482" t="s">
        <v>390</v>
      </c>
      <c r="AG24" s="593" t="b">
        <f>FALSE()</f>
        <v>0</v>
      </c>
    </row>
    <row r="25" spans="1:33" ht="15" customHeight="1" x14ac:dyDescent="0.3">
      <c r="A25" s="470">
        <v>21</v>
      </c>
      <c r="B25" s="483" t="s">
        <v>124</v>
      </c>
      <c r="C25" s="472" t="s">
        <v>391</v>
      </c>
      <c r="D25" s="472" t="s">
        <v>343</v>
      </c>
      <c r="E25" s="472" t="s">
        <v>344</v>
      </c>
      <c r="F25" s="473" t="b">
        <f>FALSE()</f>
        <v>0</v>
      </c>
      <c r="G25" s="473" t="b">
        <f>FALSE()</f>
        <v>0</v>
      </c>
      <c r="H25" s="473">
        <v>1</v>
      </c>
      <c r="I25" s="473" t="s">
        <v>303</v>
      </c>
      <c r="J25" s="474">
        <v>320.7</v>
      </c>
      <c r="K25" s="474">
        <f t="shared" si="7"/>
        <v>320.7</v>
      </c>
      <c r="L25" s="475"/>
      <c r="M25" s="474">
        <f t="shared" si="1"/>
        <v>295.96119999999996</v>
      </c>
      <c r="N25" s="476">
        <f t="shared" si="2"/>
        <v>0.92285999376364192</v>
      </c>
      <c r="O25" s="475">
        <f t="shared" si="3"/>
        <v>24.738800000000026</v>
      </c>
      <c r="P25" s="472" t="s">
        <v>204</v>
      </c>
      <c r="Q25" s="477">
        <v>2.52E-2</v>
      </c>
      <c r="R25" s="477">
        <f t="array" ref="R25">IFERROR(_xlfn.SWITCH(P25,"1Y MCLR (RBL Bank)",MCLR_RBL_1Y+Q25,"3M MCLR (YBL)",MCLR_YBL_3M+Q25,"6M I-MCLR (ICICI)",IMCLR_ICICI_6M+Q25,"12M MCLR (SIB)",MCLR_SIB_12M+Q25,"Bajaj Floating Reference Rate (BFRR)",BFRR_Bajaj+Q25,"Term SOFR (USD)",SOFR_3M+Q25,"3M T-Bill",TBill_3M+Q25,"Repo Rate",RepoRate+Q25,"FD rate",IFERROR(FD_Rate_RBL,0)+Q25,Q25),0)</f>
        <v>7.6999999999999999E-2</v>
      </c>
      <c r="S25" s="472" t="s">
        <v>330</v>
      </c>
      <c r="T25" s="478">
        <v>0</v>
      </c>
      <c r="U25" s="473" t="s">
        <v>345</v>
      </c>
      <c r="V25" s="478">
        <v>146</v>
      </c>
      <c r="W25" s="478">
        <v>46</v>
      </c>
      <c r="X25" s="479">
        <v>45642</v>
      </c>
      <c r="Y25" s="479">
        <v>45838</v>
      </c>
      <c r="Z25" s="479">
        <f>YBL_TL_Maturity</f>
        <v>49948</v>
      </c>
      <c r="AA25" s="479">
        <v>45744</v>
      </c>
      <c r="AB25" s="479">
        <v>46253</v>
      </c>
      <c r="AC25" s="472" t="s">
        <v>392</v>
      </c>
      <c r="AD25" s="472" t="s">
        <v>393</v>
      </c>
      <c r="AE25" s="472" t="s">
        <v>394</v>
      </c>
      <c r="AF25" s="472" t="s">
        <v>395</v>
      </c>
      <c r="AG25" s="480" t="b">
        <f>FALSE()</f>
        <v>0</v>
      </c>
    </row>
    <row r="26" spans="1:33" ht="15" customHeight="1" x14ac:dyDescent="0.3">
      <c r="A26" s="485">
        <v>22</v>
      </c>
      <c r="B26" s="486" t="s">
        <v>127</v>
      </c>
      <c r="C26" s="487" t="s">
        <v>342</v>
      </c>
      <c r="D26" s="487" t="s">
        <v>343</v>
      </c>
      <c r="E26" s="487" t="s">
        <v>344</v>
      </c>
      <c r="F26" s="488" t="b">
        <f>FALSE()</f>
        <v>0</v>
      </c>
      <c r="G26" s="488" t="b">
        <f>FALSE()</f>
        <v>0</v>
      </c>
      <c r="H26" s="488">
        <v>1</v>
      </c>
      <c r="I26" s="488" t="s">
        <v>303</v>
      </c>
      <c r="J26" s="489">
        <v>150</v>
      </c>
      <c r="K26" s="489">
        <f t="shared" si="7"/>
        <v>150</v>
      </c>
      <c r="L26" s="490"/>
      <c r="M26" s="489">
        <f t="shared" si="1"/>
        <v>150</v>
      </c>
      <c r="N26" s="491">
        <f t="shared" si="2"/>
        <v>1</v>
      </c>
      <c r="O26" s="490">
        <f t="shared" si="3"/>
        <v>0</v>
      </c>
      <c r="P26" s="487" t="s">
        <v>200</v>
      </c>
      <c r="Q26" s="492">
        <v>1E-3</v>
      </c>
      <c r="R26" s="492">
        <f t="array" ref="R26">IFERROR(_xlfn.SWITCH(P26,"1Y MCLR (RBL Bank)",MCLR_RBL_1Y+Q26,"3M MCLR (YBL)",MCLR_YBL_3M+Q26,"6M I-MCLR (ICICI)",IMCLR_ICICI_6M+Q26,"12M MCLR (SIB)",MCLR_SIB_12M+Q26,"Bajaj Floating Reference Rate (BFRR)",BFRR_Bajaj+Q26,"Term SOFR (USD)",SOFR_3M+Q26,"3M T-Bill",TBill_3M+Q26,"Repo Rate",RepoRate+Q26,"FD rate",IFERROR(FD_Rate_RBL,0)+Q26,Q26),0)</f>
        <v>8.6000000000000007E-2</v>
      </c>
      <c r="S26" s="487" t="s">
        <v>330</v>
      </c>
      <c r="T26" s="493">
        <v>12</v>
      </c>
      <c r="U26" s="488" t="s">
        <v>345</v>
      </c>
      <c r="V26" s="493">
        <v>96</v>
      </c>
      <c r="W26" s="493">
        <v>28</v>
      </c>
      <c r="X26" s="494">
        <v>45894</v>
      </c>
      <c r="Y26" s="494">
        <v>46361</v>
      </c>
      <c r="Z26" s="494">
        <f>Bajaj_TL_Maturity</f>
        <v>48816</v>
      </c>
      <c r="AA26" s="494">
        <v>45887</v>
      </c>
      <c r="AB26" s="494">
        <v>45894</v>
      </c>
      <c r="AC26" s="487" t="s">
        <v>396</v>
      </c>
      <c r="AD26" s="487" t="s">
        <v>620</v>
      </c>
      <c r="AE26" s="487" t="s">
        <v>397</v>
      </c>
      <c r="AF26" s="487" t="s">
        <v>398</v>
      </c>
      <c r="AG26" s="495" t="b">
        <f>FALSE()</f>
        <v>0</v>
      </c>
    </row>
    <row r="27" spans="1:33" ht="15" customHeight="1" x14ac:dyDescent="0.3">
      <c r="A27" s="496">
        <v>23</v>
      </c>
      <c r="B27" s="497" t="s">
        <v>126</v>
      </c>
      <c r="C27" s="499" t="s">
        <v>329</v>
      </c>
      <c r="D27" s="499" t="s">
        <v>316</v>
      </c>
      <c r="E27" s="499" t="s">
        <v>302</v>
      </c>
      <c r="F27" s="500" t="b">
        <f>FALSE()</f>
        <v>0</v>
      </c>
      <c r="G27" s="500" t="b">
        <f>FALSE()</f>
        <v>0</v>
      </c>
      <c r="H27" s="500">
        <v>1</v>
      </c>
      <c r="I27" s="500" t="s">
        <v>303</v>
      </c>
      <c r="J27" s="501">
        <v>50</v>
      </c>
      <c r="K27" s="501">
        <f t="shared" si="7"/>
        <v>50</v>
      </c>
      <c r="L27" s="502"/>
      <c r="M27" s="501">
        <f t="shared" si="1"/>
        <v>50</v>
      </c>
      <c r="N27" s="503">
        <f t="shared" si="2"/>
        <v>1</v>
      </c>
      <c r="O27" s="502">
        <f t="shared" si="3"/>
        <v>0</v>
      </c>
      <c r="P27" s="499" t="s">
        <v>196</v>
      </c>
      <c r="Q27" s="504">
        <v>4.4999999999999997E-3</v>
      </c>
      <c r="R27" s="504">
        <f t="array" ref="R27">IFERROR(_xlfn.SWITCH(P27,"1Y MCLR (RBL Bank)",MCLR_RBL_1Y+Q27,"3M MCLR (YBL)",MCLR_YBL_3M+Q27,"6M I-MCLR (ICICI)",IMCLR_ICICI_6M+Q27,"12M MCLR (SIB)",MCLR_SIB_12M+Q27,"Bajaj Floating Reference Rate (BFRR)",BFRR_Bajaj+Q27,"Term SOFR (USD)",SOFR_3M+Q27,"3M T-Bill",TBill_3M+Q27,"Repo Rate",RepoRate+Q27,"FD rate",IFERROR(FD_Rate_RBL,0)+Q27,Q27),0)</f>
        <v>8.7500000000000008E-2</v>
      </c>
      <c r="S27" s="499" t="s">
        <v>330</v>
      </c>
      <c r="T27" s="505">
        <v>0</v>
      </c>
      <c r="U27" s="500" t="s">
        <v>312</v>
      </c>
      <c r="V27" s="505">
        <v>12</v>
      </c>
      <c r="W27" s="505">
        <v>0</v>
      </c>
      <c r="X27" s="506">
        <v>45916</v>
      </c>
      <c r="Y27" s="506">
        <f t="shared" ref="Y27:Y38" si="8">IFERROR(EDATE(X27,T27),"")</f>
        <v>45916</v>
      </c>
      <c r="Z27" s="506">
        <f t="shared" ref="Z27:Z38" si="9">IFERROR(EDATE(X27,V27),"")</f>
        <v>46281</v>
      </c>
      <c r="AA27" s="506">
        <v>45916</v>
      </c>
      <c r="AB27" s="506">
        <v>46268</v>
      </c>
      <c r="AC27" s="499" t="s">
        <v>318</v>
      </c>
      <c r="AD27" s="499" t="s">
        <v>399</v>
      </c>
      <c r="AE27" s="499" t="s">
        <v>400</v>
      </c>
      <c r="AF27" s="499" t="s">
        <v>401</v>
      </c>
      <c r="AG27" s="507" t="b">
        <f>FALSE()</f>
        <v>0</v>
      </c>
    </row>
    <row r="28" spans="1:33" ht="15" customHeight="1" x14ac:dyDescent="0.3">
      <c r="A28" s="605">
        <v>24</v>
      </c>
      <c r="B28" s="508" t="s">
        <v>126</v>
      </c>
      <c r="C28" s="604" t="s">
        <v>333</v>
      </c>
      <c r="D28" s="606" t="s">
        <v>316</v>
      </c>
      <c r="E28" s="606" t="s">
        <v>302</v>
      </c>
      <c r="F28" s="607" t="b">
        <f>TRUE()</f>
        <v>1</v>
      </c>
      <c r="G28" s="607" t="b">
        <f>FALSE()</f>
        <v>0</v>
      </c>
      <c r="H28" s="607">
        <v>0</v>
      </c>
      <c r="I28" s="607" t="s">
        <v>303</v>
      </c>
      <c r="J28" s="608">
        <v>50</v>
      </c>
      <c r="K28" s="608">
        <f t="shared" si="7"/>
        <v>50</v>
      </c>
      <c r="L28" s="609"/>
      <c r="M28" s="608">
        <f t="shared" si="1"/>
        <v>50</v>
      </c>
      <c r="N28" s="610">
        <f t="shared" si="2"/>
        <v>1</v>
      </c>
      <c r="O28" s="609">
        <f t="shared" si="3"/>
        <v>0</v>
      </c>
      <c r="P28" s="606" t="s">
        <v>206</v>
      </c>
      <c r="Q28" s="611">
        <v>0</v>
      </c>
      <c r="R28" s="611">
        <f t="array" ref="R28">IFERROR(_xlfn.SWITCH(P28,"1Y MCLR (RBL Bank)",MCLR_RBL_1Y+Q28,"3M MCLR (YBL)",MCLR_YBL_3M+Q28,"6M I-MCLR (ICICI)",IMCLR_ICICI_6M+Q28,"12M MCLR (SIB)",MCLR_SIB_12M+Q28,"Bajaj Floating Reference Rate (BFRR)",BFRR_Bajaj+Q28,"Term SOFR (USD)",SOFR_3M+Q28,"3M T-Bill",TBill_3M+Q28,"Repo Rate",RepoRate+Q28,"FD rate",IFERROR(FD_Rate_RBL,0)+Q28,Q28),0)</f>
        <v>5.2499999999999998E-2</v>
      </c>
      <c r="S28" s="606" t="s">
        <v>330</v>
      </c>
      <c r="T28" s="612">
        <v>0</v>
      </c>
      <c r="U28" s="607" t="s">
        <v>306</v>
      </c>
      <c r="V28" s="612">
        <v>3</v>
      </c>
      <c r="W28" s="612">
        <v>0</v>
      </c>
      <c r="X28" s="613">
        <v>45972</v>
      </c>
      <c r="Y28" s="613">
        <f t="shared" si="8"/>
        <v>45972</v>
      </c>
      <c r="Z28" s="613">
        <f t="shared" si="9"/>
        <v>46064</v>
      </c>
      <c r="AA28" s="613">
        <v>45972</v>
      </c>
      <c r="AB28" s="613">
        <v>46268</v>
      </c>
      <c r="AC28" s="606" t="s">
        <v>402</v>
      </c>
      <c r="AD28" s="606" t="s">
        <v>399</v>
      </c>
      <c r="AE28" s="606" t="s">
        <v>403</v>
      </c>
      <c r="AF28" s="606" t="s">
        <v>404</v>
      </c>
      <c r="AG28" s="614" t="b">
        <f>FALSE()</f>
        <v>0</v>
      </c>
    </row>
    <row r="29" spans="1:33" ht="15" customHeight="1" x14ac:dyDescent="0.3">
      <c r="A29" s="496">
        <v>25</v>
      </c>
      <c r="B29" s="497" t="s">
        <v>126</v>
      </c>
      <c r="C29" s="499" t="s">
        <v>405</v>
      </c>
      <c r="D29" s="499" t="s">
        <v>301</v>
      </c>
      <c r="E29" s="499" t="s">
        <v>302</v>
      </c>
      <c r="F29" s="500" t="b">
        <f>FALSE()</f>
        <v>0</v>
      </c>
      <c r="G29" s="500" t="b">
        <f>FALSE()</f>
        <v>0</v>
      </c>
      <c r="H29" s="500">
        <v>2</v>
      </c>
      <c r="I29" s="500" t="s">
        <v>303</v>
      </c>
      <c r="J29" s="501">
        <v>150</v>
      </c>
      <c r="K29" s="501">
        <f t="shared" si="7"/>
        <v>150</v>
      </c>
      <c r="L29" s="502"/>
      <c r="M29" s="501">
        <f t="shared" si="1"/>
        <v>150</v>
      </c>
      <c r="N29" s="503">
        <f t="shared" si="2"/>
        <v>1</v>
      </c>
      <c r="O29" s="502">
        <f t="shared" si="3"/>
        <v>0</v>
      </c>
      <c r="P29" s="499" t="s">
        <v>304</v>
      </c>
      <c r="Q29" s="504">
        <v>5.0000000000000001E-3</v>
      </c>
      <c r="R29" s="504">
        <f t="array" ref="R29">IFERROR(_xlfn.SWITCH(P29,"1Y MCLR (RBL Bank)",MCLR_RBL_1Y+Q29,"3M MCLR (YBL)",MCLR_YBL_3M+Q29,"6M I-MCLR (ICICI)",IMCLR_ICICI_6M+Q29,"12M MCLR (SIB)",MCLR_SIB_12M+Q29,"Bajaj Floating Reference Rate (BFRR)",BFRR_Bajaj+Q29,"Term SOFR (USD)",SOFR_3M+Q29,"3M T-Bill",TBill_3M+Q29,"Repo Rate",RepoRate+Q29,"FD rate",IFERROR(FD_Rate_RBL,0)+Q29,Q29),0)</f>
        <v>5.0000000000000001E-3</v>
      </c>
      <c r="S29" s="499" t="s">
        <v>305</v>
      </c>
      <c r="T29" s="505">
        <v>0</v>
      </c>
      <c r="U29" s="500" t="s">
        <v>306</v>
      </c>
      <c r="V29" s="505">
        <v>5</v>
      </c>
      <c r="W29" s="505">
        <v>0</v>
      </c>
      <c r="X29" s="506">
        <v>45916</v>
      </c>
      <c r="Y29" s="506">
        <f t="shared" si="8"/>
        <v>45916</v>
      </c>
      <c r="Z29" s="506">
        <f t="shared" si="9"/>
        <v>46069</v>
      </c>
      <c r="AA29" s="506">
        <v>45916</v>
      </c>
      <c r="AB29" s="506">
        <v>46268</v>
      </c>
      <c r="AC29" s="499" t="s">
        <v>406</v>
      </c>
      <c r="AD29" s="499" t="s">
        <v>399</v>
      </c>
      <c r="AE29" s="499" t="s">
        <v>400</v>
      </c>
      <c r="AF29" s="499" t="s">
        <v>407</v>
      </c>
      <c r="AG29" s="507" t="b">
        <f>TRUE()</f>
        <v>1</v>
      </c>
    </row>
    <row r="30" spans="1:33" ht="15" customHeight="1" x14ac:dyDescent="0.3">
      <c r="A30" s="605">
        <v>26</v>
      </c>
      <c r="B30" s="508" t="s">
        <v>126</v>
      </c>
      <c r="C30" s="604" t="s">
        <v>408</v>
      </c>
      <c r="D30" s="606" t="s">
        <v>301</v>
      </c>
      <c r="E30" s="606" t="s">
        <v>302</v>
      </c>
      <c r="F30" s="607" t="b">
        <f>TRUE()</f>
        <v>1</v>
      </c>
      <c r="G30" s="607" t="b">
        <f>FALSE()</f>
        <v>0</v>
      </c>
      <c r="H30" s="607">
        <v>0</v>
      </c>
      <c r="I30" s="607" t="s">
        <v>303</v>
      </c>
      <c r="J30" s="608">
        <v>150</v>
      </c>
      <c r="K30" s="608">
        <f t="shared" si="7"/>
        <v>150</v>
      </c>
      <c r="L30" s="609"/>
      <c r="M30" s="608">
        <f t="shared" si="1"/>
        <v>150</v>
      </c>
      <c r="N30" s="610">
        <f t="shared" si="2"/>
        <v>1</v>
      </c>
      <c r="O30" s="609">
        <f t="shared" si="3"/>
        <v>0</v>
      </c>
      <c r="P30" s="606" t="s">
        <v>304</v>
      </c>
      <c r="Q30" s="611">
        <v>5.0000000000000001E-3</v>
      </c>
      <c r="R30" s="611">
        <f t="array" ref="R30">IFERROR(_xlfn.SWITCH(P30,"1Y MCLR (RBL Bank)",MCLR_RBL_1Y+Q30,"3M MCLR (YBL)",MCLR_YBL_3M+Q30,"6M I-MCLR (ICICI)",IMCLR_ICICI_6M+Q30,"12M MCLR (SIB)",MCLR_SIB_12M+Q30,"Bajaj Floating Reference Rate (BFRR)",BFRR_Bajaj+Q30,"Term SOFR (USD)",SOFR_3M+Q30,"3M T-Bill",TBill_3M+Q30,"Repo Rate",RepoRate+Q30,"FD rate",IFERROR(FD_Rate_RBL,0)+Q30,Q30),0)</f>
        <v>5.0000000000000001E-3</v>
      </c>
      <c r="S30" s="606" t="s">
        <v>305</v>
      </c>
      <c r="T30" s="612">
        <v>0</v>
      </c>
      <c r="U30" s="607" t="s">
        <v>306</v>
      </c>
      <c r="V30" s="612">
        <v>5</v>
      </c>
      <c r="W30" s="612">
        <v>0</v>
      </c>
      <c r="X30" s="613">
        <v>45916</v>
      </c>
      <c r="Y30" s="613">
        <f t="shared" si="8"/>
        <v>45916</v>
      </c>
      <c r="Z30" s="613">
        <f t="shared" si="9"/>
        <v>46069</v>
      </c>
      <c r="AA30" s="613">
        <v>45916</v>
      </c>
      <c r="AB30" s="613">
        <v>46268</v>
      </c>
      <c r="AC30" s="606" t="s">
        <v>409</v>
      </c>
      <c r="AD30" s="606" t="s">
        <v>399</v>
      </c>
      <c r="AE30" s="606" t="s">
        <v>400</v>
      </c>
      <c r="AF30" s="606" t="s">
        <v>410</v>
      </c>
      <c r="AG30" s="614" t="b">
        <f>FALSE()</f>
        <v>0</v>
      </c>
    </row>
    <row r="31" spans="1:33" ht="15" customHeight="1" x14ac:dyDescent="0.3">
      <c r="A31" s="616">
        <v>27</v>
      </c>
      <c r="B31" s="509" t="s">
        <v>126</v>
      </c>
      <c r="C31" s="615" t="s">
        <v>411</v>
      </c>
      <c r="D31" s="498" t="s">
        <v>301</v>
      </c>
      <c r="E31" s="498" t="s">
        <v>302</v>
      </c>
      <c r="F31" s="617" t="b">
        <f>TRUE()</f>
        <v>1</v>
      </c>
      <c r="G31" s="617" t="b">
        <f>FALSE()</f>
        <v>0</v>
      </c>
      <c r="H31" s="617">
        <v>0</v>
      </c>
      <c r="I31" s="617" t="s">
        <v>303</v>
      </c>
      <c r="J31" s="618">
        <v>25</v>
      </c>
      <c r="K31" s="618">
        <f t="shared" si="7"/>
        <v>25</v>
      </c>
      <c r="L31" s="619"/>
      <c r="M31" s="618">
        <f t="shared" si="1"/>
        <v>25</v>
      </c>
      <c r="N31" s="620">
        <f t="shared" si="2"/>
        <v>1</v>
      </c>
      <c r="O31" s="619">
        <f t="shared" si="3"/>
        <v>0</v>
      </c>
      <c r="P31" s="498" t="s">
        <v>304</v>
      </c>
      <c r="Q31" s="621">
        <v>5.0000000000000001E-3</v>
      </c>
      <c r="R31" s="621">
        <f t="array" ref="R31">IFERROR(_xlfn.SWITCH(P31,"1Y MCLR (RBL Bank)",MCLR_RBL_1Y+Q31,"3M MCLR (YBL)",MCLR_YBL_3M+Q31,"6M I-MCLR (ICICI)",IMCLR_ICICI_6M+Q31,"12M MCLR (SIB)",MCLR_SIB_12M+Q31,"Bajaj Floating Reference Rate (BFRR)",BFRR_Bajaj+Q31,"Term SOFR (USD)",SOFR_3M+Q31,"3M T-Bill",TBill_3M+Q31,"Repo Rate",RepoRate+Q31,"FD rate",IFERROR(FD_Rate_RBL,0)+Q31,Q31),0)</f>
        <v>5.0000000000000001E-3</v>
      </c>
      <c r="S31" s="498" t="s">
        <v>305</v>
      </c>
      <c r="T31" s="622">
        <v>0</v>
      </c>
      <c r="U31" s="617" t="s">
        <v>306</v>
      </c>
      <c r="V31" s="622">
        <v>36</v>
      </c>
      <c r="W31" s="622">
        <v>0</v>
      </c>
      <c r="X31" s="623">
        <v>45916</v>
      </c>
      <c r="Y31" s="623">
        <f t="shared" si="8"/>
        <v>45916</v>
      </c>
      <c r="Z31" s="623">
        <f t="shared" si="9"/>
        <v>47012</v>
      </c>
      <c r="AA31" s="623">
        <v>45916</v>
      </c>
      <c r="AB31" s="623">
        <v>46268</v>
      </c>
      <c r="AC31" s="498" t="s">
        <v>412</v>
      </c>
      <c r="AD31" s="498" t="s">
        <v>399</v>
      </c>
      <c r="AE31" s="498" t="s">
        <v>400</v>
      </c>
      <c r="AF31" s="498" t="s">
        <v>410</v>
      </c>
      <c r="AG31" s="624" t="b">
        <f>FALSE()</f>
        <v>0</v>
      </c>
    </row>
    <row r="32" spans="1:33" ht="15" customHeight="1" x14ac:dyDescent="0.3">
      <c r="A32" s="605">
        <v>28</v>
      </c>
      <c r="B32" s="508" t="s">
        <v>126</v>
      </c>
      <c r="C32" s="604" t="s">
        <v>413</v>
      </c>
      <c r="D32" s="606" t="s">
        <v>301</v>
      </c>
      <c r="E32" s="606" t="s">
        <v>302</v>
      </c>
      <c r="F32" s="607" t="b">
        <f>TRUE()</f>
        <v>1</v>
      </c>
      <c r="G32" s="607" t="b">
        <f>FALSE()</f>
        <v>0</v>
      </c>
      <c r="H32" s="607">
        <v>0</v>
      </c>
      <c r="I32" s="607" t="s">
        <v>303</v>
      </c>
      <c r="J32" s="608">
        <v>5</v>
      </c>
      <c r="K32" s="608">
        <f t="shared" si="7"/>
        <v>5</v>
      </c>
      <c r="L32" s="609"/>
      <c r="M32" s="608">
        <f t="shared" si="1"/>
        <v>5</v>
      </c>
      <c r="N32" s="610">
        <f t="shared" si="2"/>
        <v>1</v>
      </c>
      <c r="O32" s="609">
        <f t="shared" si="3"/>
        <v>0</v>
      </c>
      <c r="P32" s="606" t="s">
        <v>304</v>
      </c>
      <c r="Q32" s="611">
        <v>6.0000000000000001E-3</v>
      </c>
      <c r="R32" s="611">
        <f t="array" ref="R32">IFERROR(_xlfn.SWITCH(P32,"1Y MCLR (RBL Bank)",MCLR_RBL_1Y+Q32,"3M MCLR (YBL)",MCLR_YBL_3M+Q32,"6M I-MCLR (ICICI)",IMCLR_ICICI_6M+Q32,"12M MCLR (SIB)",MCLR_SIB_12M+Q32,"Bajaj Floating Reference Rate (BFRR)",BFRR_Bajaj+Q32,"Term SOFR (USD)",SOFR_3M+Q32,"3M T-Bill",TBill_3M+Q32,"Repo Rate",RepoRate+Q32,"FD rate",IFERROR(FD_Rate_RBL,0)+Q32,Q32),0)</f>
        <v>6.0000000000000001E-3</v>
      </c>
      <c r="S32" s="606" t="s">
        <v>305</v>
      </c>
      <c r="T32" s="612">
        <v>0</v>
      </c>
      <c r="U32" s="607" t="s">
        <v>306</v>
      </c>
      <c r="V32" s="612">
        <v>36</v>
      </c>
      <c r="W32" s="612">
        <v>0</v>
      </c>
      <c r="X32" s="613">
        <v>45916</v>
      </c>
      <c r="Y32" s="613">
        <f t="shared" si="8"/>
        <v>45916</v>
      </c>
      <c r="Z32" s="613">
        <f t="shared" si="9"/>
        <v>47012</v>
      </c>
      <c r="AA32" s="613">
        <v>45916</v>
      </c>
      <c r="AB32" s="613">
        <v>46268</v>
      </c>
      <c r="AC32" s="606" t="s">
        <v>414</v>
      </c>
      <c r="AD32" s="606" t="s">
        <v>399</v>
      </c>
      <c r="AE32" s="606" t="s">
        <v>400</v>
      </c>
      <c r="AF32" s="606" t="s">
        <v>410</v>
      </c>
      <c r="AG32" s="614" t="b">
        <f>FALSE()</f>
        <v>0</v>
      </c>
    </row>
    <row r="33" spans="1:33" ht="15" customHeight="1" x14ac:dyDescent="0.3">
      <c r="A33" s="626">
        <v>29</v>
      </c>
      <c r="B33" s="511" t="s">
        <v>128</v>
      </c>
      <c r="C33" s="625" t="s">
        <v>415</v>
      </c>
      <c r="D33" s="523" t="s">
        <v>316</v>
      </c>
      <c r="E33" s="523" t="s">
        <v>302</v>
      </c>
      <c r="F33" s="627" t="b">
        <f>TRUE()</f>
        <v>1</v>
      </c>
      <c r="G33" s="627" t="b">
        <f>FALSE()</f>
        <v>0</v>
      </c>
      <c r="H33" s="627">
        <v>0</v>
      </c>
      <c r="I33" s="627" t="s">
        <v>303</v>
      </c>
      <c r="J33" s="628">
        <v>50</v>
      </c>
      <c r="K33" s="628">
        <f t="shared" si="7"/>
        <v>50</v>
      </c>
      <c r="L33" s="629"/>
      <c r="M33" s="628">
        <f t="shared" si="1"/>
        <v>50</v>
      </c>
      <c r="N33" s="630">
        <f t="shared" si="2"/>
        <v>1</v>
      </c>
      <c r="O33" s="629">
        <f t="shared" si="3"/>
        <v>0</v>
      </c>
      <c r="P33" s="523" t="s">
        <v>198</v>
      </c>
      <c r="Q33" s="631">
        <v>4.4999999999999997E-3</v>
      </c>
      <c r="R33" s="631">
        <f t="array" ref="R33">IFERROR(_xlfn.SWITCH(P33,"1Y MCLR (RBL Bank)",MCLR_RBL_1Y+Q33,"3M MCLR (YBL)",MCLR_YBL_3M+Q33,"6M I-MCLR (ICICI)",IMCLR_ICICI_6M+Q33,"12M MCLR (SIB)",MCLR_SIB_12M+Q33,"Bajaj Floating Reference Rate (BFRR)",BFRR_Bajaj+Q33,"Term SOFR (USD)",SOFR_3M+Q33,"3M T-Bill",TBill_3M+Q33,"Repo Rate",RepoRate+Q33,"FD rate",IFERROR(FD_Rate_RBL,0)+Q33,Q33),0)</f>
        <v>0.10200000000000001</v>
      </c>
      <c r="S33" s="523" t="s">
        <v>330</v>
      </c>
      <c r="T33" s="632">
        <v>0</v>
      </c>
      <c r="U33" s="627" t="s">
        <v>312</v>
      </c>
      <c r="V33" s="632">
        <v>12</v>
      </c>
      <c r="W33" s="632">
        <v>0</v>
      </c>
      <c r="X33" s="633">
        <v>45829</v>
      </c>
      <c r="Y33" s="633">
        <f t="shared" si="8"/>
        <v>45829</v>
      </c>
      <c r="Z33" s="633">
        <f t="shared" si="9"/>
        <v>46194</v>
      </c>
      <c r="AA33" s="633">
        <v>45829</v>
      </c>
      <c r="AB33" s="633">
        <v>46194</v>
      </c>
      <c r="AC33" s="523" t="s">
        <v>416</v>
      </c>
      <c r="AD33" s="523" t="s">
        <v>399</v>
      </c>
      <c r="AE33" s="523" t="s">
        <v>417</v>
      </c>
      <c r="AF33" s="523" t="s">
        <v>418</v>
      </c>
      <c r="AG33" s="634" t="b">
        <f>FALSE()</f>
        <v>0</v>
      </c>
    </row>
    <row r="34" spans="1:33" ht="15" customHeight="1" x14ac:dyDescent="0.3">
      <c r="A34" s="636">
        <v>30</v>
      </c>
      <c r="B34" s="521" t="s">
        <v>128</v>
      </c>
      <c r="C34" s="635" t="s">
        <v>419</v>
      </c>
      <c r="D34" s="637" t="s">
        <v>316</v>
      </c>
      <c r="E34" s="637" t="s">
        <v>302</v>
      </c>
      <c r="F34" s="638" t="b">
        <f>TRUE()</f>
        <v>1</v>
      </c>
      <c r="G34" s="638" t="b">
        <f>FALSE()</f>
        <v>0</v>
      </c>
      <c r="H34" s="638">
        <v>0</v>
      </c>
      <c r="I34" s="638" t="s">
        <v>303</v>
      </c>
      <c r="J34" s="639">
        <v>50</v>
      </c>
      <c r="K34" s="639">
        <f t="shared" si="7"/>
        <v>50</v>
      </c>
      <c r="L34" s="640"/>
      <c r="M34" s="639">
        <f t="shared" si="1"/>
        <v>50</v>
      </c>
      <c r="N34" s="641">
        <f t="shared" si="2"/>
        <v>1</v>
      </c>
      <c r="O34" s="640">
        <f t="shared" si="3"/>
        <v>0</v>
      </c>
      <c r="P34" s="637" t="s">
        <v>321</v>
      </c>
      <c r="Q34" s="642">
        <v>0</v>
      </c>
      <c r="R34" s="642">
        <f t="array" ref="R34">IFERROR(_xlfn.SWITCH(P34,"1Y MCLR (RBL Bank)",MCLR_RBL_1Y+Q34,"3M MCLR (YBL)",MCLR_YBL_3M+Q34,"6M I-MCLR (ICICI)",IMCLR_ICICI_6M+Q34,"12M MCLR (SIB)",MCLR_SIB_12M+Q34,"Bajaj Floating Reference Rate (BFRR)",BFRR_Bajaj+Q34,"Term SOFR (USD)",SOFR_3M+Q34,"3M T-Bill",TBill_3M+Q34,"Repo Rate",RepoRate+Q34,"FD rate",IFERROR(FD_Rate_RBL,0)+Q34,Q34),0)</f>
        <v>0</v>
      </c>
      <c r="S34" s="637" t="s">
        <v>322</v>
      </c>
      <c r="T34" s="643">
        <v>0</v>
      </c>
      <c r="U34" s="638" t="s">
        <v>306</v>
      </c>
      <c r="V34" s="643">
        <v>12</v>
      </c>
      <c r="W34" s="643">
        <v>0</v>
      </c>
      <c r="X34" s="644">
        <v>45829</v>
      </c>
      <c r="Y34" s="644">
        <f t="shared" si="8"/>
        <v>45829</v>
      </c>
      <c r="Z34" s="644">
        <f t="shared" si="9"/>
        <v>46194</v>
      </c>
      <c r="AA34" s="644">
        <v>45829</v>
      </c>
      <c r="AB34" s="644">
        <v>46194</v>
      </c>
      <c r="AC34" s="637" t="s">
        <v>402</v>
      </c>
      <c r="AD34" s="637" t="s">
        <v>399</v>
      </c>
      <c r="AE34" s="637" t="s">
        <v>417</v>
      </c>
      <c r="AF34" s="637" t="s">
        <v>420</v>
      </c>
      <c r="AG34" s="645" t="b">
        <f>FALSE()</f>
        <v>0</v>
      </c>
    </row>
    <row r="35" spans="1:33" ht="15" customHeight="1" x14ac:dyDescent="0.3">
      <c r="A35" s="510">
        <v>31</v>
      </c>
      <c r="B35" s="522" t="s">
        <v>128</v>
      </c>
      <c r="C35" s="512" t="s">
        <v>421</v>
      </c>
      <c r="D35" s="512" t="s">
        <v>301</v>
      </c>
      <c r="E35" s="512" t="s">
        <v>302</v>
      </c>
      <c r="F35" s="513" t="b">
        <f>FALSE()</f>
        <v>0</v>
      </c>
      <c r="G35" s="513" t="b">
        <f>FALSE()</f>
        <v>0</v>
      </c>
      <c r="H35" s="513">
        <v>2</v>
      </c>
      <c r="I35" s="513" t="s">
        <v>303</v>
      </c>
      <c r="J35" s="514">
        <v>150</v>
      </c>
      <c r="K35" s="514">
        <f t="shared" si="7"/>
        <v>150</v>
      </c>
      <c r="L35" s="515"/>
      <c r="M35" s="514">
        <f t="shared" si="1"/>
        <v>150</v>
      </c>
      <c r="N35" s="516">
        <f t="shared" si="2"/>
        <v>1</v>
      </c>
      <c r="O35" s="515">
        <f t="shared" si="3"/>
        <v>0</v>
      </c>
      <c r="P35" s="512" t="s">
        <v>304</v>
      </c>
      <c r="Q35" s="517">
        <v>6.4999999999999997E-3</v>
      </c>
      <c r="R35" s="517">
        <f t="array" ref="R35">IFERROR(_xlfn.SWITCH(P35,"1Y MCLR (RBL Bank)",MCLR_RBL_1Y+Q35,"3M MCLR (YBL)",MCLR_YBL_3M+Q35,"6M I-MCLR (ICICI)",IMCLR_ICICI_6M+Q35,"12M MCLR (SIB)",MCLR_SIB_12M+Q35,"Bajaj Floating Reference Rate (BFRR)",BFRR_Bajaj+Q35,"Term SOFR (USD)",SOFR_3M+Q35,"3M T-Bill",TBill_3M+Q35,"Repo Rate",RepoRate+Q35,"FD rate",IFERROR(FD_Rate_RBL,0)+Q35,Q35),0)</f>
        <v>6.4999999999999997E-3</v>
      </c>
      <c r="S35" s="512" t="s">
        <v>305</v>
      </c>
      <c r="T35" s="518">
        <v>0</v>
      </c>
      <c r="U35" s="513" t="s">
        <v>306</v>
      </c>
      <c r="V35" s="518">
        <v>6</v>
      </c>
      <c r="W35" s="518">
        <v>0</v>
      </c>
      <c r="X35" s="519">
        <v>45829</v>
      </c>
      <c r="Y35" s="519">
        <f t="shared" si="8"/>
        <v>45829</v>
      </c>
      <c r="Z35" s="519">
        <f t="shared" si="9"/>
        <v>46012</v>
      </c>
      <c r="AA35" s="519">
        <v>45829</v>
      </c>
      <c r="AB35" s="519">
        <v>46194</v>
      </c>
      <c r="AC35" s="512" t="s">
        <v>422</v>
      </c>
      <c r="AD35" s="512" t="s">
        <v>399</v>
      </c>
      <c r="AE35" s="512" t="s">
        <v>417</v>
      </c>
      <c r="AF35" s="512" t="s">
        <v>423</v>
      </c>
      <c r="AG35" s="520" t="b">
        <f>TRUE()</f>
        <v>1</v>
      </c>
    </row>
    <row r="36" spans="1:33" ht="15" customHeight="1" x14ac:dyDescent="0.3">
      <c r="A36" s="646">
        <v>32</v>
      </c>
      <c r="B36" s="647" t="s">
        <v>128</v>
      </c>
      <c r="C36" s="648" t="s">
        <v>353</v>
      </c>
      <c r="D36" s="649" t="s">
        <v>301</v>
      </c>
      <c r="E36" s="649" t="s">
        <v>302</v>
      </c>
      <c r="F36" s="650" t="b">
        <f>TRUE()</f>
        <v>1</v>
      </c>
      <c r="G36" s="650" t="b">
        <f>FALSE()</f>
        <v>0</v>
      </c>
      <c r="H36" s="650">
        <v>0</v>
      </c>
      <c r="I36" s="650" t="s">
        <v>303</v>
      </c>
      <c r="J36" s="651">
        <v>50</v>
      </c>
      <c r="K36" s="651">
        <f t="shared" si="7"/>
        <v>50</v>
      </c>
      <c r="L36" s="652"/>
      <c r="M36" s="651">
        <f t="shared" si="1"/>
        <v>50</v>
      </c>
      <c r="N36" s="653">
        <f t="shared" si="2"/>
        <v>1</v>
      </c>
      <c r="O36" s="652">
        <f t="shared" si="3"/>
        <v>0</v>
      </c>
      <c r="P36" s="649" t="s">
        <v>304</v>
      </c>
      <c r="Q36" s="654">
        <v>7.4999999999999997E-3</v>
      </c>
      <c r="R36" s="654">
        <f t="array" ref="R36">IFERROR(_xlfn.SWITCH(P36,"1Y MCLR (RBL Bank)",MCLR_RBL_1Y+Q36,"3M MCLR (YBL)",MCLR_YBL_3M+Q36,"6M I-MCLR (ICICI)",IMCLR_ICICI_6M+Q36,"12M MCLR (SIB)",MCLR_SIB_12M+Q36,"Bajaj Floating Reference Rate (BFRR)",BFRR_Bajaj+Q36,"Term SOFR (USD)",SOFR_3M+Q36,"3M T-Bill",TBill_3M+Q36,"Repo Rate",RepoRate+Q36,"FD rate",IFERROR(FD_Rate_RBL,0)+Q36,Q36),0)</f>
        <v>7.4999999999999997E-3</v>
      </c>
      <c r="S36" s="649" t="s">
        <v>305</v>
      </c>
      <c r="T36" s="655">
        <v>0</v>
      </c>
      <c r="U36" s="650" t="s">
        <v>306</v>
      </c>
      <c r="V36" s="655">
        <v>12</v>
      </c>
      <c r="W36" s="655">
        <v>0</v>
      </c>
      <c r="X36" s="656">
        <v>45829</v>
      </c>
      <c r="Y36" s="656">
        <f t="shared" si="8"/>
        <v>45829</v>
      </c>
      <c r="Z36" s="656">
        <f t="shared" si="9"/>
        <v>46194</v>
      </c>
      <c r="AA36" s="656">
        <v>45829</v>
      </c>
      <c r="AB36" s="656">
        <v>46194</v>
      </c>
      <c r="AC36" s="649" t="s">
        <v>424</v>
      </c>
      <c r="AD36" s="649" t="s">
        <v>399</v>
      </c>
      <c r="AE36" s="649" t="s">
        <v>417</v>
      </c>
      <c r="AF36" s="649" t="s">
        <v>425</v>
      </c>
      <c r="AG36" s="657" t="b">
        <f>FALSE()</f>
        <v>0</v>
      </c>
    </row>
    <row r="37" spans="1:33" ht="15" customHeight="1" thickBot="1" x14ac:dyDescent="0.35">
      <c r="A37" s="658">
        <v>33</v>
      </c>
      <c r="B37" s="659" t="s">
        <v>128</v>
      </c>
      <c r="C37" s="660" t="s">
        <v>320</v>
      </c>
      <c r="D37" s="661" t="s">
        <v>301</v>
      </c>
      <c r="E37" s="661" t="s">
        <v>302</v>
      </c>
      <c r="F37" s="662" t="b">
        <f>TRUE()</f>
        <v>1</v>
      </c>
      <c r="G37" s="662" t="b">
        <f>FALSE()</f>
        <v>0</v>
      </c>
      <c r="H37" s="662">
        <v>0</v>
      </c>
      <c r="I37" s="662" t="s">
        <v>303</v>
      </c>
      <c r="J37" s="663">
        <v>150</v>
      </c>
      <c r="K37" s="663">
        <f t="shared" si="7"/>
        <v>150</v>
      </c>
      <c r="L37" s="664"/>
      <c r="M37" s="663">
        <f t="shared" si="1"/>
        <v>150</v>
      </c>
      <c r="N37" s="665">
        <f t="shared" si="2"/>
        <v>1</v>
      </c>
      <c r="O37" s="664">
        <f t="shared" si="3"/>
        <v>0</v>
      </c>
      <c r="P37" s="661" t="s">
        <v>304</v>
      </c>
      <c r="Q37" s="666">
        <v>6.4999999999999997E-3</v>
      </c>
      <c r="R37" s="666">
        <f t="array" ref="R37">IFERROR(_xlfn.SWITCH(P37,"1Y MCLR (RBL Bank)",MCLR_RBL_1Y+Q37,"3M MCLR (YBL)",MCLR_YBL_3M+Q37,"6M I-MCLR (ICICI)",IMCLR_ICICI_6M+Q37,"12M MCLR (SIB)",MCLR_SIB_12M+Q37,"Bajaj Floating Reference Rate (BFRR)",BFRR_Bajaj+Q37,"Term SOFR (USD)",SOFR_3M+Q37,"3M T-Bill",TBill_3M+Q37,"Repo Rate",RepoRate+Q37,"FD rate",IFERROR(FD_Rate_RBL,0)+Q37,Q37),0)</f>
        <v>6.4999999999999997E-3</v>
      </c>
      <c r="S37" s="661" t="s">
        <v>305</v>
      </c>
      <c r="T37" s="667">
        <v>0</v>
      </c>
      <c r="U37" s="662" t="s">
        <v>306</v>
      </c>
      <c r="V37" s="667">
        <v>4</v>
      </c>
      <c r="W37" s="667">
        <v>0</v>
      </c>
      <c r="X37" s="668">
        <v>45829</v>
      </c>
      <c r="Y37" s="668">
        <f t="shared" si="8"/>
        <v>45829</v>
      </c>
      <c r="Z37" s="668">
        <f t="shared" si="9"/>
        <v>45951</v>
      </c>
      <c r="AA37" s="668">
        <v>45829</v>
      </c>
      <c r="AB37" s="668">
        <v>46194</v>
      </c>
      <c r="AC37" s="661" t="s">
        <v>426</v>
      </c>
      <c r="AD37" s="661" t="s">
        <v>399</v>
      </c>
      <c r="AE37" s="661" t="s">
        <v>417</v>
      </c>
      <c r="AF37" s="661" t="s">
        <v>410</v>
      </c>
      <c r="AG37" s="669" t="b">
        <f>FALSE()</f>
        <v>0</v>
      </c>
    </row>
    <row r="38" spans="1:33" ht="7.95" customHeight="1" x14ac:dyDescent="0.3">
      <c r="A38" s="459">
        <v>34</v>
      </c>
      <c r="B38" s="408" t="s">
        <v>128</v>
      </c>
      <c r="C38" s="409" t="s">
        <v>427</v>
      </c>
      <c r="D38" s="409" t="s">
        <v>336</v>
      </c>
      <c r="E38" s="409" t="s">
        <v>302</v>
      </c>
      <c r="F38" s="410" t="b">
        <f>FALSE()</f>
        <v>0</v>
      </c>
      <c r="G38" s="411" t="b">
        <f>FALSE()</f>
        <v>0</v>
      </c>
      <c r="H38" s="412">
        <v>0</v>
      </c>
      <c r="I38" s="413" t="s">
        <v>303</v>
      </c>
      <c r="J38" s="414">
        <v>3</v>
      </c>
      <c r="K38" s="414">
        <f t="shared" si="7"/>
        <v>3</v>
      </c>
      <c r="L38" s="415"/>
      <c r="M38" s="414">
        <f t="shared" si="1"/>
        <v>3</v>
      </c>
      <c r="N38" s="416">
        <f t="shared" si="2"/>
        <v>1</v>
      </c>
      <c r="O38" s="417">
        <f t="shared" si="3"/>
        <v>0</v>
      </c>
      <c r="P38" s="418" t="s">
        <v>428</v>
      </c>
      <c r="Q38" s="419">
        <v>0</v>
      </c>
      <c r="R38" s="419">
        <f t="array" ref="R38">IFERROR(_xlfn.SWITCH(P38,"1Y MCLR (RBL Bank)",MCLR_RBL_1Y+Q38,"3M MCLR (YBL)",MCLR_YBL_3M+Q38,"6M I-MCLR (ICICI)",IMCLR_ICICI_6M+Q38,"12M MCLR (SIB)",MCLR_SIB_12M+Q38,"Bajaj Floating Reference Rate (BFRR)",BFRR_Bajaj+Q38,"Term SOFR (USD)",SOFR_3M+Q38,"3M T-Bill",TBill_3M+Q38,"Repo Rate",RepoRate+Q38,"FD rate",IFERROR(FD_Rate_RBL,0)+Q38,Q38),0)</f>
        <v>0</v>
      </c>
      <c r="S38" s="409" t="s">
        <v>305</v>
      </c>
      <c r="T38" s="420">
        <v>0</v>
      </c>
      <c r="U38" s="421" t="s">
        <v>338</v>
      </c>
      <c r="V38" s="422">
        <v>12</v>
      </c>
      <c r="W38" s="422">
        <v>0</v>
      </c>
      <c r="X38" s="423">
        <v>45829</v>
      </c>
      <c r="Y38" s="424">
        <f t="shared" si="8"/>
        <v>45829</v>
      </c>
      <c r="Z38" s="425">
        <f t="shared" si="9"/>
        <v>46194</v>
      </c>
      <c r="AA38" s="425">
        <v>45829</v>
      </c>
      <c r="AB38" s="425">
        <v>46194</v>
      </c>
      <c r="AC38" s="409" t="s">
        <v>429</v>
      </c>
      <c r="AD38" s="426" t="s">
        <v>428</v>
      </c>
      <c r="AE38" s="427" t="s">
        <v>417</v>
      </c>
      <c r="AF38" s="426" t="s">
        <v>430</v>
      </c>
      <c r="AG38" s="428" t="b">
        <f>FALSE()</f>
        <v>0</v>
      </c>
    </row>
    <row r="39" spans="1:33" ht="18" customHeight="1" x14ac:dyDescent="0.3">
      <c r="A39" s="524" t="s">
        <v>431</v>
      </c>
      <c r="B39" s="525"/>
      <c r="C39" s="525"/>
      <c r="D39" s="525"/>
      <c r="E39" s="525"/>
      <c r="F39" s="525"/>
      <c r="G39" s="526"/>
      <c r="H39" s="525"/>
      <c r="I39" s="527"/>
      <c r="J39" s="528"/>
      <c r="K39" s="529">
        <f>Bucket1_DebtTotal</f>
        <v>1320.7</v>
      </c>
      <c r="L39" s="530"/>
      <c r="M39" s="528"/>
      <c r="N39" s="531"/>
      <c r="O39" s="528"/>
      <c r="P39" s="532"/>
      <c r="Q39" s="525"/>
      <c r="R39" s="525"/>
      <c r="S39" s="525"/>
      <c r="T39" s="525"/>
      <c r="U39" s="533"/>
      <c r="V39" s="525"/>
      <c r="W39" s="525"/>
      <c r="X39" s="525"/>
      <c r="Y39" s="534"/>
      <c r="Z39" s="525"/>
      <c r="AA39" s="525"/>
      <c r="AB39" s="525"/>
      <c r="AC39" s="525"/>
      <c r="AD39" s="525"/>
      <c r="AE39" s="535"/>
      <c r="AF39" s="525"/>
      <c r="AG39" s="536"/>
    </row>
    <row r="40" spans="1:33" ht="16.05" customHeight="1" x14ac:dyDescent="0.3">
      <c r="A40" s="537" t="s">
        <v>432</v>
      </c>
      <c r="B40" s="538"/>
      <c r="C40" s="328"/>
      <c r="D40" s="539"/>
      <c r="E40" s="539"/>
      <c r="F40" s="540"/>
      <c r="G40" s="541"/>
      <c r="H40" s="540"/>
      <c r="I40" s="542"/>
      <c r="J40" s="543"/>
      <c r="K40" s="544">
        <f>IFERROR(SUMIFS(K5:K38,H5:H38,2),0)</f>
        <v>600</v>
      </c>
      <c r="L40" s="543"/>
      <c r="M40" s="543"/>
      <c r="N40" s="545"/>
      <c r="O40" s="546"/>
      <c r="P40" s="547"/>
      <c r="Q40" s="548"/>
      <c r="R40" s="548"/>
      <c r="S40" s="539"/>
      <c r="T40" s="549"/>
      <c r="U40" s="550"/>
      <c r="V40" s="548"/>
      <c r="W40" s="548"/>
      <c r="X40" s="549"/>
      <c r="Y40" s="551"/>
      <c r="Z40" s="328"/>
      <c r="AA40" s="328"/>
      <c r="AB40" s="328"/>
      <c r="AC40" s="328"/>
      <c r="AD40" s="549"/>
      <c r="AE40" s="552"/>
      <c r="AF40" s="549"/>
      <c r="AG40" s="553"/>
    </row>
    <row r="41" spans="1:33" ht="16.05" customHeight="1" x14ac:dyDescent="0.3">
      <c r="A41" s="537" t="s">
        <v>433</v>
      </c>
      <c r="B41" s="538"/>
      <c r="C41" s="328"/>
      <c r="D41" s="539"/>
      <c r="E41" s="539"/>
      <c r="F41" s="540"/>
      <c r="G41" s="541"/>
      <c r="H41" s="540"/>
      <c r="I41" s="542"/>
      <c r="J41" s="543"/>
      <c r="K41" s="544">
        <f>IFERROR(SUMIFS(K5:K38,H5:H38,3),0)</f>
        <v>100</v>
      </c>
      <c r="L41" s="543"/>
      <c r="M41" s="543"/>
      <c r="N41" s="545"/>
      <c r="O41" s="546"/>
      <c r="P41" s="547"/>
      <c r="Q41" s="548"/>
      <c r="R41" s="548"/>
      <c r="S41" s="539"/>
      <c r="T41" s="549"/>
      <c r="U41" s="550"/>
      <c r="V41" s="548"/>
      <c r="W41" s="548"/>
      <c r="X41" s="549"/>
      <c r="Y41" s="551"/>
      <c r="Z41" s="328"/>
      <c r="AA41" s="328"/>
      <c r="AB41" s="328"/>
      <c r="AC41" s="328"/>
      <c r="AD41" s="549"/>
      <c r="AE41" s="552"/>
      <c r="AF41" s="549"/>
      <c r="AG41" s="553"/>
    </row>
    <row r="42" spans="1:33" ht="16.05" customHeight="1" x14ac:dyDescent="0.3">
      <c r="A42" s="554" t="s">
        <v>434</v>
      </c>
      <c r="B42" s="555"/>
      <c r="C42" s="555"/>
      <c r="D42" s="555"/>
      <c r="E42" s="555"/>
      <c r="F42" s="555"/>
      <c r="G42" s="556"/>
      <c r="H42" s="555"/>
      <c r="I42" s="557"/>
      <c r="J42" s="555"/>
      <c r="K42" s="558">
        <f>NFBContingent</f>
        <v>815</v>
      </c>
      <c r="L42" s="555"/>
      <c r="M42" s="555"/>
      <c r="N42" s="555"/>
      <c r="O42" s="555"/>
      <c r="P42" s="559"/>
      <c r="Q42" s="555"/>
      <c r="R42" s="555"/>
      <c r="S42" s="555"/>
      <c r="T42" s="555"/>
      <c r="U42" s="560"/>
      <c r="V42" s="555"/>
      <c r="W42" s="555"/>
      <c r="X42" s="555"/>
      <c r="Y42" s="561"/>
      <c r="Z42" s="555"/>
      <c r="AA42" s="555"/>
      <c r="AB42" s="555"/>
      <c r="AC42" s="555"/>
      <c r="AD42" s="555"/>
      <c r="AE42" s="562"/>
      <c r="AF42" s="555"/>
      <c r="AG42" s="563"/>
    </row>
  </sheetData>
  <autoFilter ref="A4:AF41" xr:uid="{00000000-0009-0000-0000-000005000000}">
    <filterColumn colId="7">
      <filters>
        <filter val="2"/>
      </filters>
    </filterColumn>
  </autoFilter>
  <mergeCells count="1">
    <mergeCell ref="A1:AF1"/>
  </mergeCells>
  <pageMargins left="0.75" right="0.75" top="1" bottom="1"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H43"/>
  <sheetViews>
    <sheetView showGridLines="0" zoomScaleNormal="100" workbookViewId="0">
      <pane ySplit="2" topLeftCell="A10" activePane="bottomLeft" state="frozen"/>
      <selection pane="bottomLeft" activeCell="D52" sqref="D52"/>
    </sheetView>
  </sheetViews>
  <sheetFormatPr defaultColWidth="8.6640625" defaultRowHeight="14.4" x14ac:dyDescent="0.3"/>
  <cols>
    <col min="1" max="1" width="21.33203125" customWidth="1"/>
    <col min="2" max="4" width="22.21875" customWidth="1"/>
    <col min="5" max="6" width="13.88671875" customWidth="1"/>
    <col min="7" max="8" width="3.33203125" customWidth="1"/>
    <col min="9" max="11" width="15" customWidth="1"/>
    <col min="12" max="12" width="16" customWidth="1"/>
    <col min="13" max="13" width="14" customWidth="1"/>
    <col min="14" max="14" width="28" customWidth="1"/>
    <col min="15" max="15" width="18.5546875" customWidth="1"/>
    <col min="16" max="16" width="16.6640625" customWidth="1"/>
    <col min="17" max="17" width="13" customWidth="1"/>
  </cols>
  <sheetData>
    <row r="1" spans="1:8" ht="30" customHeight="1" x14ac:dyDescent="0.3">
      <c r="A1" s="1200" t="s">
        <v>435</v>
      </c>
      <c r="B1" s="1201"/>
      <c r="C1" s="1201"/>
      <c r="D1" s="1201"/>
      <c r="E1" s="1201"/>
      <c r="F1" s="1202"/>
      <c r="G1" s="311"/>
      <c r="H1" s="311"/>
    </row>
    <row r="2" spans="1:8" ht="18" customHeight="1" x14ac:dyDescent="0.3">
      <c r="A2" s="1203" t="s">
        <v>436</v>
      </c>
      <c r="B2" s="1204"/>
      <c r="C2" s="1204"/>
      <c r="D2" s="1204"/>
      <c r="E2" s="1204"/>
      <c r="F2" s="1205"/>
      <c r="G2" s="329"/>
      <c r="H2" s="329"/>
    </row>
    <row r="3" spans="1:8" ht="18" customHeight="1" thickBot="1" x14ac:dyDescent="0.35">
      <c r="A3" s="1206" t="s">
        <v>437</v>
      </c>
      <c r="B3" s="1207"/>
      <c r="C3" s="1207"/>
      <c r="D3" s="1207"/>
      <c r="E3" s="1208"/>
      <c r="F3" s="678"/>
      <c r="G3" s="330"/>
      <c r="H3" s="330"/>
    </row>
    <row r="4" spans="1:8" s="1" customFormat="1" ht="16.05" customHeight="1" x14ac:dyDescent="0.3">
      <c r="A4" s="671" t="s">
        <v>122</v>
      </c>
      <c r="B4" s="331" t="s">
        <v>438</v>
      </c>
      <c r="C4" s="331" t="s">
        <v>439</v>
      </c>
      <c r="D4" s="331" t="s">
        <v>4</v>
      </c>
      <c r="E4" s="332" t="s">
        <v>440</v>
      </c>
      <c r="F4" s="679"/>
      <c r="G4" s="333"/>
      <c r="H4" s="333"/>
    </row>
    <row r="5" spans="1:8" ht="16.05" customHeight="1" x14ac:dyDescent="0.3">
      <c r="A5" s="672" t="s">
        <v>125</v>
      </c>
      <c r="B5" s="362">
        <f>SUMIFS('Facility Master'!K:K,'Facility Master'!B:B,"RBL Bank",'Facility Master'!H:H,1)</f>
        <v>200</v>
      </c>
      <c r="C5" s="362">
        <f>SUMIFS('Facility Master'!K:K,'Facility Master'!B:B,"RBL Bank",'Facility Master'!H:H,2)</f>
        <v>100</v>
      </c>
      <c r="D5" s="362">
        <f>B5+C5</f>
        <v>300</v>
      </c>
      <c r="E5" s="363">
        <f>IFERROR(D5/$D$10,0)</f>
        <v>0.22715226773680622</v>
      </c>
      <c r="F5" s="680"/>
      <c r="G5" s="364"/>
      <c r="H5" s="364"/>
    </row>
    <row r="6" spans="1:8" ht="16.05" customHeight="1" x14ac:dyDescent="0.3">
      <c r="A6" s="673" t="s">
        <v>124</v>
      </c>
      <c r="B6" s="365">
        <f>SUMIFS('Facility Master'!K:K,'Facility Master'!B:B,"YES Bank",'Facility Master'!H:H,1)</f>
        <v>320.7</v>
      </c>
      <c r="C6" s="365">
        <f>SUMIFS('Facility Master'!K:K,'Facility Master'!B:B,"YES Bank",'Facility Master'!H:H,2)</f>
        <v>200</v>
      </c>
      <c r="D6" s="365">
        <f>B6+C6</f>
        <v>520.70000000000005</v>
      </c>
      <c r="E6" s="366">
        <f>IFERROR(D6/$D$10,0)</f>
        <v>0.3942606193685167</v>
      </c>
      <c r="F6" s="681"/>
      <c r="G6" s="367"/>
      <c r="H6" s="367"/>
    </row>
    <row r="7" spans="1:8" ht="16.05" customHeight="1" x14ac:dyDescent="0.3">
      <c r="A7" s="674" t="s">
        <v>127</v>
      </c>
      <c r="B7" s="368">
        <f>SUMIFS('Facility Master'!K:K,'Facility Master'!B:B,"Bajaj Finance",'Facility Master'!H:H,1)</f>
        <v>150</v>
      </c>
      <c r="C7" s="368">
        <f>SUMIFS('Facility Master'!K:K,'Facility Master'!B:B,"Bajaj Finance",'Facility Master'!H:H,2)</f>
        <v>0</v>
      </c>
      <c r="D7" s="368">
        <f>B7+C7</f>
        <v>150</v>
      </c>
      <c r="E7" s="369">
        <f>IFERROR(D7/$D$10,0)</f>
        <v>0.11357613386840311</v>
      </c>
      <c r="F7" s="682"/>
      <c r="G7" s="370"/>
      <c r="H7" s="370"/>
    </row>
    <row r="8" spans="1:8" ht="16.05" customHeight="1" x14ac:dyDescent="0.3">
      <c r="A8" s="675" t="s">
        <v>126</v>
      </c>
      <c r="B8" s="371">
        <f>SUMIFS('Facility Master'!K:K,'Facility Master'!B:B,"ICICI Bank",'Facility Master'!H:H,1)</f>
        <v>50</v>
      </c>
      <c r="C8" s="371">
        <f>SUMIFS('Facility Master'!K:K,'Facility Master'!B:B,"ICICI Bank",'Facility Master'!H:H,2)</f>
        <v>150</v>
      </c>
      <c r="D8" s="371">
        <f>B8+C8</f>
        <v>200</v>
      </c>
      <c r="E8" s="372">
        <f>IFERROR(D8/$D$10,0)</f>
        <v>0.15143484515787081</v>
      </c>
      <c r="F8" s="683"/>
      <c r="G8" s="373"/>
      <c r="H8" s="373"/>
    </row>
    <row r="9" spans="1:8" ht="16.05" customHeight="1" x14ac:dyDescent="0.3">
      <c r="A9" s="676" t="s">
        <v>128</v>
      </c>
      <c r="B9" s="374">
        <f>SUMIFS('Facility Master'!K:K,'Facility Master'!B:B,"South Indian Bank",'Facility Master'!H:H,1)</f>
        <v>0</v>
      </c>
      <c r="C9" s="374">
        <f>SUMIFS('Facility Master'!K:K,'Facility Master'!B:B,"South Indian Bank",'Facility Master'!H:H,2)</f>
        <v>150</v>
      </c>
      <c r="D9" s="374">
        <f>B9+C9</f>
        <v>150</v>
      </c>
      <c r="E9" s="375">
        <f>IFERROR(D9/$D$10,0)</f>
        <v>0.11357613386840311</v>
      </c>
      <c r="F9" s="684"/>
      <c r="G9" s="376"/>
      <c r="H9" s="376"/>
    </row>
    <row r="10" spans="1:8" ht="18" customHeight="1" thickBot="1" x14ac:dyDescent="0.35">
      <c r="A10" s="677" t="s">
        <v>441</v>
      </c>
      <c r="B10" s="334">
        <f>SUM(B5:B9)</f>
        <v>720.7</v>
      </c>
      <c r="C10" s="334">
        <f>SUM(C5:C9)</f>
        <v>600</v>
      </c>
      <c r="D10" s="334">
        <f>SUM(D5:D9)</f>
        <v>1320.7</v>
      </c>
      <c r="E10" s="335">
        <f>IFERROR(D10/D10,1)</f>
        <v>1</v>
      </c>
      <c r="F10" s="685"/>
      <c r="G10" s="336"/>
      <c r="H10" s="336"/>
    </row>
    <row r="11" spans="1:8" ht="28.05" customHeight="1" x14ac:dyDescent="0.3">
      <c r="A11" s="1209" t="s">
        <v>442</v>
      </c>
      <c r="B11" s="1210"/>
      <c r="C11" s="1210"/>
      <c r="D11" s="1210"/>
      <c r="E11" s="1210"/>
      <c r="F11" s="686"/>
      <c r="G11" s="337"/>
      <c r="H11" s="337"/>
    </row>
    <row r="12" spans="1:8" ht="7.95" customHeight="1" x14ac:dyDescent="0.3">
      <c r="A12" s="338"/>
      <c r="B12" s="339"/>
      <c r="C12" s="339"/>
      <c r="D12" s="339"/>
      <c r="E12" s="339"/>
      <c r="F12" s="339"/>
      <c r="G12" s="339"/>
      <c r="H12" s="339"/>
    </row>
    <row r="13" spans="1:8" ht="18" customHeight="1" thickBot="1" x14ac:dyDescent="0.35">
      <c r="A13" s="1206" t="s">
        <v>443</v>
      </c>
      <c r="B13" s="1207"/>
      <c r="C13" s="1207"/>
      <c r="D13" s="1207"/>
      <c r="E13" s="1208"/>
      <c r="F13" s="1211"/>
      <c r="G13" s="330"/>
      <c r="H13" s="330"/>
    </row>
    <row r="14" spans="1:8" ht="16.05" customHeight="1" x14ac:dyDescent="0.3">
      <c r="A14" s="671" t="s">
        <v>122</v>
      </c>
      <c r="B14" s="331" t="s">
        <v>444</v>
      </c>
      <c r="C14" s="331" t="s">
        <v>445</v>
      </c>
      <c r="D14" s="331" t="s">
        <v>446</v>
      </c>
      <c r="E14" s="332" t="s">
        <v>447</v>
      </c>
      <c r="F14" s="687"/>
      <c r="G14" s="333"/>
      <c r="H14" s="333"/>
    </row>
    <row r="15" spans="1:8" ht="16.05" customHeight="1" x14ac:dyDescent="0.3">
      <c r="A15" s="672" t="s">
        <v>125</v>
      </c>
      <c r="B15" s="362">
        <f>SUMIFS('Facility Master'!K:K,'Facility Master'!B:B,"RBL Bank",'Facility Master'!H:H,2)</f>
        <v>100</v>
      </c>
      <c r="C15" s="362">
        <f>SUMIFS('Facility Master'!K:K,'Facility Master'!B:B,"RBL Bank",'Facility Master'!AG:AG,TRUE(),'Facility Master'!H:H,0)</f>
        <v>215</v>
      </c>
      <c r="D15" s="377">
        <f>B15+C15</f>
        <v>315</v>
      </c>
      <c r="E15" s="363">
        <f>IFERROR(D15/$D$20,0)</f>
        <v>0.38650306748466257</v>
      </c>
      <c r="F15" s="688"/>
      <c r="G15" s="364"/>
      <c r="H15" s="364"/>
    </row>
    <row r="16" spans="1:8" ht="16.05" customHeight="1" x14ac:dyDescent="0.3">
      <c r="A16" s="673" t="s">
        <v>124</v>
      </c>
      <c r="B16" s="365">
        <f>SUMIFS('Facility Master'!K:K,'Facility Master'!B:B,"YES Bank",'Facility Master'!H:H,2)</f>
        <v>200</v>
      </c>
      <c r="C16" s="365">
        <f>SUMIFS('Facility Master'!K:K,'Facility Master'!B:B,"YES Bank",'Facility Master'!AG:AG,TRUE(),'Facility Master'!H:H,0)</f>
        <v>0</v>
      </c>
      <c r="D16" s="378">
        <f>B16+C16</f>
        <v>200</v>
      </c>
      <c r="E16" s="366">
        <f>IFERROR(D16/$D$20,0)</f>
        <v>0.24539877300613497</v>
      </c>
      <c r="F16" s="689"/>
      <c r="G16" s="367"/>
      <c r="H16" s="367"/>
    </row>
    <row r="17" spans="1:8" ht="16.05" customHeight="1" x14ac:dyDescent="0.3">
      <c r="A17" s="674" t="s">
        <v>127</v>
      </c>
      <c r="B17" s="368">
        <f>SUMIFS('Facility Master'!K:K,'Facility Master'!B:B,"Bajaj Finance",'Facility Master'!H:H,2)</f>
        <v>0</v>
      </c>
      <c r="C17" s="368">
        <f>SUMIFS('Facility Master'!K:K,'Facility Master'!B:B,"Bajaj Finance",'Facility Master'!AG:AG,TRUE(),'Facility Master'!H:H,0)</f>
        <v>0</v>
      </c>
      <c r="D17" s="379">
        <f>B17+C17</f>
        <v>0</v>
      </c>
      <c r="E17" s="369">
        <f>IFERROR(D17/$D$20,0)</f>
        <v>0</v>
      </c>
      <c r="F17" s="690"/>
      <c r="G17" s="370"/>
      <c r="H17" s="370"/>
    </row>
    <row r="18" spans="1:8" ht="16.05" customHeight="1" x14ac:dyDescent="0.3">
      <c r="A18" s="675" t="s">
        <v>126</v>
      </c>
      <c r="B18" s="371">
        <f>SUMIFS('Facility Master'!K:K,'Facility Master'!B:B,"ICICI Bank",'Facility Master'!H:H,2)</f>
        <v>150</v>
      </c>
      <c r="C18" s="371">
        <f>SUMIFS('Facility Master'!K:K,'Facility Master'!B:B,"ICICI Bank",'Facility Master'!AG:AG,TRUE(),'Facility Master'!H:H,0)</f>
        <v>0</v>
      </c>
      <c r="D18" s="380">
        <f>B18+C18</f>
        <v>150</v>
      </c>
      <c r="E18" s="372">
        <f>IFERROR(D18/$D$20,0)</f>
        <v>0.18404907975460122</v>
      </c>
      <c r="F18" s="691"/>
      <c r="G18" s="373"/>
      <c r="H18" s="373"/>
    </row>
    <row r="19" spans="1:8" ht="16.05" customHeight="1" x14ac:dyDescent="0.3">
      <c r="A19" s="676" t="s">
        <v>128</v>
      </c>
      <c r="B19" s="374">
        <f>SUMIFS('Facility Master'!K:K,'Facility Master'!B:B,"South Indian Bank",'Facility Master'!H:H,2)</f>
        <v>150</v>
      </c>
      <c r="C19" s="374">
        <f>SUMIFS('Facility Master'!K:K,'Facility Master'!B:B,"South Indian Bank",'Facility Master'!AG:AG,TRUE(),'Facility Master'!H:H,0)</f>
        <v>0</v>
      </c>
      <c r="D19" s="381">
        <f>B19+C19</f>
        <v>150</v>
      </c>
      <c r="E19" s="375">
        <f>IFERROR(D19/$D$20,0)</f>
        <v>0.18404907975460122</v>
      </c>
      <c r="F19" s="692"/>
      <c r="G19" s="376"/>
      <c r="H19" s="376"/>
    </row>
    <row r="20" spans="1:8" ht="18" customHeight="1" thickBot="1" x14ac:dyDescent="0.35">
      <c r="A20" s="677" t="s">
        <v>441</v>
      </c>
      <c r="B20" s="334">
        <f>SUM(B15:B19)</f>
        <v>600</v>
      </c>
      <c r="C20" s="334">
        <f>SUM(C15:C19)</f>
        <v>215</v>
      </c>
      <c r="D20" s="334">
        <f>SUM(D15:D19)</f>
        <v>815</v>
      </c>
      <c r="E20" s="335">
        <f>IFERROR(D20/D20,1)</f>
        <v>1</v>
      </c>
      <c r="F20" s="693">
        <f>D20</f>
        <v>815</v>
      </c>
      <c r="G20" s="336"/>
      <c r="H20" s="336"/>
    </row>
    <row r="21" spans="1:8" ht="36" customHeight="1" x14ac:dyDescent="0.3">
      <c r="A21" s="1209" t="s">
        <v>448</v>
      </c>
      <c r="B21" s="1210"/>
      <c r="C21" s="1210"/>
      <c r="D21" s="1210"/>
      <c r="E21" s="1210"/>
      <c r="F21" s="1224"/>
      <c r="G21" s="337"/>
      <c r="H21" s="337"/>
    </row>
    <row r="22" spans="1:8" ht="7.95" customHeight="1" x14ac:dyDescent="0.3">
      <c r="A22" s="340"/>
      <c r="B22" s="341"/>
      <c r="C22" s="341"/>
      <c r="D22" s="341"/>
      <c r="E22" s="341"/>
      <c r="F22" s="341"/>
      <c r="G22" s="341"/>
      <c r="H22" s="341"/>
    </row>
    <row r="23" spans="1:8" ht="18" customHeight="1" thickBot="1" x14ac:dyDescent="0.35">
      <c r="A23" s="1225" t="s">
        <v>449</v>
      </c>
      <c r="B23" s="1226"/>
      <c r="C23" s="1227"/>
      <c r="D23" s="1228"/>
      <c r="E23" s="694"/>
      <c r="F23" s="696"/>
      <c r="G23" s="330"/>
      <c r="H23" s="330"/>
    </row>
    <row r="24" spans="1:8" ht="16.05" customHeight="1" x14ac:dyDescent="0.3">
      <c r="A24" s="695" t="s">
        <v>122</v>
      </c>
      <c r="B24" s="342" t="s">
        <v>450</v>
      </c>
      <c r="C24" s="343" t="s">
        <v>451</v>
      </c>
      <c r="D24" s="344"/>
      <c r="E24" s="345"/>
      <c r="F24" s="697"/>
      <c r="G24" s="333"/>
      <c r="H24" s="333"/>
    </row>
    <row r="25" spans="1:8" ht="16.05" customHeight="1" x14ac:dyDescent="0.3">
      <c r="A25" s="672" t="s">
        <v>125</v>
      </c>
      <c r="B25" s="362">
        <f>SUMIFS('Facility Master'!K:K,'Facility Master'!B:B,"RBL Bank",'Facility Master'!H:H,3)</f>
        <v>100</v>
      </c>
      <c r="C25" s="363">
        <f>IFERROR(B25/$B$30,0)</f>
        <v>1</v>
      </c>
      <c r="D25" s="382"/>
      <c r="E25" s="383"/>
      <c r="F25" s="698"/>
      <c r="G25" s="364"/>
      <c r="H25" s="364"/>
    </row>
    <row r="26" spans="1:8" ht="16.05" customHeight="1" x14ac:dyDescent="0.3">
      <c r="A26" s="673" t="s">
        <v>124</v>
      </c>
      <c r="B26" s="365">
        <f>SUMIFS('Facility Master'!K:K,'Facility Master'!B:B,"YES Bank",'Facility Master'!H:H,3)</f>
        <v>0</v>
      </c>
      <c r="C26" s="366">
        <f>IFERROR(B26/$B$30,0)</f>
        <v>0</v>
      </c>
      <c r="D26" s="384"/>
      <c r="E26" s="385"/>
      <c r="F26" s="699"/>
      <c r="G26" s="367"/>
      <c r="H26" s="367"/>
    </row>
    <row r="27" spans="1:8" ht="16.05" customHeight="1" x14ac:dyDescent="0.3">
      <c r="A27" s="674" t="s">
        <v>127</v>
      </c>
      <c r="B27" s="368">
        <f>SUMIFS('Facility Master'!K:K,'Facility Master'!B:B,"Bajaj Finance",'Facility Master'!H:H,3)</f>
        <v>0</v>
      </c>
      <c r="C27" s="369">
        <f>IFERROR(B27/$B$30,0)</f>
        <v>0</v>
      </c>
      <c r="D27" s="386"/>
      <c r="E27" s="387"/>
      <c r="F27" s="700"/>
      <c r="G27" s="370"/>
      <c r="H27" s="370"/>
    </row>
    <row r="28" spans="1:8" ht="16.05" customHeight="1" x14ac:dyDescent="0.3">
      <c r="A28" s="675" t="s">
        <v>126</v>
      </c>
      <c r="B28" s="371">
        <f>SUMIFS('Facility Master'!K:K,'Facility Master'!B:B,"ICICI Bank",'Facility Master'!H:H,3)</f>
        <v>0</v>
      </c>
      <c r="C28" s="372">
        <f>IFERROR(B28/$B$30,0)</f>
        <v>0</v>
      </c>
      <c r="D28" s="388"/>
      <c r="E28" s="389"/>
      <c r="F28" s="701"/>
      <c r="G28" s="373"/>
      <c r="H28" s="373"/>
    </row>
    <row r="29" spans="1:8" ht="16.05" customHeight="1" x14ac:dyDescent="0.3">
      <c r="A29" s="676" t="s">
        <v>128</v>
      </c>
      <c r="B29" s="374">
        <f>SUMIFS('Facility Master'!K:K,'Facility Master'!B:B,"South Indian Bank",'Facility Master'!H:H,3)</f>
        <v>0</v>
      </c>
      <c r="C29" s="375">
        <f>IFERROR(B29/$B$30,0)</f>
        <v>0</v>
      </c>
      <c r="D29" s="390"/>
      <c r="E29" s="391"/>
      <c r="F29" s="702"/>
      <c r="G29" s="376"/>
      <c r="H29" s="376"/>
    </row>
    <row r="30" spans="1:8" ht="18" customHeight="1" thickBot="1" x14ac:dyDescent="0.35">
      <c r="A30" s="677" t="s">
        <v>441</v>
      </c>
      <c r="B30" s="346">
        <f>SUM(B25:B29)</f>
        <v>100</v>
      </c>
      <c r="C30" s="335">
        <f>IFERROR(B30/B30,1)</f>
        <v>1</v>
      </c>
      <c r="D30" s="347">
        <f>B30</f>
        <v>100</v>
      </c>
      <c r="E30" s="348"/>
      <c r="F30" s="703"/>
      <c r="G30" s="336"/>
      <c r="H30" s="336"/>
    </row>
    <row r="31" spans="1:8" ht="36" customHeight="1" x14ac:dyDescent="0.3">
      <c r="A31" s="1209" t="s">
        <v>452</v>
      </c>
      <c r="B31" s="1210"/>
      <c r="C31" s="1210"/>
      <c r="D31" s="1210"/>
      <c r="E31" s="670"/>
      <c r="F31" s="686"/>
      <c r="G31" s="337"/>
      <c r="H31" s="337"/>
    </row>
    <row r="32" spans="1:8" ht="7.95" customHeight="1" x14ac:dyDescent="0.3">
      <c r="A32" s="340"/>
      <c r="B32" s="341"/>
      <c r="C32" s="341"/>
      <c r="D32" s="341"/>
      <c r="E32" s="341"/>
      <c r="F32" s="341"/>
      <c r="G32" s="341"/>
      <c r="H32" s="341"/>
    </row>
    <row r="33" spans="1:8" ht="18" customHeight="1" thickBot="1" x14ac:dyDescent="0.35">
      <c r="A33" s="1229" t="s">
        <v>453</v>
      </c>
      <c r="B33" s="1230"/>
      <c r="C33" s="1230"/>
      <c r="D33" s="1231"/>
      <c r="E33" s="704"/>
      <c r="F33" s="708"/>
      <c r="G33" s="349"/>
      <c r="H33" s="349"/>
    </row>
    <row r="34" spans="1:8" ht="16.05" customHeight="1" x14ac:dyDescent="0.3">
      <c r="A34" s="705" t="s">
        <v>122</v>
      </c>
      <c r="B34" s="350" t="s">
        <v>270</v>
      </c>
      <c r="C34" s="350" t="s">
        <v>454</v>
      </c>
      <c r="D34" s="351" t="s">
        <v>295</v>
      </c>
      <c r="E34" s="352"/>
      <c r="F34" s="709"/>
      <c r="G34" s="353"/>
      <c r="H34" s="353"/>
    </row>
    <row r="35" spans="1:8" ht="16.05" customHeight="1" x14ac:dyDescent="0.3">
      <c r="A35" s="706" t="s">
        <v>125</v>
      </c>
      <c r="B35" s="392" t="s">
        <v>335</v>
      </c>
      <c r="C35" s="392">
        <v>20</v>
      </c>
      <c r="D35" s="393" t="s">
        <v>455</v>
      </c>
      <c r="E35" s="394"/>
      <c r="F35" s="710"/>
      <c r="G35" s="395"/>
      <c r="H35" s="395"/>
    </row>
    <row r="36" spans="1:8" ht="16.05" customHeight="1" x14ac:dyDescent="0.3">
      <c r="A36" s="706" t="s">
        <v>128</v>
      </c>
      <c r="B36" s="392" t="s">
        <v>427</v>
      </c>
      <c r="C36" s="392">
        <v>3</v>
      </c>
      <c r="D36" s="393" t="s">
        <v>456</v>
      </c>
      <c r="E36" s="394"/>
      <c r="F36" s="710"/>
      <c r="G36" s="395"/>
      <c r="H36" s="395"/>
    </row>
    <row r="37" spans="1:8" ht="16.05" customHeight="1" thickBot="1" x14ac:dyDescent="0.35">
      <c r="A37" s="707" t="s">
        <v>457</v>
      </c>
      <c r="B37" s="354"/>
      <c r="C37" s="355">
        <f>SUM(C35:C36)</f>
        <v>23</v>
      </c>
      <c r="D37" s="356"/>
      <c r="E37" s="357"/>
      <c r="F37" s="711"/>
      <c r="G37" s="358"/>
      <c r="H37" s="358"/>
    </row>
    <row r="38" spans="1:8" ht="28.05" customHeight="1" x14ac:dyDescent="0.3">
      <c r="A38" s="1209" t="s">
        <v>458</v>
      </c>
      <c r="B38" s="1210"/>
      <c r="C38" s="1210"/>
      <c r="D38" s="1210"/>
      <c r="E38" s="670"/>
      <c r="F38" s="686"/>
      <c r="G38" s="337"/>
      <c r="H38" s="337"/>
    </row>
    <row r="39" spans="1:8" ht="7.95" customHeight="1" x14ac:dyDescent="0.3">
      <c r="A39" s="359"/>
      <c r="B39" s="341"/>
      <c r="C39" s="341"/>
      <c r="D39" s="341"/>
      <c r="E39" s="341"/>
      <c r="F39" s="341"/>
      <c r="G39" s="341"/>
      <c r="H39" s="341"/>
    </row>
    <row r="40" spans="1:8" ht="18" customHeight="1" x14ac:dyDescent="0.3">
      <c r="A40" s="1212" t="s">
        <v>459</v>
      </c>
      <c r="B40" s="1213"/>
      <c r="C40" s="1213"/>
      <c r="D40" s="1213"/>
      <c r="E40" s="1213"/>
      <c r="F40" s="1214"/>
      <c r="G40" s="360"/>
      <c r="H40" s="360"/>
    </row>
    <row r="41" spans="1:8" ht="36" customHeight="1" x14ac:dyDescent="0.3">
      <c r="A41" s="1215" t="s">
        <v>460</v>
      </c>
      <c r="B41" s="1216"/>
      <c r="C41" s="1216"/>
      <c r="D41" s="1216"/>
      <c r="E41" s="1216"/>
      <c r="F41" s="1217"/>
      <c r="G41" s="361"/>
      <c r="H41" s="361"/>
    </row>
    <row r="42" spans="1:8" ht="36" customHeight="1" x14ac:dyDescent="0.3">
      <c r="A42" s="1218" t="s">
        <v>461</v>
      </c>
      <c r="B42" s="1219"/>
      <c r="C42" s="1219"/>
      <c r="D42" s="1219"/>
      <c r="E42" s="1219"/>
      <c r="F42" s="1220"/>
      <c r="G42" s="396"/>
      <c r="H42" s="396"/>
    </row>
    <row r="43" spans="1:8" ht="36" customHeight="1" x14ac:dyDescent="0.3">
      <c r="A43" s="1221" t="s">
        <v>462</v>
      </c>
      <c r="B43" s="1222"/>
      <c r="C43" s="1222"/>
      <c r="D43" s="1222"/>
      <c r="E43" s="1222"/>
      <c r="F43" s="1223"/>
      <c r="G43" s="397"/>
      <c r="H43" s="397"/>
    </row>
  </sheetData>
  <mergeCells count="14">
    <mergeCell ref="A40:F40"/>
    <mergeCell ref="A41:F41"/>
    <mergeCell ref="A42:F42"/>
    <mergeCell ref="A43:F43"/>
    <mergeCell ref="A21:F21"/>
    <mergeCell ref="A23:D23"/>
    <mergeCell ref="A31:D31"/>
    <mergeCell ref="A33:D33"/>
    <mergeCell ref="A38:D38"/>
    <mergeCell ref="A1:F1"/>
    <mergeCell ref="A2:F2"/>
    <mergeCell ref="A3:E3"/>
    <mergeCell ref="A11:E11"/>
    <mergeCell ref="A13:F13"/>
  </mergeCells>
  <conditionalFormatting sqref="C25:C29">
    <cfRule type="cellIs" dxfId="51" priority="6" operator="equal">
      <formula>0</formula>
    </cfRule>
  </conditionalFormatting>
  <conditionalFormatting sqref="E5:E9">
    <cfRule type="cellIs" dxfId="50" priority="4" operator="equal">
      <formula>0</formula>
    </cfRule>
  </conditionalFormatting>
  <conditionalFormatting sqref="E15:E19">
    <cfRule type="cellIs" dxfId="49" priority="5" operator="equal">
      <formula>0</formula>
    </cfRule>
  </conditionalFormatting>
  <pageMargins left="0.75" right="0.75" top="1" bottom="1"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M28"/>
  <sheetViews>
    <sheetView showGridLines="0" zoomScale="93" zoomScaleNormal="93" workbookViewId="0">
      <pane ySplit="3" topLeftCell="A4" activePane="bottomLeft" state="frozen"/>
      <selection pane="bottomLeft" activeCell="H27" sqref="H27"/>
    </sheetView>
  </sheetViews>
  <sheetFormatPr defaultColWidth="8.6640625" defaultRowHeight="14.4" x14ac:dyDescent="0.3"/>
  <cols>
    <col min="1" max="1" width="7.44140625" customWidth="1"/>
    <col min="2" max="2" width="16.6640625" customWidth="1"/>
    <col min="3" max="3" width="32.44140625" customWidth="1"/>
    <col min="4" max="4" width="11.109375" customWidth="1"/>
    <col min="5" max="5" width="13" customWidth="1"/>
    <col min="6" max="6" width="11.109375" customWidth="1"/>
    <col min="7" max="8" width="14.77734375" customWidth="1"/>
    <col min="9" max="9" width="11.109375" customWidth="1"/>
    <col min="10" max="10" width="13" customWidth="1"/>
    <col min="11" max="11" width="24.109375" customWidth="1"/>
    <col min="12" max="13" width="11.109375" customWidth="1"/>
    <col min="14" max="14" width="14" customWidth="1"/>
    <col min="15" max="15" width="34.77734375" customWidth="1"/>
    <col min="16" max="16" width="255.77734375" customWidth="1"/>
  </cols>
  <sheetData>
    <row r="1" spans="1:13" ht="30" customHeight="1" x14ac:dyDescent="0.35">
      <c r="A1" s="713" t="s">
        <v>463</v>
      </c>
      <c r="B1" s="713"/>
      <c r="C1" s="713"/>
      <c r="D1" s="713"/>
      <c r="E1" s="713"/>
      <c r="F1" s="713"/>
      <c r="G1" s="713"/>
      <c r="H1" s="713"/>
      <c r="I1" s="713"/>
      <c r="J1" s="713"/>
      <c r="K1" s="713"/>
      <c r="L1" s="713"/>
      <c r="M1" s="713"/>
    </row>
    <row r="2" spans="1:13" ht="18" customHeight="1" x14ac:dyDescent="0.3">
      <c r="A2" s="327" t="s">
        <v>795</v>
      </c>
      <c r="B2" s="327"/>
      <c r="C2" s="327"/>
      <c r="D2" s="327"/>
      <c r="E2" s="327"/>
      <c r="F2" s="327"/>
      <c r="G2" s="327"/>
      <c r="H2" s="327"/>
      <c r="I2" s="327"/>
      <c r="J2" s="327"/>
      <c r="K2" s="327"/>
      <c r="L2" s="327"/>
      <c r="M2" s="327"/>
    </row>
    <row r="3" spans="1:13" ht="22.05" customHeight="1" x14ac:dyDescent="0.3">
      <c r="A3" s="718" t="s">
        <v>244</v>
      </c>
      <c r="B3" s="719" t="s">
        <v>122</v>
      </c>
      <c r="C3" s="719" t="s">
        <v>270</v>
      </c>
      <c r="D3" s="720" t="s">
        <v>271</v>
      </c>
      <c r="E3" s="720" t="s">
        <v>464</v>
      </c>
      <c r="F3" s="720" t="s">
        <v>275</v>
      </c>
      <c r="G3" s="720" t="s">
        <v>277</v>
      </c>
      <c r="H3" s="720" t="s">
        <v>279</v>
      </c>
      <c r="I3" s="720" t="s">
        <v>280</v>
      </c>
      <c r="J3" s="720" t="s">
        <v>281</v>
      </c>
      <c r="K3" s="720" t="s">
        <v>282</v>
      </c>
      <c r="L3" s="720" t="s">
        <v>283</v>
      </c>
      <c r="M3" s="721" t="s">
        <v>465</v>
      </c>
    </row>
    <row r="4" spans="1:13" s="1" customFormat="1" ht="16.05" customHeight="1" x14ac:dyDescent="0.3">
      <c r="A4" s="722">
        <v>3</v>
      </c>
      <c r="B4" s="723" t="str">
        <f>IFERROR('Facility Master'!B7,"")</f>
        <v>RBL Bank</v>
      </c>
      <c r="C4" s="723" t="str">
        <f>IFERROR('Facility Master'!C7,"")</f>
        <v>Invoice Discounting (PID)</v>
      </c>
      <c r="D4" s="724" t="str">
        <f>IFERROR('Facility Master'!D7,"")</f>
        <v>FB</v>
      </c>
      <c r="E4" s="724" t="str">
        <f>IFERROR(IF('Facility Master'!F7,"Sub-limit","Standalone"),"")</f>
        <v>Sub-limit</v>
      </c>
      <c r="F4" s="724" t="str">
        <f>IFERROR('Facility Master'!I7,"")</f>
        <v>INR</v>
      </c>
      <c r="G4" s="725">
        <f>IFERROR('Facility Master'!K7,0)</f>
        <v>100</v>
      </c>
      <c r="H4" s="725">
        <f>IFERROR('Facility Master'!M7,0)</f>
        <v>100</v>
      </c>
      <c r="I4" s="726">
        <f>IFERROR('Facility Master'!N7,0)</f>
        <v>1</v>
      </c>
      <c r="J4" s="725">
        <f>IFERROR('Facility Master'!O7,0)</f>
        <v>0</v>
      </c>
      <c r="K4" s="724" t="str">
        <f>IFERROR('Facility Master'!P7,"")</f>
        <v>1Y MCLR (RBL Bank)</v>
      </c>
      <c r="L4" s="727">
        <f>IFERROR('Facility Master'!Q7,0)</f>
        <v>5.0000000000000001E-3</v>
      </c>
      <c r="M4" s="728">
        <f>IFERROR('Facility Master'!R7,0)</f>
        <v>9.5000000000000001E-2</v>
      </c>
    </row>
    <row r="5" spans="1:13" ht="16.05" customHeight="1" x14ac:dyDescent="0.3">
      <c r="A5" s="722">
        <v>5</v>
      </c>
      <c r="B5" s="723" t="str">
        <f>IFERROR('Facility Master'!B9,"")</f>
        <v>RBL Bank</v>
      </c>
      <c r="C5" s="723" t="str">
        <f>IFERROR('Facility Master'!C9,"")</f>
        <v>Pre-Acceptance LCBD</v>
      </c>
      <c r="D5" s="724" t="str">
        <f>IFERROR('Facility Master'!D9,"")</f>
        <v>FB</v>
      </c>
      <c r="E5" s="724" t="str">
        <f>IFERROR(IF('Facility Master'!F9,"Sub-limit","Standalone"),"")</f>
        <v>Sub-limit</v>
      </c>
      <c r="F5" s="724" t="str">
        <f>IFERROR('Facility Master'!I9,"")</f>
        <v>INR</v>
      </c>
      <c r="G5" s="725">
        <f>IFERROR('Facility Master'!K9,0)</f>
        <v>100</v>
      </c>
      <c r="H5" s="725">
        <f>IFERROR('Facility Master'!M9,0)</f>
        <v>100</v>
      </c>
      <c r="I5" s="726">
        <f>IFERROR('Facility Master'!N9,0)</f>
        <v>1</v>
      </c>
      <c r="J5" s="725">
        <f>IFERROR('Facility Master'!O9,0)</f>
        <v>0</v>
      </c>
      <c r="K5" s="724" t="str">
        <f>IFERROR('Facility Master'!P9,"")</f>
        <v>1Y MCLR (RBL Bank)</v>
      </c>
      <c r="L5" s="727">
        <f>IFERROR('Facility Master'!Q9,0)</f>
        <v>7.4999999999999997E-3</v>
      </c>
      <c r="M5" s="728">
        <f>IFERROR('Facility Master'!R9,0)</f>
        <v>9.7500000000000003E-2</v>
      </c>
    </row>
    <row r="6" spans="1:13" ht="16.05" customHeight="1" x14ac:dyDescent="0.3">
      <c r="A6" s="722">
        <v>6</v>
      </c>
      <c r="B6" s="723" t="str">
        <f>IFERROR('Facility Master'!B10,"")</f>
        <v>RBL Bank</v>
      </c>
      <c r="C6" s="723" t="str">
        <f>IFERROR('Facility Master'!C10,"")</f>
        <v>Cash Credit</v>
      </c>
      <c r="D6" s="724" t="str">
        <f>IFERROR('Facility Master'!D10,"")</f>
        <v>FB</v>
      </c>
      <c r="E6" s="724" t="str">
        <f>IFERROR(IF('Facility Master'!F10,"Sub-limit","Standalone"),"")</f>
        <v>Sub-limit</v>
      </c>
      <c r="F6" s="724" t="str">
        <f>IFERROR('Facility Master'!I10,"")</f>
        <v>INR</v>
      </c>
      <c r="G6" s="725">
        <f>IFERROR('Facility Master'!K10,0)</f>
        <v>100</v>
      </c>
      <c r="H6" s="725">
        <f>IFERROR('Facility Master'!M10,0)</f>
        <v>100</v>
      </c>
      <c r="I6" s="726">
        <f>IFERROR('Facility Master'!N10,0)</f>
        <v>1</v>
      </c>
      <c r="J6" s="725">
        <f>IFERROR('Facility Master'!O10,0)</f>
        <v>0</v>
      </c>
      <c r="K6" s="724" t="str">
        <f>IFERROR('Facility Master'!P10,"")</f>
        <v>1Y MCLR (RBL Bank)</v>
      </c>
      <c r="L6" s="727">
        <f>IFERROR('Facility Master'!Q10,0)</f>
        <v>5.0000000000000001E-4</v>
      </c>
      <c r="M6" s="728">
        <f>IFERROR('Facility Master'!R10,0)</f>
        <v>9.0499999999999997E-2</v>
      </c>
    </row>
    <row r="7" spans="1:13" ht="16.05" customHeight="1" x14ac:dyDescent="0.3">
      <c r="A7" s="722">
        <v>7</v>
      </c>
      <c r="B7" s="723" t="str">
        <f>IFERROR('Facility Master'!B11,"")</f>
        <v>RBL Bank</v>
      </c>
      <c r="C7" s="723" t="str">
        <f>IFERROR('Facility Master'!C11,"")</f>
        <v>Working Capital Demand Loan (WCDL)</v>
      </c>
      <c r="D7" s="724" t="str">
        <f>IFERROR('Facility Master'!D11,"")</f>
        <v>FB</v>
      </c>
      <c r="E7" s="724" t="str">
        <f>IFERROR(IF('Facility Master'!F11,"Sub-limit","Standalone"),"")</f>
        <v>Sub-limit</v>
      </c>
      <c r="F7" s="724" t="str">
        <f>IFERROR('Facility Master'!I11,"")</f>
        <v>INR</v>
      </c>
      <c r="G7" s="725">
        <f>IFERROR('Facility Master'!K11,0)</f>
        <v>100</v>
      </c>
      <c r="H7" s="725">
        <f>IFERROR('Facility Master'!M11,0)</f>
        <v>100</v>
      </c>
      <c r="I7" s="726">
        <f>IFERROR('Facility Master'!N11,0)</f>
        <v>1</v>
      </c>
      <c r="J7" s="725">
        <f>IFERROR('Facility Master'!O11,0)</f>
        <v>0</v>
      </c>
      <c r="K7" s="724" t="str">
        <f>IFERROR('Facility Master'!P11,"")</f>
        <v>To be decided</v>
      </c>
      <c r="L7" s="727">
        <f>IFERROR('Facility Master'!Q11,0)</f>
        <v>0</v>
      </c>
      <c r="M7" s="728">
        <f>IFERROR('Facility Master'!R11,0)</f>
        <v>0</v>
      </c>
    </row>
    <row r="8" spans="1:13" ht="18" customHeight="1" x14ac:dyDescent="0.3">
      <c r="A8" s="729" t="s">
        <v>466</v>
      </c>
      <c r="B8" s="730"/>
      <c r="C8" s="730"/>
      <c r="D8" s="730"/>
      <c r="E8" s="730"/>
      <c r="F8" s="730"/>
      <c r="G8" s="731"/>
      <c r="H8" s="731"/>
      <c r="I8" s="732"/>
      <c r="J8" s="731"/>
      <c r="K8" s="730"/>
      <c r="L8" s="733"/>
      <c r="M8" s="734"/>
    </row>
    <row r="9" spans="1:13" ht="16.05" customHeight="1" x14ac:dyDescent="0.3">
      <c r="A9" s="722">
        <v>12</v>
      </c>
      <c r="B9" s="723" t="str">
        <f>IFERROR('Facility Master'!B16,"")</f>
        <v>RBL Bank</v>
      </c>
      <c r="C9" s="723" t="str">
        <f>IFERROR('Facility Master'!C16,"")</f>
        <v>Overdraft backed by 100% FD (FDOD)</v>
      </c>
      <c r="D9" s="724" t="str">
        <f>IFERROR('Facility Master'!D16,"")</f>
        <v>FB-FDbacked</v>
      </c>
      <c r="E9" s="724" t="str">
        <f>IFERROR(IF('Facility Master'!F16,"Sub-limit","Standalone"),"")</f>
        <v>Standalone</v>
      </c>
      <c r="F9" s="724" t="str">
        <f>IFERROR('Facility Master'!I16,"")</f>
        <v>INR</v>
      </c>
      <c r="G9" s="725">
        <f>IFERROR('Facility Master'!K16,0)</f>
        <v>100</v>
      </c>
      <c r="H9" s="725">
        <f>IFERROR('Facility Master'!M16,0)</f>
        <v>100</v>
      </c>
      <c r="I9" s="726">
        <f>IFERROR('Facility Master'!N16,0)</f>
        <v>1</v>
      </c>
      <c r="J9" s="725">
        <f>IFERROR('Facility Master'!O16,0)</f>
        <v>0</v>
      </c>
      <c r="K9" s="724" t="str">
        <f>IFERROR('Facility Master'!P16,"")</f>
        <v>FD rate</v>
      </c>
      <c r="L9" s="727">
        <f>IFERROR('Facility Master'!Q16,0)</f>
        <v>2.5000000000000001E-3</v>
      </c>
      <c r="M9" s="728">
        <f>IFERROR('Facility Master'!R16,0)</f>
        <v>7.2500000000000009E-2</v>
      </c>
    </row>
    <row r="10" spans="1:13" ht="16.05" customHeight="1" x14ac:dyDescent="0.3">
      <c r="A10" s="722">
        <v>14</v>
      </c>
      <c r="B10" s="723" t="str">
        <f>IFERROR('Facility Master'!B18,"")</f>
        <v>RBL Bank</v>
      </c>
      <c r="C10" s="723" t="str">
        <f>IFERROR('Facility Master'!C18,"")</f>
        <v>Buyer's Credit from GIFT City - WC</v>
      </c>
      <c r="D10" s="724" t="str">
        <f>IFERROR('Facility Master'!D18,"")</f>
        <v>FB-FCY</v>
      </c>
      <c r="E10" s="724" t="str">
        <f>IFERROR(IF('Facility Master'!F18,"Sub-limit","Standalone"),"")</f>
        <v>Sub-limit</v>
      </c>
      <c r="F10" s="724" t="str">
        <f>IFERROR('Facility Master'!I18,"")</f>
        <v>USD</v>
      </c>
      <c r="G10" s="725">
        <f>IFERROR('Facility Master'!K18,0)</f>
        <v>100</v>
      </c>
      <c r="H10" s="725">
        <f>IFERROR('Facility Master'!M18,0)</f>
        <v>100</v>
      </c>
      <c r="I10" s="726">
        <f>IFERROR('Facility Master'!N18,0)</f>
        <v>1</v>
      </c>
      <c r="J10" s="725">
        <f>IFERROR('Facility Master'!O18,0)</f>
        <v>0</v>
      </c>
      <c r="K10" s="724" t="str">
        <f>IFERROR('Facility Master'!P18,"")</f>
        <v>Term SOFR (USD)</v>
      </c>
      <c r="L10" s="727">
        <f>IFERROR('Facility Master'!Q18,0)</f>
        <v>0</v>
      </c>
      <c r="M10" s="728">
        <f>IFERROR('Facility Master'!R18,0)</f>
        <v>4.2999999999999997E-2</v>
      </c>
    </row>
    <row r="11" spans="1:13" ht="18" customHeight="1" x14ac:dyDescent="0.3">
      <c r="A11" s="729" t="s">
        <v>467</v>
      </c>
      <c r="B11" s="730"/>
      <c r="C11" s="730"/>
      <c r="D11" s="730"/>
      <c r="E11" s="730"/>
      <c r="F11" s="730"/>
      <c r="G11" s="731"/>
      <c r="H11" s="731"/>
      <c r="I11" s="732"/>
      <c r="J11" s="731"/>
      <c r="K11" s="730"/>
      <c r="L11" s="733"/>
      <c r="M11" s="734"/>
    </row>
    <row r="12" spans="1:13" ht="16.05" customHeight="1" x14ac:dyDescent="0.3">
      <c r="A12" s="722">
        <v>15</v>
      </c>
      <c r="B12" s="723" t="str">
        <f>IFERROR('Facility Master'!B19,"")</f>
        <v>RBL Bank</v>
      </c>
      <c r="C12" s="723" t="str">
        <f>IFERROR('Facility Master'!C19,"")</f>
        <v>Buyer's Credit from GIFT City - CAPEX</v>
      </c>
      <c r="D12" s="724" t="str">
        <f>IFERROR('Facility Master'!D19,"")</f>
        <v>FB-FCY</v>
      </c>
      <c r="E12" s="724" t="str">
        <f>IFERROR(IF('Facility Master'!F19,"Sub-limit","Standalone"),"")</f>
        <v>Sub-limit</v>
      </c>
      <c r="F12" s="724" t="str">
        <f>IFERROR('Facility Master'!I19,"")</f>
        <v>USD</v>
      </c>
      <c r="G12" s="725">
        <f>IFERROR('Facility Master'!K19,0)</f>
        <v>172</v>
      </c>
      <c r="H12" s="725">
        <f>IFERROR('Facility Master'!M19,0)</f>
        <v>172</v>
      </c>
      <c r="I12" s="726">
        <f>IFERROR('Facility Master'!N19,0)</f>
        <v>1</v>
      </c>
      <c r="J12" s="725">
        <f>IFERROR('Facility Master'!O19,0)</f>
        <v>0</v>
      </c>
      <c r="K12" s="724" t="str">
        <f>IFERROR('Facility Master'!P19,"")</f>
        <v>Term SOFR (USD)</v>
      </c>
      <c r="L12" s="727">
        <f>IFERROR('Facility Master'!Q19,0)</f>
        <v>0</v>
      </c>
      <c r="M12" s="728">
        <f>IFERROR('Facility Master'!R19,0)</f>
        <v>4.2999999999999997E-2</v>
      </c>
    </row>
    <row r="13" spans="1:13" ht="16.05" customHeight="1" x14ac:dyDescent="0.3">
      <c r="A13" s="735">
        <v>16</v>
      </c>
      <c r="B13" s="736" t="str">
        <f>IFERROR('Facility Master'!B20,"")</f>
        <v>YES Bank</v>
      </c>
      <c r="C13" s="736" t="str">
        <f>IFERROR('Facility Master'!C20,"")</f>
        <v>Purchase Invoice Financing</v>
      </c>
      <c r="D13" s="737" t="str">
        <f>IFERROR('Facility Master'!D20,"")</f>
        <v>FB</v>
      </c>
      <c r="E13" s="737" t="str">
        <f>IFERROR(IF('Facility Master'!F20,"Sub-limit","Standalone"),"")</f>
        <v>Sub-limit</v>
      </c>
      <c r="F13" s="737" t="str">
        <f>IFERROR('Facility Master'!I20,"")</f>
        <v>INR</v>
      </c>
      <c r="G13" s="738">
        <f>IFERROR('Facility Master'!K20,0)</f>
        <v>100</v>
      </c>
      <c r="H13" s="738">
        <f>IFERROR('Facility Master'!M20,0)</f>
        <v>100</v>
      </c>
      <c r="I13" s="739">
        <f>IFERROR('Facility Master'!N20,0)</f>
        <v>1</v>
      </c>
      <c r="J13" s="738">
        <f>IFERROR('Facility Master'!O20,0)</f>
        <v>0</v>
      </c>
      <c r="K13" s="737" t="str">
        <f>IFERROR('Facility Master'!P20,"")</f>
        <v>3M MCLR (YBL)</v>
      </c>
      <c r="L13" s="740">
        <f>IFERROR('Facility Master'!Q20,0)</f>
        <v>5.0000000000000001E-3</v>
      </c>
      <c r="M13" s="741">
        <f>IFERROR('Facility Master'!R20,0)</f>
        <v>9.5000000000000001E-2</v>
      </c>
    </row>
    <row r="14" spans="1:13" ht="16.05" customHeight="1" x14ac:dyDescent="0.3">
      <c r="A14" s="735">
        <v>17</v>
      </c>
      <c r="B14" s="736" t="str">
        <f>IFERROR('Facility Master'!B21,"")</f>
        <v>YES Bank</v>
      </c>
      <c r="C14" s="736" t="str">
        <f>IFERROR('Facility Master'!C21,"")</f>
        <v>Cash Credit</v>
      </c>
      <c r="D14" s="737" t="str">
        <f>IFERROR('Facility Master'!D21,"")</f>
        <v>FB</v>
      </c>
      <c r="E14" s="737" t="str">
        <f>IFERROR(IF('Facility Master'!F21,"Sub-limit","Standalone"),"")</f>
        <v>Sub-limit</v>
      </c>
      <c r="F14" s="737" t="str">
        <f>IFERROR('Facility Master'!I21,"")</f>
        <v>INR</v>
      </c>
      <c r="G14" s="738">
        <f>IFERROR('Facility Master'!K21,0)</f>
        <v>25</v>
      </c>
      <c r="H14" s="738">
        <f>IFERROR('Facility Master'!M21,0)</f>
        <v>25</v>
      </c>
      <c r="I14" s="739">
        <f>IFERROR('Facility Master'!N21,0)</f>
        <v>1</v>
      </c>
      <c r="J14" s="738">
        <f>IFERROR('Facility Master'!O21,0)</f>
        <v>0</v>
      </c>
      <c r="K14" s="737" t="str">
        <f>IFERROR('Facility Master'!P21,"")</f>
        <v>3M MCLR (YBL)</v>
      </c>
      <c r="L14" s="740">
        <f>IFERROR('Facility Master'!Q21,0)</f>
        <v>6.9999999999999999E-4</v>
      </c>
      <c r="M14" s="741">
        <f>IFERROR('Facility Master'!R21,0)</f>
        <v>9.0700000000000003E-2</v>
      </c>
    </row>
    <row r="15" spans="1:13" ht="16.05" customHeight="1" x14ac:dyDescent="0.3">
      <c r="A15" s="735">
        <v>20</v>
      </c>
      <c r="B15" s="736" t="str">
        <f>IFERROR('Facility Master'!B24,"")</f>
        <v>YES Bank</v>
      </c>
      <c r="C15" s="736" t="str">
        <f>IFERROR('Facility Master'!C24,"")</f>
        <v>Working Capital Demand Loan (WCDL)</v>
      </c>
      <c r="D15" s="737" t="str">
        <f>IFERROR('Facility Master'!D24,"")</f>
        <v>FB</v>
      </c>
      <c r="E15" s="737" t="str">
        <f>IFERROR(IF('Facility Master'!F24,"Sub-limit","Standalone"),"")</f>
        <v>Sub-limit</v>
      </c>
      <c r="F15" s="737" t="str">
        <f>IFERROR('Facility Master'!I24,"")</f>
        <v>INR</v>
      </c>
      <c r="G15" s="738">
        <f>IFERROR('Facility Master'!K24,0)</f>
        <v>50</v>
      </c>
      <c r="H15" s="738">
        <f>IFERROR('Facility Master'!M24,0)</f>
        <v>50</v>
      </c>
      <c r="I15" s="739">
        <f>IFERROR('Facility Master'!N24,0)</f>
        <v>1</v>
      </c>
      <c r="J15" s="738">
        <f>IFERROR('Facility Master'!O24,0)</f>
        <v>0</v>
      </c>
      <c r="K15" s="737" t="str">
        <f>IFERROR('Facility Master'!P24,"")</f>
        <v>To be decided</v>
      </c>
      <c r="L15" s="740">
        <f>IFERROR('Facility Master'!Q24,0)</f>
        <v>0</v>
      </c>
      <c r="M15" s="741">
        <f>IFERROR('Facility Master'!R24,0)</f>
        <v>0</v>
      </c>
    </row>
    <row r="16" spans="1:13" ht="16.05" customHeight="1" x14ac:dyDescent="0.3">
      <c r="A16" s="742">
        <v>23</v>
      </c>
      <c r="B16" s="743" t="str">
        <f>IFERROR('Facility Master'!B27,"")</f>
        <v>ICICI Bank</v>
      </c>
      <c r="C16" s="743" t="str">
        <f>IFERROR('Facility Master'!C27,"")</f>
        <v>Cash Credit</v>
      </c>
      <c r="D16" s="744" t="str">
        <f>IFERROR('Facility Master'!D27,"")</f>
        <v>FB</v>
      </c>
      <c r="E16" s="744" t="str">
        <f>IFERROR(IF('Facility Master'!F27,"Sub-limit","Standalone"),"")</f>
        <v>Standalone</v>
      </c>
      <c r="F16" s="744" t="str">
        <f>IFERROR('Facility Master'!I27,"")</f>
        <v>INR</v>
      </c>
      <c r="G16" s="745">
        <f>IFERROR('Facility Master'!K27,0)</f>
        <v>50</v>
      </c>
      <c r="H16" s="745">
        <f>IFERROR('Facility Master'!M27,0)</f>
        <v>50</v>
      </c>
      <c r="I16" s="746">
        <f>IFERROR('Facility Master'!N27,0)</f>
        <v>1</v>
      </c>
      <c r="J16" s="745">
        <f>IFERROR('Facility Master'!O27,0)</f>
        <v>0</v>
      </c>
      <c r="K16" s="744" t="str">
        <f>IFERROR('Facility Master'!P27,"")</f>
        <v>6M I-MCLR (ICICI)</v>
      </c>
      <c r="L16" s="747">
        <f>IFERROR('Facility Master'!Q27,0)</f>
        <v>4.4999999999999997E-3</v>
      </c>
      <c r="M16" s="748">
        <f>IFERROR('Facility Master'!R27,0)</f>
        <v>8.7500000000000008E-2</v>
      </c>
    </row>
    <row r="17" spans="1:13" ht="16.05" customHeight="1" x14ac:dyDescent="0.3">
      <c r="A17" s="742">
        <v>24</v>
      </c>
      <c r="B17" s="743" t="str">
        <f>IFERROR('Facility Master'!B28,"")</f>
        <v>ICICI Bank</v>
      </c>
      <c r="C17" s="743" t="str">
        <f>IFERROR('Facility Master'!C28,"")</f>
        <v>Working Capital Demand Loan (WCDL)</v>
      </c>
      <c r="D17" s="744" t="str">
        <f>IFERROR('Facility Master'!D28,"")</f>
        <v>FB</v>
      </c>
      <c r="E17" s="744" t="str">
        <f>IFERROR(IF('Facility Master'!F28,"Sub-limit","Standalone"),"")</f>
        <v>Sub-limit</v>
      </c>
      <c r="F17" s="744" t="str">
        <f>IFERROR('Facility Master'!I28,"")</f>
        <v>INR</v>
      </c>
      <c r="G17" s="745">
        <f>IFERROR('Facility Master'!K28,0)</f>
        <v>50</v>
      </c>
      <c r="H17" s="745">
        <f>IFERROR('Facility Master'!M28,0)</f>
        <v>50</v>
      </c>
      <c r="I17" s="746">
        <f>IFERROR('Facility Master'!N28,0)</f>
        <v>1</v>
      </c>
      <c r="J17" s="745">
        <f>IFERROR('Facility Master'!O28,0)</f>
        <v>0</v>
      </c>
      <c r="K17" s="744" t="str">
        <f>IFERROR('Facility Master'!P28,"")</f>
        <v>Repo Rate</v>
      </c>
      <c r="L17" s="747">
        <f>IFERROR('Facility Master'!Q28,0)</f>
        <v>0</v>
      </c>
      <c r="M17" s="748">
        <f>IFERROR('Facility Master'!R28,0)</f>
        <v>5.2499999999999998E-2</v>
      </c>
    </row>
    <row r="18" spans="1:13" ht="16.05" customHeight="1" x14ac:dyDescent="0.3">
      <c r="A18" s="749">
        <v>29</v>
      </c>
      <c r="B18" s="750" t="str">
        <f>IFERROR('Facility Master'!B33,"")</f>
        <v>South Indian Bank</v>
      </c>
      <c r="C18" s="750" t="str">
        <f>IFERROR('Facility Master'!C33,"")</f>
        <v>CCOL (Cash Credit)</v>
      </c>
      <c r="D18" s="751" t="str">
        <f>IFERROR('Facility Master'!D33,"")</f>
        <v>FB</v>
      </c>
      <c r="E18" s="751" t="str">
        <f>IFERROR(IF('Facility Master'!F33,"Sub-limit","Standalone"),"")</f>
        <v>Sub-limit</v>
      </c>
      <c r="F18" s="751" t="str">
        <f>IFERROR('Facility Master'!I33,"")</f>
        <v>INR</v>
      </c>
      <c r="G18" s="752">
        <f>IFERROR('Facility Master'!K33,0)</f>
        <v>50</v>
      </c>
      <c r="H18" s="752">
        <f>IFERROR('Facility Master'!M33,0)</f>
        <v>50</v>
      </c>
      <c r="I18" s="753">
        <f>IFERROR('Facility Master'!N33,0)</f>
        <v>1</v>
      </c>
      <c r="J18" s="752">
        <f>IFERROR('Facility Master'!O33,0)</f>
        <v>0</v>
      </c>
      <c r="K18" s="751" t="str">
        <f>IFERROR('Facility Master'!P33,"")</f>
        <v>12M MCLR (SIB)</v>
      </c>
      <c r="L18" s="754">
        <f>IFERROR('Facility Master'!Q33,0)</f>
        <v>4.4999999999999997E-3</v>
      </c>
      <c r="M18" s="755">
        <f>IFERROR('Facility Master'!R33,0)</f>
        <v>0.10200000000000001</v>
      </c>
    </row>
    <row r="19" spans="1:13" ht="16.05" customHeight="1" x14ac:dyDescent="0.3">
      <c r="A19" s="756">
        <v>30</v>
      </c>
      <c r="B19" s="757" t="str">
        <f>IFERROR('Facility Master'!B34,"")</f>
        <v>South Indian Bank</v>
      </c>
      <c r="C19" s="757" t="str">
        <f>IFERROR('Facility Master'!C34,"")</f>
        <v>WCL / WCDL</v>
      </c>
      <c r="D19" s="758" t="str">
        <f>IFERROR('Facility Master'!D34,"")</f>
        <v>FB</v>
      </c>
      <c r="E19" s="758" t="str">
        <f>IFERROR(IF('Facility Master'!F34,"Sub-limit","Standalone"),"")</f>
        <v>Sub-limit</v>
      </c>
      <c r="F19" s="758" t="str">
        <f>IFERROR('Facility Master'!I34,"")</f>
        <v>INR</v>
      </c>
      <c r="G19" s="759">
        <f>IFERROR('Facility Master'!K34,0)</f>
        <v>50</v>
      </c>
      <c r="H19" s="759">
        <f>IFERROR('Facility Master'!M34,0)</f>
        <v>50</v>
      </c>
      <c r="I19" s="760">
        <f>IFERROR('Facility Master'!N34,0)</f>
        <v>1</v>
      </c>
      <c r="J19" s="759">
        <f>IFERROR('Facility Master'!O34,0)</f>
        <v>0</v>
      </c>
      <c r="K19" s="758" t="str">
        <f>IFERROR('Facility Master'!P34,"")</f>
        <v>To be decided</v>
      </c>
      <c r="L19" s="761">
        <f>IFERROR('Facility Master'!Q34,0)</f>
        <v>0</v>
      </c>
      <c r="M19" s="762">
        <f>IFERROR('Facility Master'!R34,0)</f>
        <v>0</v>
      </c>
    </row>
    <row r="20" spans="1:13" ht="7.95" customHeight="1" x14ac:dyDescent="0.3">
      <c r="A20" s="714"/>
      <c r="B20" s="714"/>
      <c r="C20" s="714"/>
      <c r="D20" s="714"/>
      <c r="E20" s="714"/>
      <c r="F20" s="714"/>
      <c r="G20" s="714"/>
      <c r="H20" s="714"/>
      <c r="I20" s="714"/>
      <c r="J20" s="714"/>
      <c r="K20" s="714"/>
      <c r="L20" s="714"/>
      <c r="M20" s="714"/>
    </row>
    <row r="21" spans="1:13" ht="19.95" customHeight="1" x14ac:dyDescent="0.3">
      <c r="A21" s="763" t="s">
        <v>468</v>
      </c>
      <c r="B21" s="764"/>
      <c r="C21" s="764"/>
      <c r="D21" s="764"/>
      <c r="E21" s="764"/>
      <c r="F21" s="764"/>
      <c r="G21" s="765"/>
      <c r="H21" s="715"/>
      <c r="I21" s="715"/>
      <c r="J21" s="715"/>
      <c r="K21" s="715"/>
      <c r="L21" s="715"/>
      <c r="M21" s="715"/>
    </row>
    <row r="22" spans="1:13" ht="16.05" customHeight="1" x14ac:dyDescent="0.3">
      <c r="A22" s="766" t="s">
        <v>469</v>
      </c>
      <c r="B22" s="767"/>
      <c r="C22" s="767"/>
      <c r="D22" s="767"/>
      <c r="E22" s="767"/>
      <c r="F22" s="767"/>
      <c r="G22" s="768">
        <f t="array" ref="G22">IFERROR(SUMPRODUCT((('Facility Master'!D5:D38="FB")+('Facility Master'!D5:D38="FB-FCY")+('Facility Master'!D5:D38="FB-FDbacked"))*'Facility Master'!K5:K38),0)</f>
        <v>1147</v>
      </c>
      <c r="H22" s="716"/>
      <c r="I22" s="716"/>
      <c r="J22" s="716"/>
      <c r="K22" s="716"/>
      <c r="L22" s="716"/>
      <c r="M22" s="716"/>
    </row>
    <row r="23" spans="1:13" ht="16.05" customHeight="1" x14ac:dyDescent="0.3">
      <c r="A23" s="769" t="s">
        <v>470</v>
      </c>
      <c r="B23" s="770"/>
      <c r="C23" s="770"/>
      <c r="D23" s="770"/>
      <c r="E23" s="770"/>
      <c r="F23" s="770"/>
      <c r="G23" s="771">
        <f>NFBMainsTotal</f>
        <v>600</v>
      </c>
      <c r="H23" s="716"/>
      <c r="I23" s="716"/>
      <c r="J23" s="716"/>
      <c r="K23" s="716"/>
      <c r="L23" s="716"/>
      <c r="M23" s="716"/>
    </row>
    <row r="24" spans="1:13" ht="16.05" customHeight="1" x14ac:dyDescent="0.3">
      <c r="A24" s="766" t="s">
        <v>471</v>
      </c>
      <c r="B24" s="767"/>
      <c r="C24" s="767"/>
      <c r="D24" s="767"/>
      <c r="E24" s="767"/>
      <c r="F24" s="767"/>
      <c r="G24" s="768">
        <f>IFERROR(SUMIFS('Facility Master'!M:M,'Facility Master'!H:H,1)-SUMIFS('Facility Master'!M:M,'Facility Master'!D:D,"FB-Term",'Facility Master'!H:H,1),0)</f>
        <v>50</v>
      </c>
      <c r="H24" s="716"/>
      <c r="I24" s="716"/>
      <c r="J24" s="716"/>
      <c r="K24" s="716"/>
      <c r="L24" s="716"/>
      <c r="M24" s="716"/>
    </row>
    <row r="25" spans="1:13" ht="16.05" customHeight="1" x14ac:dyDescent="0.3">
      <c r="A25" s="766" t="s">
        <v>796</v>
      </c>
      <c r="B25" s="767"/>
      <c r="C25" s="767"/>
      <c r="D25" s="767"/>
      <c r="E25" s="767"/>
      <c r="F25" s="767"/>
      <c r="G25" s="768">
        <f>IFERROR(SUMIFS('Facility Master'!K:K,'Facility Master'!H:H,1)-SUMIFS('Facility Master'!K:K,'Facility Master'!D:D,"FB-Term",'Facility Master'!H:H,1)-G24,0)</f>
        <v>0</v>
      </c>
      <c r="H25" s="716"/>
      <c r="I25" s="716"/>
      <c r="J25" s="716"/>
      <c r="K25" s="716"/>
      <c r="L25" s="716"/>
      <c r="M25" s="716"/>
    </row>
    <row r="26" spans="1:13" ht="16.05" customHeight="1" x14ac:dyDescent="0.3">
      <c r="A26" s="766" t="s">
        <v>472</v>
      </c>
      <c r="B26" s="767"/>
      <c r="C26" s="767"/>
      <c r="D26" s="767"/>
      <c r="E26" s="767"/>
      <c r="F26" s="767"/>
      <c r="G26" s="772">
        <f t="array" ref="G26">IFERROR(SUMPRODUCT((('Facility Master'!D5:D38="FB")+('Facility Master'!D5:D38="FB-FCY"))*('Facility Master'!H5:H38=1)*'Facility Master'!M5:M38*'Facility Master'!R5:R38)/SUMPRODUCT((('Facility Master'!D5:D38="FB")+('Facility Master'!D5:D38="FB-FCY"))*('Facility Master'!H5:H38=1)*'Facility Master'!M5:M38),0)</f>
        <v>8.7499999999999994E-2</v>
      </c>
      <c r="H26" s="716"/>
      <c r="I26" s="716"/>
      <c r="J26" s="716"/>
      <c r="K26" s="716"/>
      <c r="L26" s="716"/>
      <c r="M26" s="716"/>
    </row>
    <row r="27" spans="1:13" ht="16.05" customHeight="1" x14ac:dyDescent="0.3">
      <c r="A27" s="773" t="s">
        <v>473</v>
      </c>
      <c r="B27" s="774"/>
      <c r="C27" s="774"/>
      <c r="D27" s="774"/>
      <c r="E27" s="774"/>
      <c r="F27" s="774"/>
      <c r="G27" s="775">
        <f>IFERROR(SUMIFS('Facility Master'!K:K,'Facility Master'!G:G,TRUE(),'Facility Master'!H:H,3),0)</f>
        <v>100</v>
      </c>
      <c r="H27" s="716"/>
      <c r="I27" s="716"/>
      <c r="J27" s="716"/>
      <c r="K27" s="716"/>
      <c r="L27" s="716"/>
      <c r="M27" s="716"/>
    </row>
    <row r="28" spans="1:13" ht="7.95" customHeight="1" x14ac:dyDescent="0.3">
      <c r="A28" s="1232"/>
      <c r="B28" s="1232"/>
      <c r="C28" s="1232"/>
      <c r="D28" s="1232"/>
      <c r="E28" s="1232"/>
      <c r="F28" s="1232"/>
      <c r="G28" s="1232"/>
      <c r="H28" s="1233"/>
      <c r="I28" s="1233"/>
      <c r="J28" s="1233"/>
      <c r="K28" s="1233"/>
      <c r="L28" s="1233"/>
      <c r="M28" s="1233"/>
    </row>
  </sheetData>
  <mergeCells count="1">
    <mergeCell ref="A28:M28"/>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4472C4"/>
  </sheetPr>
  <dimension ref="A1:F25"/>
  <sheetViews>
    <sheetView showGridLines="0" zoomScaleNormal="100" workbookViewId="0">
      <selection activeCell="F12" sqref="F12"/>
    </sheetView>
  </sheetViews>
  <sheetFormatPr defaultColWidth="8.6640625" defaultRowHeight="14.4" x14ac:dyDescent="0.3"/>
  <cols>
    <col min="1" max="1" width="37" customWidth="1"/>
    <col min="2" max="2" width="19.44140625" customWidth="1"/>
    <col min="3" max="3" width="26.88671875" customWidth="1"/>
    <col min="4" max="4" width="20.33203125" customWidth="1"/>
    <col min="5" max="5" width="3.6640625" customWidth="1"/>
    <col min="6" max="6" width="20.33203125" customWidth="1"/>
    <col min="7" max="7" width="13" customWidth="1"/>
    <col min="8" max="8" width="11" customWidth="1"/>
    <col min="9" max="11" width="13" customWidth="1"/>
    <col min="12" max="12" width="20" customWidth="1"/>
    <col min="13" max="14" width="10" customWidth="1"/>
    <col min="15" max="15" width="11" customWidth="1"/>
    <col min="16" max="17" width="13" customWidth="1"/>
    <col min="18" max="18" width="28" customWidth="1"/>
    <col min="19" max="19" width="39.21875" customWidth="1"/>
  </cols>
  <sheetData>
    <row r="1" spans="1:6" ht="30" customHeight="1" x14ac:dyDescent="0.35">
      <c r="A1" s="713" t="s">
        <v>474</v>
      </c>
      <c r="B1" s="713"/>
      <c r="C1" s="713"/>
      <c r="D1" s="713"/>
      <c r="E1" s="713"/>
      <c r="F1" s="713"/>
    </row>
    <row r="2" spans="1:6" ht="18" customHeight="1" x14ac:dyDescent="0.3">
      <c r="A2" s="327" t="s">
        <v>797</v>
      </c>
      <c r="B2" s="327"/>
      <c r="C2" s="327"/>
      <c r="D2" s="327"/>
      <c r="E2" s="327"/>
      <c r="F2" s="327"/>
    </row>
    <row r="3" spans="1:6" ht="24" customHeight="1" x14ac:dyDescent="0.3">
      <c r="A3" s="779" t="s">
        <v>342</v>
      </c>
      <c r="B3" s="780" t="s">
        <v>125</v>
      </c>
      <c r="C3" s="781" t="s">
        <v>124</v>
      </c>
      <c r="D3" s="782" t="s">
        <v>127</v>
      </c>
      <c r="E3" s="783"/>
      <c r="F3" s="784" t="s">
        <v>475</v>
      </c>
    </row>
    <row r="4" spans="1:6" s="1" customFormat="1" ht="18" customHeight="1" x14ac:dyDescent="0.3">
      <c r="A4" s="785" t="s">
        <v>476</v>
      </c>
      <c r="B4" s="786">
        <f>IFERROR(INDEX('Facility Master'!K:K,MATCH(RBL_TL_SNo,'Facility Master'!A:A,0)),0)</f>
        <v>200</v>
      </c>
      <c r="C4" s="786">
        <f>IFERROR(INDEX('Facility Master'!K:K,MATCH(YBL_TL_SNo,'Facility Master'!A:A,0)),0)</f>
        <v>320.7</v>
      </c>
      <c r="D4" s="786">
        <f>IFERROR(INDEX('Facility Master'!K:K,MATCH(Bajaj_TL_SNo,'Facility Master'!A:A,0)),0)</f>
        <v>150</v>
      </c>
      <c r="E4" s="786"/>
      <c r="F4" s="787">
        <f>B4+C4+D4</f>
        <v>670.7</v>
      </c>
    </row>
    <row r="5" spans="1:6" ht="18" customHeight="1" x14ac:dyDescent="0.3">
      <c r="A5" s="788" t="s">
        <v>290</v>
      </c>
      <c r="B5" s="789">
        <f>IFERROR(INDEX('Facility Master'!X:X,MATCH(RBL_TL_SNo,'Facility Master'!A:A,0)),"")</f>
        <v>45315</v>
      </c>
      <c r="C5" s="789">
        <f>IFERROR(INDEX('Facility Master'!X:X,MATCH(YBL_TL_SNo,'Facility Master'!A:A,0)),"")</f>
        <v>45642</v>
      </c>
      <c r="D5" s="789">
        <f>IFERROR(INDEX('Facility Master'!X:X,MATCH(Bajaj_TL_SNo,'Facility Master'!A:A,0)),"")</f>
        <v>45894</v>
      </c>
      <c r="E5" s="789"/>
      <c r="F5" s="790"/>
    </row>
    <row r="6" spans="1:6" ht="18" customHeight="1" x14ac:dyDescent="0.3">
      <c r="A6" s="785" t="s">
        <v>477</v>
      </c>
      <c r="B6" s="791">
        <f>IFERROR(INDEX('Facility Master'!T:T,MATCH(RBL_TL_SNo,'Facility Master'!A:A,0)),"")</f>
        <v>24</v>
      </c>
      <c r="C6" s="791">
        <f>IFERROR(INDEX('Facility Master'!T:T,MATCH(YBL_TL_SNo,'Facility Master'!A:A,0)),"")</f>
        <v>0</v>
      </c>
      <c r="D6" s="791">
        <f>IFERROR(INDEX('Facility Master'!T:T,MATCH(Bajaj_TL_SNo,'Facility Master'!A:A,0)),"")</f>
        <v>12</v>
      </c>
      <c r="E6" s="791"/>
      <c r="F6" s="792"/>
    </row>
    <row r="7" spans="1:6" ht="18" customHeight="1" x14ac:dyDescent="0.3">
      <c r="A7" s="788" t="s">
        <v>478</v>
      </c>
      <c r="B7" s="789">
        <f>IFERROR(INDEX('Facility Master'!Y:Y,MATCH(RBL_TL_SNo,'Facility Master'!A:A,0)),"")</f>
        <v>46046</v>
      </c>
      <c r="C7" s="789">
        <f>IFERROR(INDEX('Facility Master'!Y:Y,MATCH(YBL_TL_SNo,'Facility Master'!A:A,0)),"")</f>
        <v>45838</v>
      </c>
      <c r="D7" s="789">
        <f>IFERROR(INDEX('Facility Master'!Y:Y,MATCH(Bajaj_TL_SNo,'Facility Master'!A:A,0)),"")</f>
        <v>46361</v>
      </c>
      <c r="E7" s="789"/>
      <c r="F7" s="790"/>
    </row>
    <row r="8" spans="1:6" ht="18" customHeight="1" x14ac:dyDescent="0.3">
      <c r="A8" s="785" t="s">
        <v>292</v>
      </c>
      <c r="B8" s="793">
        <f>IFERROR(INDEX('Facility Master'!Z:Z,MATCH(RBL_TL_SNo,'Facility Master'!A:A,0)),"")</f>
        <v>47208</v>
      </c>
      <c r="C8" s="793">
        <f>IFERROR(INDEX('Facility Master'!Z:Z,MATCH(YBL_TL_SNo,'Facility Master'!A:A,0)),"")</f>
        <v>49948</v>
      </c>
      <c r="D8" s="793">
        <f>IFERROR(INDEX('Facility Master'!Z:Z,MATCH(Bajaj_TL_SNo,'Facility Master'!A:A,0)),"")</f>
        <v>48816</v>
      </c>
      <c r="E8" s="793"/>
      <c r="F8" s="794"/>
    </row>
    <row r="9" spans="1:6" ht="18" customHeight="1" x14ac:dyDescent="0.3">
      <c r="A9" s="788" t="s">
        <v>479</v>
      </c>
      <c r="B9" s="795">
        <f>IFERROR(INDEX('Facility Master'!W:W,MATCH(RBL_TL_SNo,'Facility Master'!A:A,0)),"")</f>
        <v>12</v>
      </c>
      <c r="C9" s="795">
        <f>IFERROR(INDEX('Facility Master'!W:W,MATCH(YBL_TL_SNo,'Facility Master'!A:A,0)),"")</f>
        <v>46</v>
      </c>
      <c r="D9" s="795">
        <f>IFERROR(INDEX('Facility Master'!W:W,MATCH(Bajaj_TL_SNo,'Facility Master'!A:A,0)),"")</f>
        <v>28</v>
      </c>
      <c r="E9" s="795"/>
      <c r="F9" s="796"/>
    </row>
    <row r="10" spans="1:6" ht="18" customHeight="1" x14ac:dyDescent="0.3">
      <c r="A10" s="785" t="s">
        <v>480</v>
      </c>
      <c r="B10" s="786">
        <f>IFERROR(INDEX('Facility Master'!K:K,MATCH(RBL_TL_SNo,'Facility Master'!A:A,0))/INDEX('Facility Master'!W:W,MATCH(RBL_TL_SNo,'Facility Master'!A:A,0)),0)</f>
        <v>16.666666666666668</v>
      </c>
      <c r="C10" s="797" t="s">
        <v>798</v>
      </c>
      <c r="D10" s="786">
        <f>IFERROR(INDEX('Facility Master'!K:K,MATCH(Bajaj_TL_SNo,'Facility Master'!A:A,0))/INDEX('Facility Master'!W:W,MATCH(Bajaj_TL_SNo,'Facility Master'!A:A,0)),0)</f>
        <v>5.3571428571428568</v>
      </c>
      <c r="E10" s="798"/>
      <c r="F10" s="787"/>
    </row>
    <row r="11" spans="1:6" ht="18" customHeight="1" x14ac:dyDescent="0.3">
      <c r="A11" s="788" t="s">
        <v>481</v>
      </c>
      <c r="B11" s="799">
        <f>IFERROR(INDEX('Facility Master'!R:R,MATCH(RBL_TL_SNo,'Facility Master'!A:A,0)),"")</f>
        <v>9.7500000000000003E-2</v>
      </c>
      <c r="C11" s="799">
        <f>IFERROR(INDEX('Facility Master'!R:R,MATCH(YBL_TL_SNo,'Facility Master'!A:A,0)),"")</f>
        <v>7.6999999999999999E-2</v>
      </c>
      <c r="D11" s="799">
        <f>IFERROR(INDEX('Facility Master'!R:R,MATCH(Bajaj_TL_SNo,'Facility Master'!A:A,0)),"")</f>
        <v>8.6000000000000007E-2</v>
      </c>
      <c r="E11" s="799"/>
      <c r="F11" s="800"/>
    </row>
    <row r="12" spans="1:6" ht="18" customHeight="1" x14ac:dyDescent="0.3">
      <c r="A12" s="785" t="s">
        <v>282</v>
      </c>
      <c r="B12" s="798" t="str">
        <f>IFERROR(INDEX('Facility Master'!P:P,MATCH(RBL_TL_SNo,'Facility Master'!A:A,0)),"")</f>
        <v>1Y MCLR (RBL Bank)</v>
      </c>
      <c r="C12" s="798" t="str">
        <f>IFERROR(INDEX('Facility Master'!P:P,MATCH(YBL_TL_SNo,'Facility Master'!A:A,0)),"")</f>
        <v>3M T-Bill</v>
      </c>
      <c r="D12" s="798" t="str">
        <f>IFERROR(INDEX('Facility Master'!P:P,MATCH(Bajaj_TL_SNo,'Facility Master'!A:A,0)),"")</f>
        <v>Bajaj Floating Reference Rate (BFRR)</v>
      </c>
      <c r="E12" s="798"/>
      <c r="F12" s="801"/>
    </row>
    <row r="13" spans="1:6" ht="18" customHeight="1" x14ac:dyDescent="0.3">
      <c r="A13" s="788" t="s">
        <v>482</v>
      </c>
      <c r="B13" s="795">
        <f>IFERROR(INDEX('Facility Master'!Q:Q,MATCH(RBL_TL_SNo,'Facility Master'!A:A,0))*10000,0)</f>
        <v>75</v>
      </c>
      <c r="C13" s="795">
        <f>IFERROR(INDEX('Facility Master'!Q:Q,MATCH(YBL_TL_SNo,'Facility Master'!A:A,0))*10000,0)</f>
        <v>252</v>
      </c>
      <c r="D13" s="795">
        <f>IFERROR(INDEX('Facility Master'!Q:Q,MATCH(Bajaj_TL_SNo,'Facility Master'!A:A,0))*10000,0)</f>
        <v>10</v>
      </c>
      <c r="E13" s="795"/>
      <c r="F13" s="796"/>
    </row>
    <row r="14" spans="1:6" ht="18" customHeight="1" x14ac:dyDescent="0.3">
      <c r="A14" s="802" t="s">
        <v>275</v>
      </c>
      <c r="B14" s="803" t="str">
        <f>IFERROR(INDEX('Facility Master'!I:I,MATCH(RBL_TL_SNo,'Facility Master'!A:A,0)),"")</f>
        <v>INR</v>
      </c>
      <c r="C14" s="803" t="str">
        <f>IFERROR(INDEX('Facility Master'!I:I,MATCH(YBL_TL_SNo,'Facility Master'!A:A,0)),"")</f>
        <v>INR</v>
      </c>
      <c r="D14" s="803" t="str">
        <f>IFERROR(INDEX('Facility Master'!I:I,MATCH(Bajaj_TL_SNo,'Facility Master'!A:A,0)),"")</f>
        <v>INR</v>
      </c>
      <c r="E14" s="803"/>
      <c r="F14" s="804"/>
    </row>
    <row r="15" spans="1:6" ht="7.95" customHeight="1" x14ac:dyDescent="0.3">
      <c r="A15" s="714"/>
      <c r="B15" s="714"/>
      <c r="C15" s="714"/>
      <c r="D15" s="714"/>
      <c r="E15" s="714"/>
      <c r="F15" s="714"/>
    </row>
    <row r="16" spans="1:6" ht="22.05" customHeight="1" x14ac:dyDescent="0.3">
      <c r="A16" s="763" t="s">
        <v>483</v>
      </c>
      <c r="B16" s="776"/>
      <c r="C16" s="776"/>
      <c r="D16" s="776"/>
      <c r="E16" s="776"/>
      <c r="F16" s="805">
        <f>IFERROR(SUMIFS('Facility Master'!K:K,'Facility Master'!D:D,"FB-Term",'Facility Master'!H:H,1),0)</f>
        <v>670.7</v>
      </c>
    </row>
    <row r="17" spans="1:6" ht="19.95" customHeight="1" x14ac:dyDescent="0.3">
      <c r="A17" s="806" t="s">
        <v>484</v>
      </c>
      <c r="B17" s="807">
        <f>RBL_TL_PrincOS</f>
        <v>0</v>
      </c>
      <c r="C17" s="807">
        <f>YBL_TL_PrincOS</f>
        <v>295.96119999999996</v>
      </c>
      <c r="D17" s="807">
        <f>Bajaj_TL_PrincOS</f>
        <v>150</v>
      </c>
      <c r="E17" s="807"/>
      <c r="F17" s="808">
        <f>Total_TL_PrincOS</f>
        <v>445.96119999999996</v>
      </c>
    </row>
    <row r="18" spans="1:6" ht="18" customHeight="1" x14ac:dyDescent="0.3">
      <c r="A18" s="812" t="s">
        <v>788</v>
      </c>
      <c r="B18" s="813"/>
      <c r="C18" s="813"/>
      <c r="D18" s="813"/>
      <c r="E18" s="813"/>
      <c r="F18" s="814"/>
    </row>
    <row r="19" spans="1:6" ht="36" customHeight="1" x14ac:dyDescent="0.3">
      <c r="A19" s="815" t="s">
        <v>799</v>
      </c>
      <c r="B19" s="816"/>
      <c r="C19" s="816"/>
      <c r="D19" s="816"/>
      <c r="E19" s="816"/>
      <c r="F19" s="817"/>
    </row>
    <row r="20" spans="1:6" ht="36" customHeight="1" x14ac:dyDescent="0.3">
      <c r="A20" s="815" t="s">
        <v>485</v>
      </c>
      <c r="B20" s="816"/>
      <c r="C20" s="816"/>
      <c r="D20" s="816"/>
      <c r="E20" s="816"/>
      <c r="F20" s="817"/>
    </row>
    <row r="21" spans="1:6" ht="36" customHeight="1" x14ac:dyDescent="0.3">
      <c r="A21" s="818" t="s">
        <v>800</v>
      </c>
      <c r="B21" s="819"/>
      <c r="C21" s="819"/>
      <c r="D21" s="819"/>
      <c r="E21" s="819"/>
      <c r="F21" s="820"/>
    </row>
    <row r="22" spans="1:6" ht="14.25" customHeight="1" x14ac:dyDescent="0.3">
      <c r="A22" s="712"/>
      <c r="B22" s="712"/>
      <c r="C22" s="712"/>
      <c r="D22" s="712"/>
      <c r="E22" s="712"/>
      <c r="F22" s="712"/>
    </row>
    <row r="23" spans="1:6" ht="14.25" customHeight="1" x14ac:dyDescent="0.3">
      <c r="A23" s="712"/>
      <c r="B23" s="712"/>
      <c r="C23" s="712"/>
      <c r="D23" s="712"/>
      <c r="E23" s="712"/>
      <c r="F23" s="712"/>
    </row>
    <row r="24" spans="1:6" ht="14.25" customHeight="1" x14ac:dyDescent="0.3">
      <c r="A24" s="712"/>
      <c r="B24" s="712"/>
      <c r="C24" s="712"/>
      <c r="D24" s="712"/>
      <c r="E24" s="712"/>
      <c r="F24" s="712"/>
    </row>
    <row r="25" spans="1:6" ht="14.25" customHeight="1" x14ac:dyDescent="0.3">
      <c r="A25" s="712"/>
      <c r="B25" s="712"/>
      <c r="C25" s="712"/>
      <c r="D25" s="712"/>
      <c r="E25" s="712"/>
      <c r="F25" s="712"/>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4472C4"/>
  </sheetPr>
  <dimension ref="A1:L28"/>
  <sheetViews>
    <sheetView showGridLines="0" zoomScaleNormal="100" workbookViewId="0">
      <pane ySplit="3" topLeftCell="A10" activePane="bottomLeft" state="frozen"/>
      <selection pane="bottomLeft" activeCell="A14" sqref="A14"/>
    </sheetView>
  </sheetViews>
  <sheetFormatPr defaultColWidth="8.6640625" defaultRowHeight="14.4" x14ac:dyDescent="0.3"/>
  <cols>
    <col min="1" max="1" width="7.44140625" customWidth="1"/>
    <col min="2" max="2" width="16.6640625" customWidth="1"/>
    <col min="3" max="3" width="32.44140625" customWidth="1"/>
    <col min="4" max="4" width="11.109375" customWidth="1"/>
    <col min="5" max="5" width="13" customWidth="1"/>
    <col min="6" max="7" width="14.77734375" customWidth="1"/>
    <col min="8" max="8" width="10.21875" customWidth="1"/>
    <col min="9" max="9" width="13.88671875" customWidth="1"/>
    <col min="10" max="10" width="19.44140625" customWidth="1"/>
    <col min="11" max="11" width="16.6640625" customWidth="1"/>
    <col min="12" max="12" width="9.21875" customWidth="1"/>
    <col min="13" max="13" width="16" customWidth="1"/>
    <col min="14" max="14" width="30" customWidth="1"/>
    <col min="15" max="15" width="28" customWidth="1"/>
  </cols>
  <sheetData>
    <row r="1" spans="1:12" ht="30" customHeight="1" x14ac:dyDescent="0.35">
      <c r="A1" s="713" t="s">
        <v>486</v>
      </c>
      <c r="B1" s="713"/>
      <c r="C1" s="713"/>
      <c r="D1" s="713"/>
      <c r="E1" s="713"/>
      <c r="F1" s="713"/>
      <c r="G1" s="713"/>
      <c r="H1" s="713"/>
      <c r="I1" s="713"/>
      <c r="J1" s="713"/>
      <c r="K1" s="713"/>
      <c r="L1" s="713"/>
    </row>
    <row r="2" spans="1:12" ht="18" customHeight="1" x14ac:dyDescent="0.3">
      <c r="A2" s="327" t="s">
        <v>801</v>
      </c>
      <c r="B2" s="327"/>
      <c r="C2" s="327"/>
      <c r="D2" s="327"/>
      <c r="E2" s="327"/>
      <c r="F2" s="327"/>
      <c r="G2" s="327"/>
      <c r="H2" s="327"/>
      <c r="I2" s="327"/>
      <c r="J2" s="327"/>
      <c r="K2" s="327"/>
      <c r="L2" s="327"/>
    </row>
    <row r="3" spans="1:12" ht="22.05" customHeight="1" x14ac:dyDescent="0.3">
      <c r="A3" s="718" t="s">
        <v>244</v>
      </c>
      <c r="B3" s="719" t="s">
        <v>122</v>
      </c>
      <c r="C3" s="719" t="s">
        <v>270</v>
      </c>
      <c r="D3" s="720" t="s">
        <v>271</v>
      </c>
      <c r="E3" s="720" t="s">
        <v>464</v>
      </c>
      <c r="F3" s="720" t="s">
        <v>277</v>
      </c>
      <c r="G3" s="720" t="s">
        <v>279</v>
      </c>
      <c r="H3" s="720" t="s">
        <v>280</v>
      </c>
      <c r="I3" s="720" t="s">
        <v>487</v>
      </c>
      <c r="J3" s="720" t="s">
        <v>488</v>
      </c>
      <c r="K3" s="720" t="s">
        <v>489</v>
      </c>
      <c r="L3" s="721" t="s">
        <v>150</v>
      </c>
    </row>
    <row r="4" spans="1:12" s="1" customFormat="1" ht="16.05" customHeight="1" x14ac:dyDescent="0.3">
      <c r="A4" s="722">
        <v>1</v>
      </c>
      <c r="B4" s="822" t="str">
        <f>IFERROR('Facility Master'!B5,"")</f>
        <v>RBL Bank</v>
      </c>
      <c r="C4" s="822" t="str">
        <f>IFERROR('Facility Master'!C5,"")</f>
        <v>Letter of Credit - Main Limit</v>
      </c>
      <c r="D4" s="724" t="str">
        <f>IFERROR('Facility Master'!D5,"")</f>
        <v>NFB</v>
      </c>
      <c r="E4" s="724" t="str">
        <f>IFERROR(IF('Facility Master'!F5,"Sub-limit","Standalone"),"")</f>
        <v>Standalone</v>
      </c>
      <c r="F4" s="725">
        <f>IFERROR('Facility Master'!K5,0)</f>
        <v>100</v>
      </c>
      <c r="G4" s="725">
        <f>IFERROR('Facility Master'!M5,0)</f>
        <v>100</v>
      </c>
      <c r="H4" s="726">
        <f>IFERROR('Facility Master'!N5,0)</f>
        <v>1</v>
      </c>
      <c r="I4" s="727">
        <f>IFERROR('Facility Master'!R5,0)</f>
        <v>0</v>
      </c>
      <c r="J4" s="823">
        <f t="shared" ref="J4:J20" si="0">IFERROR(G4*I4,0)</f>
        <v>0</v>
      </c>
      <c r="K4" s="824">
        <f>IFERROR('Facility Master'!AB5,"")</f>
        <v>46356</v>
      </c>
      <c r="L4" s="825">
        <f>IFERROR('Facility Master'!H5,0)</f>
        <v>2</v>
      </c>
    </row>
    <row r="5" spans="1:12" ht="16.05" customHeight="1" x14ac:dyDescent="0.3">
      <c r="A5" s="722">
        <v>2</v>
      </c>
      <c r="B5" s="723" t="str">
        <f>IFERROR('Facility Master'!B6,"")</f>
        <v>RBL Bank</v>
      </c>
      <c r="C5" s="723" t="str">
        <f>IFERROR('Facility Master'!C6,"")</f>
        <v>Bank Guarantee</v>
      </c>
      <c r="D5" s="724" t="str">
        <f>IFERROR('Facility Master'!D6,"")</f>
        <v>NFB</v>
      </c>
      <c r="E5" s="724" t="str">
        <f>IFERROR(IF('Facility Master'!F6,"Sub-limit","Standalone"),"")</f>
        <v>Sub-limit</v>
      </c>
      <c r="F5" s="725">
        <f>IFERROR('Facility Master'!K6,0)</f>
        <v>25</v>
      </c>
      <c r="G5" s="725">
        <f>IFERROR('Facility Master'!M6,0)</f>
        <v>25</v>
      </c>
      <c r="H5" s="726">
        <f>IFERROR('Facility Master'!N6,0)</f>
        <v>1</v>
      </c>
      <c r="I5" s="727">
        <f>IFERROR('Facility Master'!R6,0)</f>
        <v>0</v>
      </c>
      <c r="J5" s="823">
        <f t="shared" si="0"/>
        <v>0</v>
      </c>
      <c r="K5" s="824">
        <f>IFERROR('Facility Master'!AB6,"")</f>
        <v>46356</v>
      </c>
      <c r="L5" s="825">
        <f>IFERROR('Facility Master'!H6,0)</f>
        <v>0</v>
      </c>
    </row>
    <row r="6" spans="1:12" ht="16.05" customHeight="1" x14ac:dyDescent="0.3">
      <c r="A6" s="722">
        <v>4</v>
      </c>
      <c r="B6" s="723" t="str">
        <f>IFERROR('Facility Master'!B8,"")</f>
        <v>RBL Bank</v>
      </c>
      <c r="C6" s="723" t="str">
        <f>IFERROR('Facility Master'!C8,"")</f>
        <v>SBLC</v>
      </c>
      <c r="D6" s="724" t="str">
        <f>IFERROR('Facility Master'!D8,"")</f>
        <v>NFB</v>
      </c>
      <c r="E6" s="724" t="str">
        <f>IFERROR(IF('Facility Master'!F8,"Sub-limit","Standalone"),"")</f>
        <v>Sub-limit</v>
      </c>
      <c r="F6" s="725">
        <f>IFERROR('Facility Master'!K8,0)</f>
        <v>100</v>
      </c>
      <c r="G6" s="725">
        <f>IFERROR('Facility Master'!M8,0)</f>
        <v>100</v>
      </c>
      <c r="H6" s="726">
        <f>IFERROR('Facility Master'!N8,0)</f>
        <v>1</v>
      </c>
      <c r="I6" s="727">
        <f>IFERROR('Facility Master'!R8,0)</f>
        <v>5.0000000000000001E-3</v>
      </c>
      <c r="J6" s="823">
        <f t="shared" si="0"/>
        <v>0.5</v>
      </c>
      <c r="K6" s="824">
        <f>IFERROR('Facility Master'!AB8,"")</f>
        <v>46356</v>
      </c>
      <c r="L6" s="825">
        <f>IFERROR('Facility Master'!H8,0)</f>
        <v>0</v>
      </c>
    </row>
    <row r="7" spans="1:12" ht="16.05" customHeight="1" x14ac:dyDescent="0.3">
      <c r="A7" s="826">
        <v>8</v>
      </c>
      <c r="B7" s="827" t="str">
        <f>IFERROR('Facility Master'!B12,"")</f>
        <v>RBL Bank</v>
      </c>
      <c r="C7" s="827" t="str">
        <f>IFERROR('Facility Master'!C12,"")</f>
        <v>Loan Equivalent Risk (LER)</v>
      </c>
      <c r="D7" s="828" t="str">
        <f>IFERROR('Facility Master'!D12,"")</f>
        <v>Hedge</v>
      </c>
      <c r="E7" s="828" t="str">
        <f>IFERROR(IF('Facility Master'!F12,"Sub-limit","Standalone"),"")</f>
        <v>Sub-limit</v>
      </c>
      <c r="F7" s="829">
        <f>IFERROR('Facility Master'!K12,0)</f>
        <v>20</v>
      </c>
      <c r="G7" s="829">
        <f>IFERROR('Facility Master'!M12,0)</f>
        <v>20</v>
      </c>
      <c r="H7" s="830">
        <f>IFERROR('Facility Master'!N12,0)</f>
        <v>1</v>
      </c>
      <c r="I7" s="831">
        <f>IFERROR('Facility Master'!R12,0)</f>
        <v>0</v>
      </c>
      <c r="J7" s="832">
        <f t="shared" si="0"/>
        <v>0</v>
      </c>
      <c r="K7" s="833">
        <f>IFERROR('Facility Master'!AB12,"")</f>
        <v>46356</v>
      </c>
      <c r="L7" s="834">
        <f>IFERROR('Facility Master'!H12,0)</f>
        <v>0</v>
      </c>
    </row>
    <row r="8" spans="1:12" ht="16.05" customHeight="1" x14ac:dyDescent="0.3">
      <c r="A8" s="722">
        <v>10</v>
      </c>
      <c r="B8" s="723" t="str">
        <f>IFERROR('Facility Master'!B14,"")</f>
        <v>RBL Bank</v>
      </c>
      <c r="C8" s="723" t="str">
        <f>IFERROR('Facility Master'!C14,"")</f>
        <v>SBLC for Buyer's Credit (GIFT City)</v>
      </c>
      <c r="D8" s="724" t="str">
        <f>IFERROR('Facility Master'!D14,"")</f>
        <v>NFB</v>
      </c>
      <c r="E8" s="724" t="str">
        <f>IFERROR(IF('Facility Master'!F14,"Sub-limit","Standalone"),"")</f>
        <v>Sub-limit</v>
      </c>
      <c r="F8" s="725">
        <f>IFERROR('Facility Master'!K14,0)</f>
        <v>190</v>
      </c>
      <c r="G8" s="725">
        <f>IFERROR('Facility Master'!M14,0)</f>
        <v>190</v>
      </c>
      <c r="H8" s="726">
        <f>IFERROR('Facility Master'!N14,0)</f>
        <v>1</v>
      </c>
      <c r="I8" s="727">
        <f>IFERROR('Facility Master'!R14,0)</f>
        <v>5.0000000000000001E-3</v>
      </c>
      <c r="J8" s="823">
        <f t="shared" si="0"/>
        <v>0.95000000000000007</v>
      </c>
      <c r="K8" s="824">
        <f>IFERROR('Facility Master'!AB14,"")</f>
        <v>46356</v>
      </c>
      <c r="L8" s="825">
        <f>IFERROR('Facility Master'!H14,0)</f>
        <v>0</v>
      </c>
    </row>
    <row r="9" spans="1:12" ht="16.05" customHeight="1" x14ac:dyDescent="0.3">
      <c r="A9" s="722">
        <v>11</v>
      </c>
      <c r="B9" s="723" t="str">
        <f>IFERROR('Facility Master'!B15,"")</f>
        <v>RBL Bank</v>
      </c>
      <c r="C9" s="723" t="str">
        <f>IFERROR('Facility Master'!C15,"")</f>
        <v>Capex LC</v>
      </c>
      <c r="D9" s="724" t="str">
        <f>IFERROR('Facility Master'!D15,"")</f>
        <v>NFB</v>
      </c>
      <c r="E9" s="724" t="str">
        <f>IFERROR(IF('Facility Master'!F15,"Sub-limit","Standalone"),"")</f>
        <v>Sub-limit</v>
      </c>
      <c r="F9" s="725">
        <f>IFERROR('Facility Master'!K15,0)</f>
        <v>25</v>
      </c>
      <c r="G9" s="725">
        <f>IFERROR('Facility Master'!M15,0)</f>
        <v>25</v>
      </c>
      <c r="H9" s="726">
        <f>IFERROR('Facility Master'!N15,0)</f>
        <v>1</v>
      </c>
      <c r="I9" s="727">
        <f>IFERROR('Facility Master'!R15,0)</f>
        <v>5.0000000000000001E-3</v>
      </c>
      <c r="J9" s="823">
        <f t="shared" si="0"/>
        <v>0.125</v>
      </c>
      <c r="K9" s="824">
        <f>IFERROR('Facility Master'!AB15,"")</f>
        <v>46356</v>
      </c>
      <c r="L9" s="825">
        <f>IFERROR('Facility Master'!H15,0)</f>
        <v>0</v>
      </c>
    </row>
    <row r="10" spans="1:12" ht="16.05" customHeight="1" x14ac:dyDescent="0.3">
      <c r="A10" s="835">
        <v>13</v>
      </c>
      <c r="B10" s="836" t="str">
        <f>IFERROR('Facility Master'!B17,"")</f>
        <v>RBL Bank</v>
      </c>
      <c r="C10" s="836" t="str">
        <f>IFERROR('Facility Master'!C17,"")</f>
        <v>LC backed by 100% FD</v>
      </c>
      <c r="D10" s="837" t="str">
        <f>IFERROR('Facility Master'!D17,"")</f>
        <v>NFB-FDbacked</v>
      </c>
      <c r="E10" s="837" t="str">
        <f>IFERROR(IF('Facility Master'!F17,"Sub-limit","Standalone"),"")</f>
        <v>Sub-limit</v>
      </c>
      <c r="F10" s="838">
        <f>IFERROR('Facility Master'!K17,0)</f>
        <v>50</v>
      </c>
      <c r="G10" s="838">
        <f>IFERROR('Facility Master'!M17,0)</f>
        <v>50</v>
      </c>
      <c r="H10" s="839">
        <f>IFERROR('Facility Master'!N17,0)</f>
        <v>1</v>
      </c>
      <c r="I10" s="840">
        <f>IFERROR('Facility Master'!R17,0)</f>
        <v>0</v>
      </c>
      <c r="J10" s="841">
        <f t="shared" si="0"/>
        <v>0</v>
      </c>
      <c r="K10" s="842">
        <f>IFERROR('Facility Master'!AB17,"")</f>
        <v>46356</v>
      </c>
      <c r="L10" s="843">
        <f>IFERROR('Facility Master'!H17,0)</f>
        <v>0</v>
      </c>
    </row>
    <row r="11" spans="1:12" ht="16.05" customHeight="1" x14ac:dyDescent="0.3">
      <c r="A11" s="735">
        <v>18</v>
      </c>
      <c r="B11" s="844" t="str">
        <f>IFERROR('Facility Master'!B22,"")</f>
        <v>YES Bank</v>
      </c>
      <c r="C11" s="844" t="str">
        <f>IFERROR('Facility Master'!C22,"")</f>
        <v>Letter of Credit</v>
      </c>
      <c r="D11" s="737" t="str">
        <f>IFERROR('Facility Master'!D22,"")</f>
        <v>NFB</v>
      </c>
      <c r="E11" s="737" t="str">
        <f>IFERROR(IF('Facility Master'!F22,"Sub-limit","Standalone"),"")</f>
        <v>Standalone</v>
      </c>
      <c r="F11" s="738">
        <f>IFERROR('Facility Master'!K22,0)</f>
        <v>200</v>
      </c>
      <c r="G11" s="738">
        <f>IFERROR('Facility Master'!M22,0)</f>
        <v>200</v>
      </c>
      <c r="H11" s="739">
        <f>IFERROR('Facility Master'!N22,0)</f>
        <v>1</v>
      </c>
      <c r="I11" s="740">
        <f>IFERROR('Facility Master'!R22,0)</f>
        <v>0</v>
      </c>
      <c r="J11" s="845">
        <f t="shared" si="0"/>
        <v>0</v>
      </c>
      <c r="K11" s="846">
        <f>IFERROR('Facility Master'!AB22,"")</f>
        <v>46472</v>
      </c>
      <c r="L11" s="847">
        <f>IFERROR('Facility Master'!H22,0)</f>
        <v>2</v>
      </c>
    </row>
    <row r="12" spans="1:12" ht="16.05" customHeight="1" x14ac:dyDescent="0.3">
      <c r="A12" s="735">
        <v>19</v>
      </c>
      <c r="B12" s="736" t="str">
        <f>IFERROR('Facility Master'!B23,"")</f>
        <v>YES Bank</v>
      </c>
      <c r="C12" s="736" t="str">
        <f>IFERROR('Facility Master'!C23,"")</f>
        <v>Financial BG / SBLC</v>
      </c>
      <c r="D12" s="737" t="str">
        <f>IFERROR('Facility Master'!D23,"")</f>
        <v>NFB</v>
      </c>
      <c r="E12" s="737" t="str">
        <f>IFERROR(IF('Facility Master'!F23,"Sub-limit","Standalone"),"")</f>
        <v>Sub-limit</v>
      </c>
      <c r="F12" s="738">
        <f>IFERROR('Facility Master'!K23,0)</f>
        <v>200</v>
      </c>
      <c r="G12" s="738">
        <f>IFERROR('Facility Master'!M23,0)</f>
        <v>200</v>
      </c>
      <c r="H12" s="739">
        <f>IFERROR('Facility Master'!N23,0)</f>
        <v>1</v>
      </c>
      <c r="I12" s="740">
        <f>IFERROR('Facility Master'!R23,0)</f>
        <v>5.0000000000000001E-3</v>
      </c>
      <c r="J12" s="845">
        <f t="shared" si="0"/>
        <v>1</v>
      </c>
      <c r="K12" s="846">
        <f>IFERROR('Facility Master'!AB23,"")</f>
        <v>46490</v>
      </c>
      <c r="L12" s="847">
        <f>IFERROR('Facility Master'!H23,0)</f>
        <v>0</v>
      </c>
    </row>
    <row r="13" spans="1:12" ht="16.05" customHeight="1" x14ac:dyDescent="0.3">
      <c r="A13" s="742">
        <v>25</v>
      </c>
      <c r="B13" s="848" t="str">
        <f>IFERROR('Facility Master'!B29,"")</f>
        <v>ICICI Bank</v>
      </c>
      <c r="C13" s="848" t="str">
        <f>IFERROR('Facility Master'!C29,"")</f>
        <v>Letter of Credit (Inland/Foreign)</v>
      </c>
      <c r="D13" s="744" t="str">
        <f>IFERROR('Facility Master'!D29,"")</f>
        <v>NFB</v>
      </c>
      <c r="E13" s="744" t="str">
        <f>IFERROR(IF('Facility Master'!F29,"Sub-limit","Standalone"),"")</f>
        <v>Standalone</v>
      </c>
      <c r="F13" s="745">
        <f>IFERROR('Facility Master'!K29,0)</f>
        <v>150</v>
      </c>
      <c r="G13" s="745">
        <f>IFERROR('Facility Master'!M29,0)</f>
        <v>150</v>
      </c>
      <c r="H13" s="746">
        <f>IFERROR('Facility Master'!N29,0)</f>
        <v>1</v>
      </c>
      <c r="I13" s="747">
        <f>IFERROR('Facility Master'!R29,0)</f>
        <v>5.0000000000000001E-3</v>
      </c>
      <c r="J13" s="849">
        <f t="shared" si="0"/>
        <v>0.75</v>
      </c>
      <c r="K13" s="850">
        <f>IFERROR('Facility Master'!AB29,"")</f>
        <v>46268</v>
      </c>
      <c r="L13" s="851">
        <f>IFERROR('Facility Master'!H29,0)</f>
        <v>2</v>
      </c>
    </row>
    <row r="14" spans="1:12" ht="16.05" customHeight="1" x14ac:dyDescent="0.3">
      <c r="A14" s="742">
        <v>26</v>
      </c>
      <c r="B14" s="743" t="str">
        <f>IFERROR('Facility Master'!B30,"")</f>
        <v>ICICI Bank</v>
      </c>
      <c r="C14" s="743" t="str">
        <f>IFERROR('Facility Master'!C30,"")</f>
        <v>SBLC for Buyers' Credit</v>
      </c>
      <c r="D14" s="744" t="str">
        <f>IFERROR('Facility Master'!D30,"")</f>
        <v>NFB</v>
      </c>
      <c r="E14" s="744" t="str">
        <f>IFERROR(IF('Facility Master'!F30,"Sub-limit","Standalone"),"")</f>
        <v>Sub-limit</v>
      </c>
      <c r="F14" s="745">
        <f>IFERROR('Facility Master'!K30,0)</f>
        <v>150</v>
      </c>
      <c r="G14" s="745">
        <f>IFERROR('Facility Master'!M30,0)</f>
        <v>150</v>
      </c>
      <c r="H14" s="746">
        <f>IFERROR('Facility Master'!N30,0)</f>
        <v>1</v>
      </c>
      <c r="I14" s="747">
        <f>IFERROR('Facility Master'!R30,0)</f>
        <v>5.0000000000000001E-3</v>
      </c>
      <c r="J14" s="849">
        <f t="shared" si="0"/>
        <v>0.75</v>
      </c>
      <c r="K14" s="850">
        <f>IFERROR('Facility Master'!AB30,"")</f>
        <v>46268</v>
      </c>
      <c r="L14" s="851">
        <f>IFERROR('Facility Master'!H30,0)</f>
        <v>0</v>
      </c>
    </row>
    <row r="15" spans="1:12" ht="16.05" customHeight="1" x14ac:dyDescent="0.3">
      <c r="A15" s="742">
        <v>27</v>
      </c>
      <c r="B15" s="743" t="str">
        <f>IFERROR('Facility Master'!B31,"")</f>
        <v>ICICI Bank</v>
      </c>
      <c r="C15" s="743" t="str">
        <f>IFERROR('Facility Master'!C31,"")</f>
        <v>Bank Guarantee - Performance</v>
      </c>
      <c r="D15" s="744" t="str">
        <f>IFERROR('Facility Master'!D31,"")</f>
        <v>NFB</v>
      </c>
      <c r="E15" s="744" t="str">
        <f>IFERROR(IF('Facility Master'!F31,"Sub-limit","Standalone"),"")</f>
        <v>Sub-limit</v>
      </c>
      <c r="F15" s="745">
        <f>IFERROR('Facility Master'!K31,0)</f>
        <v>25</v>
      </c>
      <c r="G15" s="745">
        <f>IFERROR('Facility Master'!M31,0)</f>
        <v>25</v>
      </c>
      <c r="H15" s="746">
        <f>IFERROR('Facility Master'!N31,0)</f>
        <v>1</v>
      </c>
      <c r="I15" s="747">
        <f>IFERROR('Facility Master'!R31,0)</f>
        <v>5.0000000000000001E-3</v>
      </c>
      <c r="J15" s="849">
        <f t="shared" si="0"/>
        <v>0.125</v>
      </c>
      <c r="K15" s="850">
        <f>IFERROR('Facility Master'!AB31,"")</f>
        <v>46268</v>
      </c>
      <c r="L15" s="851">
        <f>IFERROR('Facility Master'!H31,0)</f>
        <v>0</v>
      </c>
    </row>
    <row r="16" spans="1:12" ht="16.05" customHeight="1" x14ac:dyDescent="0.3">
      <c r="A16" s="742">
        <v>28</v>
      </c>
      <c r="B16" s="743" t="str">
        <f>IFERROR('Facility Master'!B32,"")</f>
        <v>ICICI Bank</v>
      </c>
      <c r="C16" s="743" t="str">
        <f>IFERROR('Facility Master'!C32,"")</f>
        <v>Bank Guarantee - Financial</v>
      </c>
      <c r="D16" s="744" t="str">
        <f>IFERROR('Facility Master'!D32,"")</f>
        <v>NFB</v>
      </c>
      <c r="E16" s="744" t="str">
        <f>IFERROR(IF('Facility Master'!F32,"Sub-limit","Standalone"),"")</f>
        <v>Sub-limit</v>
      </c>
      <c r="F16" s="745">
        <f>IFERROR('Facility Master'!K32,0)</f>
        <v>5</v>
      </c>
      <c r="G16" s="745">
        <f>IFERROR('Facility Master'!M32,0)</f>
        <v>5</v>
      </c>
      <c r="H16" s="746">
        <f>IFERROR('Facility Master'!N32,0)</f>
        <v>1</v>
      </c>
      <c r="I16" s="747">
        <f>IFERROR('Facility Master'!R32,0)</f>
        <v>6.0000000000000001E-3</v>
      </c>
      <c r="J16" s="849">
        <f t="shared" si="0"/>
        <v>0.03</v>
      </c>
      <c r="K16" s="850">
        <f>IFERROR('Facility Master'!AB32,"")</f>
        <v>46268</v>
      </c>
      <c r="L16" s="851">
        <f>IFERROR('Facility Master'!H32,0)</f>
        <v>0</v>
      </c>
    </row>
    <row r="17" spans="1:12" ht="16.05" customHeight="1" x14ac:dyDescent="0.3">
      <c r="A17" s="749">
        <v>31</v>
      </c>
      <c r="B17" s="852" t="str">
        <f>IFERROR('Facility Master'!B35,"")</f>
        <v>South Indian Bank</v>
      </c>
      <c r="C17" s="852" t="str">
        <f>IFERROR('Facility Master'!C35,"")</f>
        <v>Inland / Import LC</v>
      </c>
      <c r="D17" s="751" t="str">
        <f>IFERROR('Facility Master'!D35,"")</f>
        <v>NFB</v>
      </c>
      <c r="E17" s="751" t="str">
        <f>IFERROR(IF('Facility Master'!F35,"Sub-limit","Standalone"),"")</f>
        <v>Standalone</v>
      </c>
      <c r="F17" s="752">
        <f>IFERROR('Facility Master'!K35,0)</f>
        <v>150</v>
      </c>
      <c r="G17" s="752">
        <f>IFERROR('Facility Master'!M35,0)</f>
        <v>150</v>
      </c>
      <c r="H17" s="753">
        <f>IFERROR('Facility Master'!N35,0)</f>
        <v>1</v>
      </c>
      <c r="I17" s="754">
        <f>IFERROR('Facility Master'!R35,0)</f>
        <v>6.4999999999999997E-3</v>
      </c>
      <c r="J17" s="853">
        <f t="shared" si="0"/>
        <v>0.97499999999999998</v>
      </c>
      <c r="K17" s="854">
        <f>IFERROR('Facility Master'!AB35,"")</f>
        <v>46194</v>
      </c>
      <c r="L17" s="855">
        <f>IFERROR('Facility Master'!H35,0)</f>
        <v>2</v>
      </c>
    </row>
    <row r="18" spans="1:12" ht="16.05" customHeight="1" x14ac:dyDescent="0.3">
      <c r="A18" s="749">
        <v>32</v>
      </c>
      <c r="B18" s="750" t="str">
        <f>IFERROR('Facility Master'!B36,"")</f>
        <v>South Indian Bank</v>
      </c>
      <c r="C18" s="750" t="str">
        <f>IFERROR('Facility Master'!C36,"")</f>
        <v>Capex LC</v>
      </c>
      <c r="D18" s="751" t="str">
        <f>IFERROR('Facility Master'!D36,"")</f>
        <v>NFB</v>
      </c>
      <c r="E18" s="751" t="str">
        <f>IFERROR(IF('Facility Master'!F36,"Sub-limit","Standalone"),"")</f>
        <v>Sub-limit</v>
      </c>
      <c r="F18" s="752">
        <f>IFERROR('Facility Master'!K36,0)</f>
        <v>50</v>
      </c>
      <c r="G18" s="752">
        <f>IFERROR('Facility Master'!M36,0)</f>
        <v>50</v>
      </c>
      <c r="H18" s="753">
        <f>IFERROR('Facility Master'!N36,0)</f>
        <v>1</v>
      </c>
      <c r="I18" s="754">
        <f>IFERROR('Facility Master'!R36,0)</f>
        <v>7.4999999999999997E-3</v>
      </c>
      <c r="J18" s="853">
        <f t="shared" si="0"/>
        <v>0.375</v>
      </c>
      <c r="K18" s="854">
        <f>IFERROR('Facility Master'!AB36,"")</f>
        <v>46194</v>
      </c>
      <c r="L18" s="855">
        <f>IFERROR('Facility Master'!H36,0)</f>
        <v>0</v>
      </c>
    </row>
    <row r="19" spans="1:12" ht="16.05" customHeight="1" x14ac:dyDescent="0.3">
      <c r="A19" s="749">
        <v>33</v>
      </c>
      <c r="B19" s="750" t="str">
        <f>IFERROR('Facility Master'!B37,"")</f>
        <v>South Indian Bank</v>
      </c>
      <c r="C19" s="750" t="str">
        <f>IFERROR('Facility Master'!C37,"")</f>
        <v>SBLC</v>
      </c>
      <c r="D19" s="751" t="str">
        <f>IFERROR('Facility Master'!D37,"")</f>
        <v>NFB</v>
      </c>
      <c r="E19" s="751" t="str">
        <f>IFERROR(IF('Facility Master'!F37,"Sub-limit","Standalone"),"")</f>
        <v>Sub-limit</v>
      </c>
      <c r="F19" s="752">
        <f>IFERROR('Facility Master'!K37,0)</f>
        <v>150</v>
      </c>
      <c r="G19" s="752">
        <f>IFERROR('Facility Master'!M37,0)</f>
        <v>150</v>
      </c>
      <c r="H19" s="753">
        <f>IFERROR('Facility Master'!N37,0)</f>
        <v>1</v>
      </c>
      <c r="I19" s="754">
        <f>IFERROR('Facility Master'!R37,0)</f>
        <v>6.4999999999999997E-3</v>
      </c>
      <c r="J19" s="853">
        <f t="shared" si="0"/>
        <v>0.97499999999999998</v>
      </c>
      <c r="K19" s="854">
        <f>IFERROR('Facility Master'!AB37,"")</f>
        <v>46194</v>
      </c>
      <c r="L19" s="855">
        <f>IFERROR('Facility Master'!H37,0)</f>
        <v>0</v>
      </c>
    </row>
    <row r="20" spans="1:12" ht="16.05" customHeight="1" x14ac:dyDescent="0.3">
      <c r="A20" s="856">
        <v>34</v>
      </c>
      <c r="B20" s="857" t="str">
        <f>IFERROR('Facility Master'!B38,"")</f>
        <v>South Indian Bank</v>
      </c>
      <c r="C20" s="857" t="str">
        <f>IFERROR('Facility Master'!C38,"")</f>
        <v>Forward Contract Limit</v>
      </c>
      <c r="D20" s="858" t="str">
        <f>IFERROR('Facility Master'!D38,"")</f>
        <v>Hedge</v>
      </c>
      <c r="E20" s="858" t="str">
        <f>IFERROR(IF('Facility Master'!F38,"Sub-limit","Standalone"),"")</f>
        <v>Standalone</v>
      </c>
      <c r="F20" s="859">
        <f>IFERROR('Facility Master'!K38,0)</f>
        <v>3</v>
      </c>
      <c r="G20" s="859">
        <f>IFERROR('Facility Master'!M38,0)</f>
        <v>3</v>
      </c>
      <c r="H20" s="860">
        <f>IFERROR('Facility Master'!N38,0)</f>
        <v>1</v>
      </c>
      <c r="I20" s="861">
        <f>IFERROR('Facility Master'!R38,0)</f>
        <v>0</v>
      </c>
      <c r="J20" s="862">
        <f t="shared" si="0"/>
        <v>0</v>
      </c>
      <c r="K20" s="863">
        <f>IFERROR('Facility Master'!AB38,"")</f>
        <v>46194</v>
      </c>
      <c r="L20" s="864">
        <f>IFERROR('Facility Master'!H38,0)</f>
        <v>0</v>
      </c>
    </row>
    <row r="21" spans="1:12" ht="7.95" customHeight="1" x14ac:dyDescent="0.3">
      <c r="A21" s="714"/>
      <c r="B21" s="714"/>
      <c r="C21" s="714"/>
      <c r="D21" s="714"/>
      <c r="E21" s="714"/>
      <c r="F21" s="714"/>
      <c r="G21" s="714"/>
      <c r="H21" s="714"/>
      <c r="I21" s="714"/>
      <c r="J21" s="714"/>
      <c r="K21" s="714"/>
      <c r="L21" s="714"/>
    </row>
    <row r="22" spans="1:12" ht="19.95" customHeight="1" x14ac:dyDescent="0.3">
      <c r="A22" s="763" t="s">
        <v>490</v>
      </c>
      <c r="B22" s="764"/>
      <c r="C22" s="764"/>
      <c r="D22" s="764"/>
      <c r="E22" s="764"/>
      <c r="F22" s="765"/>
      <c r="G22" s="715"/>
      <c r="H22" s="715"/>
      <c r="I22" s="715"/>
      <c r="J22" s="715"/>
      <c r="K22" s="715"/>
      <c r="L22" s="715"/>
    </row>
    <row r="23" spans="1:12" ht="18" customHeight="1" x14ac:dyDescent="0.3">
      <c r="A23" s="777" t="s">
        <v>491</v>
      </c>
      <c r="B23" s="767"/>
      <c r="C23" s="767"/>
      <c r="D23" s="767"/>
      <c r="E23" s="767"/>
      <c r="F23" s="768">
        <f t="array" ref="F23">IFERROR(SUMPRODUCT((('Facility Master'!D5:D38="NFB")+('Facility Master'!D5:D38="NFB-FDbacked")+('Facility Master'!D5:D38="Hedge"))*'Facility Master'!K5:K38),0)</f>
        <v>1593</v>
      </c>
      <c r="G23" s="716"/>
      <c r="H23" s="716"/>
      <c r="I23" s="716"/>
      <c r="J23" s="716"/>
      <c r="K23" s="716"/>
      <c r="L23" s="716"/>
    </row>
    <row r="24" spans="1:12" ht="18" customHeight="1" x14ac:dyDescent="0.3">
      <c r="A24" s="777" t="s">
        <v>492</v>
      </c>
      <c r="B24" s="770"/>
      <c r="C24" s="770"/>
      <c r="D24" s="770"/>
      <c r="E24" s="770"/>
      <c r="F24" s="865">
        <f>NFBContingent</f>
        <v>815</v>
      </c>
      <c r="G24" s="717"/>
      <c r="H24" s="717"/>
      <c r="I24" s="717"/>
      <c r="J24" s="717"/>
      <c r="K24" s="717"/>
      <c r="L24" s="717"/>
    </row>
    <row r="25" spans="1:12" ht="18" customHeight="1" x14ac:dyDescent="0.3">
      <c r="A25" s="866" t="s">
        <v>493</v>
      </c>
      <c r="B25" s="867"/>
      <c r="C25" s="867"/>
      <c r="D25" s="867"/>
      <c r="E25" s="867"/>
      <c r="F25" s="868">
        <f>HedgeNotionalTotal</f>
        <v>23</v>
      </c>
      <c r="G25" s="821"/>
      <c r="H25" s="821"/>
      <c r="I25" s="821"/>
      <c r="J25" s="821"/>
      <c r="K25" s="821"/>
      <c r="L25" s="821"/>
    </row>
    <row r="26" spans="1:12" ht="18" customHeight="1" x14ac:dyDescent="0.3">
      <c r="A26" s="778" t="s">
        <v>494</v>
      </c>
      <c r="B26" s="869"/>
      <c r="C26" s="869"/>
      <c r="D26" s="869"/>
      <c r="E26" s="869"/>
      <c r="F26" s="870">
        <f t="array" ref="F26">IFERROR(SUMPRODUCT(('Facility Master'!H5:H38=2)*'Facility Master'!M5:M38*'Facility Master'!R5:R38),0)</f>
        <v>1.7250000000000001</v>
      </c>
      <c r="G26" s="716"/>
      <c r="H26" s="716"/>
      <c r="I26" s="716"/>
      <c r="J26" s="716"/>
      <c r="K26" s="716"/>
      <c r="L26" s="716"/>
    </row>
    <row r="27" spans="1:12" ht="6" customHeight="1" x14ac:dyDescent="0.3">
      <c r="A27" s="714"/>
      <c r="B27" s="714"/>
      <c r="C27" s="714"/>
      <c r="D27" s="714"/>
      <c r="E27" s="714"/>
      <c r="F27" s="714"/>
      <c r="G27" s="714"/>
      <c r="H27" s="714"/>
      <c r="I27" s="714"/>
      <c r="J27" s="714"/>
      <c r="K27" s="714"/>
      <c r="L27" s="714"/>
    </row>
    <row r="28" spans="1:12" ht="36" customHeight="1" x14ac:dyDescent="0.3">
      <c r="A28" s="337" t="s">
        <v>495</v>
      </c>
      <c r="B28" s="337"/>
      <c r="C28" s="337"/>
      <c r="D28" s="337"/>
      <c r="E28" s="337"/>
      <c r="F28" s="337"/>
      <c r="G28" s="337"/>
      <c r="H28" s="337"/>
      <c r="I28" s="337"/>
      <c r="J28" s="337"/>
      <c r="K28" s="337"/>
      <c r="L28" s="337"/>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44546A"/>
  </sheetPr>
  <dimension ref="A1:ZZ246"/>
  <sheetViews>
    <sheetView showGridLines="0" topLeftCell="D5" zoomScaleNormal="100" workbookViewId="0">
      <selection activeCell="H14" sqref="H14"/>
    </sheetView>
  </sheetViews>
  <sheetFormatPr defaultColWidth="8.6640625" defaultRowHeight="14.4" x14ac:dyDescent="0.3"/>
  <cols>
    <col min="1" max="1" width="5.5546875" customWidth="1"/>
    <col min="2" max="2" width="12" customWidth="1"/>
    <col min="3" max="3" width="11.109375" customWidth="1"/>
    <col min="4" max="7" width="10.21875" customWidth="1"/>
    <col min="8" max="8" width="11.109375" customWidth="1"/>
    <col min="9" max="12" width="10.21875" customWidth="1"/>
    <col min="13" max="13" width="11.109375" customWidth="1"/>
    <col min="14" max="17" width="10.21875" customWidth="1"/>
    <col min="18" max="21" width="11.109375" customWidth="1"/>
    <col min="22" max="22" width="12" customWidth="1"/>
  </cols>
  <sheetData>
    <row r="1" spans="1:702" ht="30" customHeight="1" x14ac:dyDescent="0.35">
      <c r="A1" s="713" t="s">
        <v>496</v>
      </c>
      <c r="B1" s="713"/>
      <c r="C1" s="713"/>
      <c r="D1" s="713"/>
      <c r="E1" s="713"/>
      <c r="F1" s="713"/>
      <c r="G1" s="713"/>
      <c r="H1" s="713"/>
      <c r="I1" s="713"/>
      <c r="J1" s="713"/>
      <c r="K1" s="713"/>
      <c r="L1" s="713"/>
      <c r="M1" s="713"/>
      <c r="N1" s="713"/>
      <c r="O1" s="713"/>
      <c r="P1" s="713"/>
      <c r="Q1" s="713"/>
      <c r="R1" s="713"/>
      <c r="S1" s="713"/>
      <c r="T1" s="713"/>
      <c r="U1" s="713"/>
      <c r="V1" s="713"/>
    </row>
    <row r="2" spans="1:702" ht="13.95" customHeight="1" x14ac:dyDescent="0.3">
      <c r="A2" s="873"/>
      <c r="B2" s="873"/>
      <c r="C2" s="873"/>
      <c r="D2" s="873" t="s">
        <v>497</v>
      </c>
      <c r="E2" s="873"/>
      <c r="F2" s="873"/>
      <c r="G2" s="873"/>
      <c r="H2" s="873"/>
      <c r="I2" s="873"/>
      <c r="J2" s="873"/>
      <c r="K2" s="873"/>
      <c r="L2" s="873"/>
      <c r="M2" s="873"/>
      <c r="N2" s="873"/>
      <c r="O2" s="873"/>
      <c r="P2" s="873"/>
      <c r="Q2" s="873"/>
      <c r="R2" s="873"/>
      <c r="S2" s="873"/>
      <c r="T2" s="873"/>
      <c r="U2" s="873"/>
      <c r="V2" s="873"/>
    </row>
    <row r="3" spans="1:702" ht="18" customHeight="1" x14ac:dyDescent="0.3">
      <c r="A3" s="874" t="s">
        <v>498</v>
      </c>
      <c r="B3" s="893"/>
      <c r="C3" s="901"/>
      <c r="D3" s="897" t="s">
        <v>499</v>
      </c>
      <c r="E3" s="875"/>
      <c r="F3" s="875"/>
      <c r="G3" s="875"/>
      <c r="H3" s="908"/>
      <c r="I3" s="905" t="s">
        <v>500</v>
      </c>
      <c r="J3" s="876"/>
      <c r="K3" s="876"/>
      <c r="L3" s="876"/>
      <c r="M3" s="913"/>
      <c r="N3" s="912" t="s">
        <v>501</v>
      </c>
      <c r="O3" s="877"/>
      <c r="P3" s="877"/>
      <c r="Q3" s="877"/>
      <c r="R3" s="919"/>
      <c r="S3" s="916" t="s">
        <v>502</v>
      </c>
      <c r="T3" s="878"/>
      <c r="U3" s="878"/>
      <c r="V3" s="879"/>
    </row>
    <row r="4" spans="1:702" s="1" customFormat="1" ht="22.05" customHeight="1" x14ac:dyDescent="0.3">
      <c r="A4" s="880" t="s">
        <v>49</v>
      </c>
      <c r="B4" s="894" t="s">
        <v>132</v>
      </c>
      <c r="C4" s="902" t="s">
        <v>503</v>
      </c>
      <c r="D4" s="898" t="s">
        <v>504</v>
      </c>
      <c r="E4" s="881" t="s">
        <v>505</v>
      </c>
      <c r="F4" s="881" t="s">
        <v>506</v>
      </c>
      <c r="G4" s="881" t="s">
        <v>507</v>
      </c>
      <c r="H4" s="909" t="s">
        <v>508</v>
      </c>
      <c r="I4" s="898" t="s">
        <v>504</v>
      </c>
      <c r="J4" s="881" t="s">
        <v>505</v>
      </c>
      <c r="K4" s="881" t="s">
        <v>506</v>
      </c>
      <c r="L4" s="881" t="s">
        <v>507</v>
      </c>
      <c r="M4" s="909" t="s">
        <v>508</v>
      </c>
      <c r="N4" s="898" t="s">
        <v>504</v>
      </c>
      <c r="O4" s="881" t="s">
        <v>505</v>
      </c>
      <c r="P4" s="881" t="s">
        <v>506</v>
      </c>
      <c r="Q4" s="881" t="s">
        <v>507</v>
      </c>
      <c r="R4" s="909" t="s">
        <v>508</v>
      </c>
      <c r="S4" s="898" t="s">
        <v>509</v>
      </c>
      <c r="T4" s="881" t="s">
        <v>510</v>
      </c>
      <c r="U4" s="881" t="s">
        <v>511</v>
      </c>
      <c r="V4" s="882" t="s">
        <v>512</v>
      </c>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row>
    <row r="5" spans="1:702" ht="15" customHeight="1" x14ac:dyDescent="0.3">
      <c r="A5" s="883">
        <v>1</v>
      </c>
      <c r="B5" s="895">
        <v>45382</v>
      </c>
      <c r="C5" s="903" t="s">
        <v>513</v>
      </c>
      <c r="D5" s="899">
        <v>0</v>
      </c>
      <c r="E5" s="884">
        <v>0</v>
      </c>
      <c r="F5" s="884">
        <v>0</v>
      </c>
      <c r="G5" s="884">
        <v>0</v>
      </c>
      <c r="H5" s="910">
        <v>0</v>
      </c>
      <c r="I5" s="906">
        <f>0</f>
        <v>0</v>
      </c>
      <c r="J5" s="885">
        <f>IFERROR(IF(INDEX('Facility Master'!X:X,MATCH(YBL_TL_SNo,'Facility Master'!A:A,0))&lt;=B5,INDEX('Facility Master'!K:K,MATCH(YBL_TL_SNo,'Facility Master'!A:A,0)),0),0)</f>
        <v>0</v>
      </c>
      <c r="K5" s="885">
        <v>0</v>
      </c>
      <c r="L5" s="885">
        <f>IFERROR((I5+J5-K5/2)*INDEX('Facility Master'!R:R,MATCH(YBL_TL_SNo,'Facility Master'!A:A,0))*IF(B5&lt;INDEX('Facility Master'!X:X,MATCH(YBL_TL_SNo,'Facility Master'!A:A,0)),0,IF(I5=0,MAX(0,B5-INDEX('Facility Master'!X:X,MATCH(YBL_TL_SNo,'Facility Master'!A:A,0))),B5-B4))/DaysInYear,0)</f>
        <v>0</v>
      </c>
      <c r="M5" s="914">
        <f>IFERROR(ROUND(MAX(I5+J5-K5,0),6),0)</f>
        <v>0</v>
      </c>
      <c r="N5" s="906">
        <f>0</f>
        <v>0</v>
      </c>
      <c r="O5" s="885">
        <f>IFERROR(IF(INDEX('Facility Master'!X:X,MATCH(Bajaj_TL_SNo,'Facility Master'!A:A,0))&lt;=B5,INDEX('Facility Master'!K:K,MATCH(Bajaj_TL_SNo,'Facility Master'!A:A,0)),0),0)</f>
        <v>0</v>
      </c>
      <c r="P5" s="885">
        <v>0</v>
      </c>
      <c r="Q5" s="885">
        <f>IFERROR((N5+O5-P5/2)*INDEX('Facility Master'!R:R,MATCH(Bajaj_TL_SNo,'Facility Master'!A:A,0))*IF(B5&lt;INDEX('Facility Master'!X:X,MATCH(Bajaj_TL_SNo,'Facility Master'!A:A,0)),0,IF(N5=0,MAX(0,B5-INDEX('Facility Master'!X:X,MATCH(Bajaj_TL_SNo,'Facility Master'!A:A,0))),B5-B4))/DaysInYear,0)</f>
        <v>0</v>
      </c>
      <c r="R5" s="914">
        <f>IFERROR(ROUND(MAX(N5+O5-P5,0),6),0)</f>
        <v>0</v>
      </c>
      <c r="S5" s="917">
        <f t="shared" ref="S5:S36" si="0">K5+P5</f>
        <v>0</v>
      </c>
      <c r="T5" s="886">
        <f t="shared" ref="T5:T36" si="1">L5+Q5</f>
        <v>0</v>
      </c>
      <c r="U5" s="886">
        <f t="shared" ref="U5:U36" si="2">S5+T5</f>
        <v>0</v>
      </c>
      <c r="V5" s="887">
        <f t="shared" ref="V5:V36" si="3">M5+R5</f>
        <v>0</v>
      </c>
    </row>
    <row r="6" spans="1:702" ht="15" customHeight="1" x14ac:dyDescent="0.3">
      <c r="A6" s="883">
        <v>2</v>
      </c>
      <c r="B6" s="895">
        <v>45473</v>
      </c>
      <c r="C6" s="903" t="s">
        <v>514</v>
      </c>
      <c r="D6" s="899">
        <v>0</v>
      </c>
      <c r="E6" s="884">
        <v>0</v>
      </c>
      <c r="F6" s="884">
        <v>0</v>
      </c>
      <c r="G6" s="884">
        <v>0</v>
      </c>
      <c r="H6" s="910">
        <v>0</v>
      </c>
      <c r="I6" s="906">
        <f t="shared" ref="I6:I37" si="4">IFERROR(MAX(M5,0),0)</f>
        <v>0</v>
      </c>
      <c r="J6" s="885">
        <f>IFERROR(IF(AND(INDEX('Facility Master'!X:X,MATCH(YBL_TL_SNo,'Facility Master'!A:A,0))&gt;B5,INDEX('Facility Master'!X:X,MATCH(YBL_TL_SNo,'Facility Master'!A:A,0))&lt;=B6),INDEX('Facility Master'!K:K,MATCH(YBL_TL_SNo,'Facility Master'!A:A,0)),0),0)</f>
        <v>0</v>
      </c>
      <c r="K6" s="885">
        <v>0</v>
      </c>
      <c r="L6" s="885">
        <f>IFERROR((I6+J6-K6/2)*INDEX('Facility Master'!R:R,MATCH(YBL_TL_SNo,'Facility Master'!A:A,0))*IF(B6&lt;INDEX('Facility Master'!X:X,MATCH(YBL_TL_SNo,'Facility Master'!A:A,0)),0,IF(I6=0,MAX(0,B6-INDEX('Facility Master'!X:X,MATCH(YBL_TL_SNo,'Facility Master'!A:A,0))),B6-B5))/DaysInYear,0)</f>
        <v>0</v>
      </c>
      <c r="M6" s="914">
        <f t="shared" ref="M6:M57" si="5">IFERROR(ROUND(MAX(I6+J6-K6,0),6),0)</f>
        <v>0</v>
      </c>
      <c r="N6" s="906">
        <f t="shared" ref="N6:N37" si="6">IFERROR(MAX(R5,0),0)</f>
        <v>0</v>
      </c>
      <c r="O6" s="885">
        <f>IFERROR(IF(AND(INDEX('Facility Master'!X:X,MATCH(Bajaj_TL_SNo,'Facility Master'!A:A,0))&gt;B5,INDEX('Facility Master'!X:X,MATCH(Bajaj_TL_SNo,'Facility Master'!A:A,0))&lt;=B6),INDEX('Facility Master'!K:K,MATCH(Bajaj_TL_SNo,'Facility Master'!A:A,0)),0),0)</f>
        <v>0</v>
      </c>
      <c r="P6" s="885">
        <v>0</v>
      </c>
      <c r="Q6" s="885">
        <f>IFERROR((N6+O6-P6/2)*INDEX('Facility Master'!R:R,MATCH(Bajaj_TL_SNo,'Facility Master'!A:A,0))*IF(B6&lt;INDEX('Facility Master'!X:X,MATCH(Bajaj_TL_SNo,'Facility Master'!A:A,0)),0,IF(N6=0,MAX(0,B6-INDEX('Facility Master'!X:X,MATCH(Bajaj_TL_SNo,'Facility Master'!A:A,0))),B6-B5))/DaysInYear,0)</f>
        <v>0</v>
      </c>
      <c r="R6" s="914">
        <f t="shared" ref="R6:R57" si="7">IFERROR(ROUND(MAX(N6+O6-P6,0),6),0)</f>
        <v>0</v>
      </c>
      <c r="S6" s="917">
        <f t="shared" si="0"/>
        <v>0</v>
      </c>
      <c r="T6" s="886">
        <f t="shared" si="1"/>
        <v>0</v>
      </c>
      <c r="U6" s="886">
        <f t="shared" si="2"/>
        <v>0</v>
      </c>
      <c r="V6" s="887">
        <f t="shared" si="3"/>
        <v>0</v>
      </c>
    </row>
    <row r="7" spans="1:702" ht="15" customHeight="1" x14ac:dyDescent="0.3">
      <c r="A7" s="883">
        <v>3</v>
      </c>
      <c r="B7" s="895">
        <v>45565</v>
      </c>
      <c r="C7" s="903" t="s">
        <v>515</v>
      </c>
      <c r="D7" s="899">
        <v>0</v>
      </c>
      <c r="E7" s="884">
        <v>0</v>
      </c>
      <c r="F7" s="884">
        <v>0</v>
      </c>
      <c r="G7" s="884">
        <v>0</v>
      </c>
      <c r="H7" s="910">
        <v>0</v>
      </c>
      <c r="I7" s="906">
        <f t="shared" si="4"/>
        <v>0</v>
      </c>
      <c r="J7" s="885">
        <f>IFERROR(IF(AND(INDEX('Facility Master'!X:X,MATCH(YBL_TL_SNo,'Facility Master'!A:A,0))&gt;B6,INDEX('Facility Master'!X:X,MATCH(YBL_TL_SNo,'Facility Master'!A:A,0))&lt;=B7),INDEX('Facility Master'!K:K,MATCH(YBL_TL_SNo,'Facility Master'!A:A,0)),0),0)</f>
        <v>0</v>
      </c>
      <c r="K7" s="885">
        <v>0</v>
      </c>
      <c r="L7" s="885">
        <f>IFERROR((I7+J7-K7/2)*INDEX('Facility Master'!R:R,MATCH(YBL_TL_SNo,'Facility Master'!A:A,0))*IF(B7&lt;INDEX('Facility Master'!X:X,MATCH(YBL_TL_SNo,'Facility Master'!A:A,0)),0,IF(I7=0,MAX(0,B7-INDEX('Facility Master'!X:X,MATCH(YBL_TL_SNo,'Facility Master'!A:A,0))),B7-B6))/DaysInYear,0)</f>
        <v>0</v>
      </c>
      <c r="M7" s="914">
        <f t="shared" si="5"/>
        <v>0</v>
      </c>
      <c r="N7" s="906">
        <f t="shared" si="6"/>
        <v>0</v>
      </c>
      <c r="O7" s="885">
        <f>IFERROR(IF(AND(INDEX('Facility Master'!X:X,MATCH(Bajaj_TL_SNo,'Facility Master'!A:A,0))&gt;B6,INDEX('Facility Master'!X:X,MATCH(Bajaj_TL_SNo,'Facility Master'!A:A,0))&lt;=B7),INDEX('Facility Master'!K:K,MATCH(Bajaj_TL_SNo,'Facility Master'!A:A,0)),0),0)</f>
        <v>0</v>
      </c>
      <c r="P7" s="885">
        <v>0</v>
      </c>
      <c r="Q7" s="885">
        <f>IFERROR((N7+O7-P7/2)*INDEX('Facility Master'!R:R,MATCH(Bajaj_TL_SNo,'Facility Master'!A:A,0))*IF(B7&lt;INDEX('Facility Master'!X:X,MATCH(Bajaj_TL_SNo,'Facility Master'!A:A,0)),0,IF(N7=0,MAX(0,B7-INDEX('Facility Master'!X:X,MATCH(Bajaj_TL_SNo,'Facility Master'!A:A,0))),B7-B6))/DaysInYear,0)</f>
        <v>0</v>
      </c>
      <c r="R7" s="914">
        <f t="shared" si="7"/>
        <v>0</v>
      </c>
      <c r="S7" s="917">
        <f t="shared" si="0"/>
        <v>0</v>
      </c>
      <c r="T7" s="886">
        <f t="shared" si="1"/>
        <v>0</v>
      </c>
      <c r="U7" s="886">
        <f t="shared" si="2"/>
        <v>0</v>
      </c>
      <c r="V7" s="887">
        <f t="shared" si="3"/>
        <v>0</v>
      </c>
    </row>
    <row r="8" spans="1:702" ht="15" customHeight="1" x14ac:dyDescent="0.3">
      <c r="A8" s="883">
        <v>4</v>
      </c>
      <c r="B8" s="895">
        <v>45657</v>
      </c>
      <c r="C8" s="903" t="s">
        <v>516</v>
      </c>
      <c r="D8" s="899">
        <v>0</v>
      </c>
      <c r="E8" s="884">
        <v>0</v>
      </c>
      <c r="F8" s="884">
        <v>0</v>
      </c>
      <c r="G8" s="884">
        <v>0</v>
      </c>
      <c r="H8" s="910">
        <v>0</v>
      </c>
      <c r="I8" s="906">
        <f t="shared" si="4"/>
        <v>0</v>
      </c>
      <c r="J8" s="885">
        <f>IFERROR(IF(AND(INDEX('Facility Master'!X:X,MATCH(YBL_TL_SNo,'Facility Master'!A:A,0))&gt;B7,INDEX('Facility Master'!X:X,MATCH(YBL_TL_SNo,'Facility Master'!A:A,0))&lt;=B8),INDEX('Facility Master'!K:K,MATCH(YBL_TL_SNo,'Facility Master'!A:A,0)),0),0)</f>
        <v>320.7</v>
      </c>
      <c r="K8" s="885">
        <v>0</v>
      </c>
      <c r="L8" s="885">
        <f>IFERROR((I8+J8-K8/2)*INDEX('Facility Master'!R:R,MATCH(YBL_TL_SNo,'Facility Master'!A:A,0))*IF(B8&lt;INDEX('Facility Master'!X:X,MATCH(YBL_TL_SNo,'Facility Master'!A:A,0)),0,IF(I8=0,MAX(0,B8-INDEX('Facility Master'!X:X,MATCH(YBL_TL_SNo,'Facility Master'!A:A,0))),B8-B7))/DaysInYear,0)</f>
        <v>1.0148178082191781</v>
      </c>
      <c r="M8" s="914">
        <f t="shared" si="5"/>
        <v>320.7</v>
      </c>
      <c r="N8" s="906">
        <f t="shared" si="6"/>
        <v>0</v>
      </c>
      <c r="O8" s="885">
        <f>IFERROR(IF(AND(INDEX('Facility Master'!X:X,MATCH(Bajaj_TL_SNo,'Facility Master'!A:A,0))&gt;B7,INDEX('Facility Master'!X:X,MATCH(Bajaj_TL_SNo,'Facility Master'!A:A,0))&lt;=B8),INDEX('Facility Master'!K:K,MATCH(Bajaj_TL_SNo,'Facility Master'!A:A,0)),0),0)</f>
        <v>0</v>
      </c>
      <c r="P8" s="885">
        <v>0</v>
      </c>
      <c r="Q8" s="885">
        <f>IFERROR((N8+O8-P8/2)*INDEX('Facility Master'!R:R,MATCH(Bajaj_TL_SNo,'Facility Master'!A:A,0))*IF(B8&lt;INDEX('Facility Master'!X:X,MATCH(Bajaj_TL_SNo,'Facility Master'!A:A,0)),0,IF(N8=0,MAX(0,B8-INDEX('Facility Master'!X:X,MATCH(Bajaj_TL_SNo,'Facility Master'!A:A,0))),B8-B7))/DaysInYear,0)</f>
        <v>0</v>
      </c>
      <c r="R8" s="914">
        <f t="shared" si="7"/>
        <v>0</v>
      </c>
      <c r="S8" s="917">
        <f t="shared" si="0"/>
        <v>0</v>
      </c>
      <c r="T8" s="886">
        <f t="shared" si="1"/>
        <v>1.0148178082191781</v>
      </c>
      <c r="U8" s="886">
        <f t="shared" si="2"/>
        <v>1.0148178082191781</v>
      </c>
      <c r="V8" s="887">
        <f t="shared" si="3"/>
        <v>320.7</v>
      </c>
    </row>
    <row r="9" spans="1:702" ht="15" customHeight="1" x14ac:dyDescent="0.3">
      <c r="A9" s="883">
        <v>5</v>
      </c>
      <c r="B9" s="895">
        <v>45747</v>
      </c>
      <c r="C9" s="903" t="s">
        <v>517</v>
      </c>
      <c r="D9" s="899">
        <v>0</v>
      </c>
      <c r="E9" s="884">
        <v>0</v>
      </c>
      <c r="F9" s="884">
        <v>0</v>
      </c>
      <c r="G9" s="884">
        <v>0</v>
      </c>
      <c r="H9" s="910">
        <v>0</v>
      </c>
      <c r="I9" s="906">
        <f t="shared" si="4"/>
        <v>320.7</v>
      </c>
      <c r="J9" s="885">
        <f>IFERROR(IF(AND(INDEX('Facility Master'!X:X,MATCH(YBL_TL_SNo,'Facility Master'!A:A,0))&gt;B8,INDEX('Facility Master'!X:X,MATCH(YBL_TL_SNo,'Facility Master'!A:A,0))&lt;=B9),INDEX('Facility Master'!K:K,MATCH(YBL_TL_SNo,'Facility Master'!A:A,0)),0),0)</f>
        <v>0</v>
      </c>
      <c r="K9" s="885">
        <v>0</v>
      </c>
      <c r="L9" s="885">
        <f>IFERROR((I9+J9-K9/2)*INDEX('Facility Master'!R:R,MATCH(YBL_TL_SNo,'Facility Master'!A:A,0))*IF(B9&lt;INDEX('Facility Master'!X:X,MATCH(YBL_TL_SNo,'Facility Master'!A:A,0)),0,IF(I9=0,MAX(0,B9-INDEX('Facility Master'!X:X,MATCH(YBL_TL_SNo,'Facility Master'!A:A,0))),B9-B8))/DaysInYear,0)</f>
        <v>6.0889068493150686</v>
      </c>
      <c r="M9" s="914">
        <f t="shared" si="5"/>
        <v>320.7</v>
      </c>
      <c r="N9" s="906">
        <f t="shared" si="6"/>
        <v>0</v>
      </c>
      <c r="O9" s="885">
        <f>IFERROR(IF(AND(INDEX('Facility Master'!X:X,MATCH(Bajaj_TL_SNo,'Facility Master'!A:A,0))&gt;B8,INDEX('Facility Master'!X:X,MATCH(Bajaj_TL_SNo,'Facility Master'!A:A,0))&lt;=B9),INDEX('Facility Master'!K:K,MATCH(Bajaj_TL_SNo,'Facility Master'!A:A,0)),0),0)</f>
        <v>0</v>
      </c>
      <c r="P9" s="885">
        <v>0</v>
      </c>
      <c r="Q9" s="885">
        <f>IFERROR((N9+O9-P9/2)*INDEX('Facility Master'!R:R,MATCH(Bajaj_TL_SNo,'Facility Master'!A:A,0))*IF(B9&lt;INDEX('Facility Master'!X:X,MATCH(Bajaj_TL_SNo,'Facility Master'!A:A,0)),0,IF(N9=0,MAX(0,B9-INDEX('Facility Master'!X:X,MATCH(Bajaj_TL_SNo,'Facility Master'!A:A,0))),B9-B8))/DaysInYear,0)</f>
        <v>0</v>
      </c>
      <c r="R9" s="914">
        <f t="shared" si="7"/>
        <v>0</v>
      </c>
      <c r="S9" s="917">
        <f t="shared" si="0"/>
        <v>0</v>
      </c>
      <c r="T9" s="886">
        <f t="shared" si="1"/>
        <v>6.0889068493150686</v>
      </c>
      <c r="U9" s="886">
        <f t="shared" si="2"/>
        <v>6.0889068493150686</v>
      </c>
      <c r="V9" s="887">
        <f t="shared" si="3"/>
        <v>320.7</v>
      </c>
    </row>
    <row r="10" spans="1:702" ht="15" customHeight="1" x14ac:dyDescent="0.3">
      <c r="A10" s="883">
        <v>6</v>
      </c>
      <c r="B10" s="895">
        <v>45838</v>
      </c>
      <c r="C10" s="903" t="s">
        <v>518</v>
      </c>
      <c r="D10" s="899">
        <v>0</v>
      </c>
      <c r="E10" s="884">
        <v>0</v>
      </c>
      <c r="F10" s="884">
        <v>0</v>
      </c>
      <c r="G10" s="884">
        <v>0</v>
      </c>
      <c r="H10" s="910">
        <v>0</v>
      </c>
      <c r="I10" s="906">
        <f t="shared" si="4"/>
        <v>320.7</v>
      </c>
      <c r="J10" s="885">
        <f>IFERROR(IF(AND(INDEX('Facility Master'!X:X,MATCH(YBL_TL_SNo,'Facility Master'!A:A,0))&gt;B9,INDEX('Facility Master'!X:X,MATCH(YBL_TL_SNo,'Facility Master'!A:A,0))&lt;=B10),INDEX('Facility Master'!K:K,MATCH(YBL_TL_SNo,'Facility Master'!A:A,0)),0),0)</f>
        <v>0</v>
      </c>
      <c r="K10" s="885">
        <v>6.1847000000000003</v>
      </c>
      <c r="L10" s="885">
        <f>IFERROR((I10+J10-K10/2)*INDEX('Facility Master'!R:R,MATCH(YBL_TL_SNo,'Facility Master'!A:A,0))*IF(B10&lt;INDEX('Facility Master'!X:X,MATCH(YBL_TL_SNo,'Facility Master'!A:A,0)),0,IF(I10=0,MAX(0,B10-INDEX('Facility Master'!X:X,MATCH(YBL_TL_SNo,'Facility Master'!A:A,0))),B10-B9))/DaysInYear,0)</f>
        <v>6.097196722054794</v>
      </c>
      <c r="M10" s="914">
        <f t="shared" si="5"/>
        <v>314.51530000000002</v>
      </c>
      <c r="N10" s="906">
        <f t="shared" si="6"/>
        <v>0</v>
      </c>
      <c r="O10" s="885">
        <f>IFERROR(IF(AND(INDEX('Facility Master'!X:X,MATCH(Bajaj_TL_SNo,'Facility Master'!A:A,0))&gt;B9,INDEX('Facility Master'!X:X,MATCH(Bajaj_TL_SNo,'Facility Master'!A:A,0))&lt;=B10),INDEX('Facility Master'!K:K,MATCH(Bajaj_TL_SNo,'Facility Master'!A:A,0)),0),0)</f>
        <v>0</v>
      </c>
      <c r="P10" s="885">
        <v>0</v>
      </c>
      <c r="Q10" s="885">
        <f>IFERROR((N10+O10-P10/2)*INDEX('Facility Master'!R:R,MATCH(Bajaj_TL_SNo,'Facility Master'!A:A,0))*IF(B10&lt;INDEX('Facility Master'!X:X,MATCH(Bajaj_TL_SNo,'Facility Master'!A:A,0)),0,IF(N10=0,MAX(0,B10-INDEX('Facility Master'!X:X,MATCH(Bajaj_TL_SNo,'Facility Master'!A:A,0))),B10-B9))/DaysInYear,0)</f>
        <v>0</v>
      </c>
      <c r="R10" s="914">
        <f t="shared" si="7"/>
        <v>0</v>
      </c>
      <c r="S10" s="917">
        <f t="shared" si="0"/>
        <v>6.1847000000000003</v>
      </c>
      <c r="T10" s="886">
        <f t="shared" si="1"/>
        <v>6.097196722054794</v>
      </c>
      <c r="U10" s="886">
        <f t="shared" si="2"/>
        <v>12.281896722054794</v>
      </c>
      <c r="V10" s="887">
        <f t="shared" si="3"/>
        <v>314.51530000000002</v>
      </c>
    </row>
    <row r="11" spans="1:702" ht="15" customHeight="1" x14ac:dyDescent="0.3">
      <c r="A11" s="883">
        <v>7</v>
      </c>
      <c r="B11" s="895">
        <v>45930</v>
      </c>
      <c r="C11" s="903" t="s">
        <v>519</v>
      </c>
      <c r="D11" s="899">
        <v>0</v>
      </c>
      <c r="E11" s="884">
        <v>0</v>
      </c>
      <c r="F11" s="884">
        <v>0</v>
      </c>
      <c r="G11" s="884">
        <v>0</v>
      </c>
      <c r="H11" s="910">
        <v>0</v>
      </c>
      <c r="I11" s="906">
        <f t="shared" si="4"/>
        <v>314.51530000000002</v>
      </c>
      <c r="J11" s="885">
        <f>IFERROR(IF(AND(INDEX('Facility Master'!X:X,MATCH(YBL_TL_SNo,'Facility Master'!A:A,0))&gt;B10,INDEX('Facility Master'!X:X,MATCH(YBL_TL_SNo,'Facility Master'!A:A,0))&lt;=B11),INDEX('Facility Master'!K:K,MATCH(YBL_TL_SNo,'Facility Master'!A:A,0)),0),0)</f>
        <v>0</v>
      </c>
      <c r="K11" s="885">
        <v>6.1847000000000003</v>
      </c>
      <c r="L11" s="885">
        <f>IFERROR((I11+J11-K11/2)*INDEX('Facility Master'!R:R,MATCH(YBL_TL_SNo,'Facility Master'!A:A,0))*IF(B11&lt;INDEX('Facility Master'!X:X,MATCH(YBL_TL_SNo,'Facility Master'!A:A,0)),0,IF(I11=0,MAX(0,B11-INDEX('Facility Master'!X:X,MATCH(YBL_TL_SNo,'Facility Master'!A:A,0))),B11-B10))/DaysInYear,0)</f>
        <v>6.0441648706849316</v>
      </c>
      <c r="M11" s="914">
        <f t="shared" si="5"/>
        <v>308.3306</v>
      </c>
      <c r="N11" s="906">
        <f t="shared" si="6"/>
        <v>0</v>
      </c>
      <c r="O11" s="885">
        <f>IFERROR(IF(AND(INDEX('Facility Master'!X:X,MATCH(Bajaj_TL_SNo,'Facility Master'!A:A,0))&gt;B10,INDEX('Facility Master'!X:X,MATCH(Bajaj_TL_SNo,'Facility Master'!A:A,0))&lt;=B11),INDEX('Facility Master'!K:K,MATCH(Bajaj_TL_SNo,'Facility Master'!A:A,0)),0),0)</f>
        <v>150</v>
      </c>
      <c r="P11" s="885">
        <v>0</v>
      </c>
      <c r="Q11" s="885">
        <f>IFERROR((N11+O11-P11/2)*INDEX('Facility Master'!R:R,MATCH(Bajaj_TL_SNo,'Facility Master'!A:A,0))*IF(B11&lt;INDEX('Facility Master'!X:X,MATCH(Bajaj_TL_SNo,'Facility Master'!A:A,0)),0,IF(N11=0,MAX(0,B11-INDEX('Facility Master'!X:X,MATCH(Bajaj_TL_SNo,'Facility Master'!A:A,0))),B11-B10))/DaysInYear,0)</f>
        <v>1.2723287671232877</v>
      </c>
      <c r="R11" s="914">
        <f t="shared" si="7"/>
        <v>150</v>
      </c>
      <c r="S11" s="917">
        <f t="shared" si="0"/>
        <v>6.1847000000000003</v>
      </c>
      <c r="T11" s="886">
        <f t="shared" si="1"/>
        <v>7.316493637808219</v>
      </c>
      <c r="U11" s="886">
        <f t="shared" si="2"/>
        <v>13.501193637808219</v>
      </c>
      <c r="V11" s="887">
        <f t="shared" si="3"/>
        <v>458.3306</v>
      </c>
    </row>
    <row r="12" spans="1:702" ht="15" customHeight="1" x14ac:dyDescent="0.3">
      <c r="A12" s="883">
        <v>8</v>
      </c>
      <c r="B12" s="895">
        <v>46022</v>
      </c>
      <c r="C12" s="903" t="s">
        <v>520</v>
      </c>
      <c r="D12" s="899">
        <v>0</v>
      </c>
      <c r="E12" s="884">
        <v>0</v>
      </c>
      <c r="F12" s="884">
        <v>0</v>
      </c>
      <c r="G12" s="884">
        <v>0</v>
      </c>
      <c r="H12" s="910">
        <v>0</v>
      </c>
      <c r="I12" s="906">
        <f t="shared" si="4"/>
        <v>308.3306</v>
      </c>
      <c r="J12" s="885">
        <f>IFERROR(IF(AND(INDEX('Facility Master'!X:X,MATCH(YBL_TL_SNo,'Facility Master'!A:A,0))&gt;B11,INDEX('Facility Master'!X:X,MATCH(YBL_TL_SNo,'Facility Master'!A:A,0))&lt;=B12),INDEX('Facility Master'!K:K,MATCH(YBL_TL_SNo,'Facility Master'!A:A,0)),0),0)</f>
        <v>0</v>
      </c>
      <c r="K12" s="885">
        <v>6.1847000000000003</v>
      </c>
      <c r="L12" s="885">
        <f>IFERROR((I12+J12-K12/2)*INDEX('Facility Master'!R:R,MATCH(YBL_TL_SNo,'Facility Master'!A:A,0))*IF(B12&lt;INDEX('Facility Master'!X:X,MATCH(YBL_TL_SNo,'Facility Master'!A:A,0)),0,IF(I12=0,MAX(0,B12-INDEX('Facility Master'!X:X,MATCH(YBL_TL_SNo,'Facility Master'!A:A,0))),B12-B11))/DaysInYear,0)</f>
        <v>5.9241308575342462</v>
      </c>
      <c r="M12" s="914">
        <f t="shared" si="5"/>
        <v>302.14589999999998</v>
      </c>
      <c r="N12" s="906">
        <f t="shared" si="6"/>
        <v>150</v>
      </c>
      <c r="O12" s="885">
        <f>IFERROR(IF(AND(INDEX('Facility Master'!X:X,MATCH(Bajaj_TL_SNo,'Facility Master'!A:A,0))&gt;B11,INDEX('Facility Master'!X:X,MATCH(Bajaj_TL_SNo,'Facility Master'!A:A,0))&lt;=B12),INDEX('Facility Master'!K:K,MATCH(Bajaj_TL_SNo,'Facility Master'!A:A,0)),0),0)</f>
        <v>0</v>
      </c>
      <c r="P12" s="885">
        <v>0</v>
      </c>
      <c r="Q12" s="885">
        <f>IFERROR((N12+O12-P12/2)*INDEX('Facility Master'!R:R,MATCH(Bajaj_TL_SNo,'Facility Master'!A:A,0))*IF(B12&lt;INDEX('Facility Master'!X:X,MATCH(Bajaj_TL_SNo,'Facility Master'!A:A,0)),0,IF(N12=0,MAX(0,B12-INDEX('Facility Master'!X:X,MATCH(Bajaj_TL_SNo,'Facility Master'!A:A,0))),B12-B11))/DaysInYear,0)</f>
        <v>3.2515068493150685</v>
      </c>
      <c r="R12" s="914">
        <f t="shared" si="7"/>
        <v>150</v>
      </c>
      <c r="S12" s="917">
        <f t="shared" si="0"/>
        <v>6.1847000000000003</v>
      </c>
      <c r="T12" s="886">
        <f t="shared" si="1"/>
        <v>9.1756377068493151</v>
      </c>
      <c r="U12" s="886">
        <f t="shared" si="2"/>
        <v>15.360337706849315</v>
      </c>
      <c r="V12" s="887">
        <f t="shared" si="3"/>
        <v>452.14589999999998</v>
      </c>
    </row>
    <row r="13" spans="1:702" ht="15" customHeight="1" x14ac:dyDescent="0.3">
      <c r="A13" s="883">
        <v>9</v>
      </c>
      <c r="B13" s="895">
        <v>46112</v>
      </c>
      <c r="C13" s="903" t="s">
        <v>521</v>
      </c>
      <c r="D13" s="899">
        <v>0</v>
      </c>
      <c r="E13" s="884">
        <v>0</v>
      </c>
      <c r="F13" s="884">
        <v>0</v>
      </c>
      <c r="G13" s="884">
        <v>0</v>
      </c>
      <c r="H13" s="910">
        <v>0</v>
      </c>
      <c r="I13" s="906">
        <f t="shared" si="4"/>
        <v>302.14589999999998</v>
      </c>
      <c r="J13" s="885">
        <f>IFERROR(IF(AND(INDEX('Facility Master'!X:X,MATCH(YBL_TL_SNo,'Facility Master'!A:A,0))&gt;B12,INDEX('Facility Master'!X:X,MATCH(YBL_TL_SNo,'Facility Master'!A:A,0))&lt;=B13),INDEX('Facility Master'!K:K,MATCH(YBL_TL_SNo,'Facility Master'!A:A,0)),0),0)</f>
        <v>0</v>
      </c>
      <c r="K13" s="885">
        <v>6.1847000000000003</v>
      </c>
      <c r="L13" s="885">
        <f>IFERROR((I13+J13-K13/2)*INDEX('Facility Master'!R:R,MATCH(YBL_TL_SNo,'Facility Master'!A:A,0))*IF(B13&lt;INDEX('Facility Master'!X:X,MATCH(YBL_TL_SNo,'Facility Master'!A:A,0)),0,IF(I13=0,MAX(0,B13-INDEX('Facility Master'!X:X,MATCH(YBL_TL_SNo,'Facility Master'!A:A,0))),B13-B12))/DaysInYear,0)</f>
        <v>5.6779208260273961</v>
      </c>
      <c r="M13" s="914">
        <f t="shared" si="5"/>
        <v>295.96120000000002</v>
      </c>
      <c r="N13" s="906">
        <f t="shared" si="6"/>
        <v>150</v>
      </c>
      <c r="O13" s="885">
        <f>IFERROR(IF(AND(INDEX('Facility Master'!X:X,MATCH(Bajaj_TL_SNo,'Facility Master'!A:A,0))&gt;B12,INDEX('Facility Master'!X:X,MATCH(Bajaj_TL_SNo,'Facility Master'!A:A,0))&lt;=B13),INDEX('Facility Master'!K:K,MATCH(Bajaj_TL_SNo,'Facility Master'!A:A,0)),0),0)</f>
        <v>0</v>
      </c>
      <c r="P13" s="885">
        <v>0</v>
      </c>
      <c r="Q13" s="885">
        <f>IFERROR((N13+O13-P13/2)*INDEX('Facility Master'!R:R,MATCH(Bajaj_TL_SNo,'Facility Master'!A:A,0))*IF(B13&lt;INDEX('Facility Master'!X:X,MATCH(Bajaj_TL_SNo,'Facility Master'!A:A,0)),0,IF(N13=0,MAX(0,B13-INDEX('Facility Master'!X:X,MATCH(Bajaj_TL_SNo,'Facility Master'!A:A,0))),B13-B12))/DaysInYear,0)</f>
        <v>3.1808219178082191</v>
      </c>
      <c r="R13" s="914">
        <f t="shared" si="7"/>
        <v>150</v>
      </c>
      <c r="S13" s="917">
        <f t="shared" si="0"/>
        <v>6.1847000000000003</v>
      </c>
      <c r="T13" s="886">
        <f t="shared" si="1"/>
        <v>8.8587427438356148</v>
      </c>
      <c r="U13" s="886">
        <f t="shared" si="2"/>
        <v>15.043442743835616</v>
      </c>
      <c r="V13" s="887">
        <f t="shared" si="3"/>
        <v>445.96120000000002</v>
      </c>
    </row>
    <row r="14" spans="1:702" ht="15" customHeight="1" x14ac:dyDescent="0.3">
      <c r="A14" s="883">
        <v>10</v>
      </c>
      <c r="B14" s="895">
        <v>46203</v>
      </c>
      <c r="C14" s="903" t="s">
        <v>522</v>
      </c>
      <c r="D14" s="899">
        <v>0</v>
      </c>
      <c r="E14" s="884">
        <v>0</v>
      </c>
      <c r="F14" s="884">
        <v>0</v>
      </c>
      <c r="G14" s="884">
        <v>0</v>
      </c>
      <c r="H14" s="910">
        <v>0</v>
      </c>
      <c r="I14" s="906">
        <f t="shared" si="4"/>
        <v>295.96120000000002</v>
      </c>
      <c r="J14" s="885">
        <f>IFERROR(IF(AND(INDEX('Facility Master'!X:X,MATCH(YBL_TL_SNo,'Facility Master'!A:A,0))&gt;B13,INDEX('Facility Master'!X:X,MATCH(YBL_TL_SNo,'Facility Master'!A:A,0))&lt;=B14),INDEX('Facility Master'!K:K,MATCH(YBL_TL_SNo,'Facility Master'!A:A,0)),0),0)</f>
        <v>0</v>
      </c>
      <c r="K14" s="885">
        <v>6.1847000000000003</v>
      </c>
      <c r="L14" s="885">
        <f>IFERROR((I14+J14-K14/2)*INDEX('Facility Master'!R:R,MATCH(YBL_TL_SNo,'Facility Master'!A:A,0))*IF(B14&lt;INDEX('Facility Master'!X:X,MATCH(YBL_TL_SNo,'Facility Master'!A:A,0)),0,IF(I14=0,MAX(0,B14-INDEX('Facility Master'!X:X,MATCH(YBL_TL_SNo,'Facility Master'!A:A,0))),B14-B13))/DaysInYear,0)</f>
        <v>5.6222795395890408</v>
      </c>
      <c r="M14" s="914">
        <f t="shared" si="5"/>
        <v>289.7765</v>
      </c>
      <c r="N14" s="906">
        <f t="shared" si="6"/>
        <v>150</v>
      </c>
      <c r="O14" s="885">
        <f>IFERROR(IF(AND(INDEX('Facility Master'!X:X,MATCH(Bajaj_TL_SNo,'Facility Master'!A:A,0))&gt;B13,INDEX('Facility Master'!X:X,MATCH(Bajaj_TL_SNo,'Facility Master'!A:A,0))&lt;=B14),INDEX('Facility Master'!K:K,MATCH(Bajaj_TL_SNo,'Facility Master'!A:A,0)),0),0)</f>
        <v>0</v>
      </c>
      <c r="P14" s="885">
        <v>0</v>
      </c>
      <c r="Q14" s="885">
        <f>IFERROR((N14+O14-P14/2)*INDEX('Facility Master'!R:R,MATCH(Bajaj_TL_SNo,'Facility Master'!A:A,0))*IF(B14&lt;INDEX('Facility Master'!X:X,MATCH(Bajaj_TL_SNo,'Facility Master'!A:A,0)),0,IF(N14=0,MAX(0,B14-INDEX('Facility Master'!X:X,MATCH(Bajaj_TL_SNo,'Facility Master'!A:A,0))),B14-B13))/DaysInYear,0)</f>
        <v>3.2161643835616442</v>
      </c>
      <c r="R14" s="914">
        <f t="shared" si="7"/>
        <v>150</v>
      </c>
      <c r="S14" s="917">
        <f t="shared" si="0"/>
        <v>6.1847000000000003</v>
      </c>
      <c r="T14" s="886">
        <f t="shared" si="1"/>
        <v>8.8384439231506846</v>
      </c>
      <c r="U14" s="886">
        <f t="shared" si="2"/>
        <v>15.023143923150684</v>
      </c>
      <c r="V14" s="887">
        <f t="shared" si="3"/>
        <v>439.7765</v>
      </c>
    </row>
    <row r="15" spans="1:702" ht="15" customHeight="1" x14ac:dyDescent="0.3">
      <c r="A15" s="883">
        <v>11</v>
      </c>
      <c r="B15" s="895">
        <v>46295</v>
      </c>
      <c r="C15" s="903" t="s">
        <v>523</v>
      </c>
      <c r="D15" s="899">
        <v>0</v>
      </c>
      <c r="E15" s="884">
        <v>0</v>
      </c>
      <c r="F15" s="884">
        <v>0</v>
      </c>
      <c r="G15" s="884">
        <v>0</v>
      </c>
      <c r="H15" s="910">
        <v>0</v>
      </c>
      <c r="I15" s="906">
        <f t="shared" si="4"/>
        <v>289.7765</v>
      </c>
      <c r="J15" s="885">
        <f>IFERROR(IF(AND(INDEX('Facility Master'!X:X,MATCH(YBL_TL_SNo,'Facility Master'!A:A,0))&gt;B14,INDEX('Facility Master'!X:X,MATCH(YBL_TL_SNo,'Facility Master'!A:A,0))&lt;=B15),INDEX('Facility Master'!K:K,MATCH(YBL_TL_SNo,'Facility Master'!A:A,0)),0),0)</f>
        <v>0</v>
      </c>
      <c r="K15" s="885">
        <v>6.1847000000000003</v>
      </c>
      <c r="L15" s="885">
        <f>IFERROR((I15+J15-K15/2)*INDEX('Facility Master'!R:R,MATCH(YBL_TL_SNo,'Facility Master'!A:A,0))*IF(B15&lt;INDEX('Facility Master'!X:X,MATCH(YBL_TL_SNo,'Facility Master'!A:A,0)),0,IF(I15=0,MAX(0,B15-INDEX('Facility Master'!X:X,MATCH(YBL_TL_SNo,'Facility Master'!A:A,0))),B15-B14))/DaysInYear,0)</f>
        <v>5.5640288180821917</v>
      </c>
      <c r="M15" s="914">
        <f t="shared" si="5"/>
        <v>283.59179999999998</v>
      </c>
      <c r="N15" s="906">
        <f t="shared" si="6"/>
        <v>150</v>
      </c>
      <c r="O15" s="885">
        <f>IFERROR(IF(AND(INDEX('Facility Master'!X:X,MATCH(Bajaj_TL_SNo,'Facility Master'!A:A,0))&gt;B14,INDEX('Facility Master'!X:X,MATCH(Bajaj_TL_SNo,'Facility Master'!A:A,0))&lt;=B15),INDEX('Facility Master'!K:K,MATCH(Bajaj_TL_SNo,'Facility Master'!A:A,0)),0),0)</f>
        <v>0</v>
      </c>
      <c r="P15" s="885">
        <v>0</v>
      </c>
      <c r="Q15" s="885">
        <f>IFERROR((N15+O15-P15/2)*INDEX('Facility Master'!R:R,MATCH(Bajaj_TL_SNo,'Facility Master'!A:A,0))*IF(B15&lt;INDEX('Facility Master'!X:X,MATCH(Bajaj_TL_SNo,'Facility Master'!A:A,0)),0,IF(N15=0,MAX(0,B15-INDEX('Facility Master'!X:X,MATCH(Bajaj_TL_SNo,'Facility Master'!A:A,0))),B15-B14))/DaysInYear,0)</f>
        <v>3.2515068493150685</v>
      </c>
      <c r="R15" s="914">
        <f t="shared" si="7"/>
        <v>150</v>
      </c>
      <c r="S15" s="917">
        <f t="shared" si="0"/>
        <v>6.1847000000000003</v>
      </c>
      <c r="T15" s="886">
        <f t="shared" si="1"/>
        <v>8.8155356673972598</v>
      </c>
      <c r="U15" s="886">
        <f t="shared" si="2"/>
        <v>15.000235667397259</v>
      </c>
      <c r="V15" s="887">
        <f t="shared" si="3"/>
        <v>433.59179999999998</v>
      </c>
    </row>
    <row r="16" spans="1:702" ht="15" customHeight="1" x14ac:dyDescent="0.3">
      <c r="A16" s="883">
        <v>12</v>
      </c>
      <c r="B16" s="895">
        <v>46387</v>
      </c>
      <c r="C16" s="903" t="s">
        <v>524</v>
      </c>
      <c r="D16" s="899">
        <v>0</v>
      </c>
      <c r="E16" s="884">
        <v>0</v>
      </c>
      <c r="F16" s="884">
        <v>0</v>
      </c>
      <c r="G16" s="884">
        <v>0</v>
      </c>
      <c r="H16" s="910">
        <v>0</v>
      </c>
      <c r="I16" s="906">
        <f t="shared" si="4"/>
        <v>283.59179999999998</v>
      </c>
      <c r="J16" s="885">
        <f>IFERROR(IF(AND(INDEX('Facility Master'!X:X,MATCH(YBL_TL_SNo,'Facility Master'!A:A,0))&gt;B15,INDEX('Facility Master'!X:X,MATCH(YBL_TL_SNo,'Facility Master'!A:A,0))&lt;=B16),INDEX('Facility Master'!K:K,MATCH(YBL_TL_SNo,'Facility Master'!A:A,0)),0),0)</f>
        <v>0</v>
      </c>
      <c r="K16" s="885">
        <v>6.1847000000000003</v>
      </c>
      <c r="L16" s="885">
        <f>IFERROR((I16+J16-K16/2)*INDEX('Facility Master'!R:R,MATCH(YBL_TL_SNo,'Facility Master'!A:A,0))*IF(B16&lt;INDEX('Facility Master'!X:X,MATCH(YBL_TL_SNo,'Facility Master'!A:A,0)),0,IF(I16=0,MAX(0,B16-INDEX('Facility Master'!X:X,MATCH(YBL_TL_SNo,'Facility Master'!A:A,0))),B16-B15))/DaysInYear,0)</f>
        <v>5.4439948049315063</v>
      </c>
      <c r="M16" s="914">
        <f t="shared" si="5"/>
        <v>277.40710000000001</v>
      </c>
      <c r="N16" s="906">
        <f t="shared" si="6"/>
        <v>150</v>
      </c>
      <c r="O16" s="885">
        <f>IFERROR(IF(AND(INDEX('Facility Master'!X:X,MATCH(Bajaj_TL_SNo,'Facility Master'!A:A,0))&gt;B15,INDEX('Facility Master'!X:X,MATCH(Bajaj_TL_SNo,'Facility Master'!A:A,0))&lt;=B16),INDEX('Facility Master'!K:K,MATCH(Bajaj_TL_SNo,'Facility Master'!A:A,0)),0),0)</f>
        <v>0</v>
      </c>
      <c r="P16" s="885">
        <v>5.3571429000000004</v>
      </c>
      <c r="Q16" s="885">
        <f>IFERROR((N16+O16-P16/2)*INDEX('Facility Master'!R:R,MATCH(Bajaj_TL_SNo,'Facility Master'!A:A,0))*IF(B16&lt;INDEX('Facility Master'!X:X,MATCH(Bajaj_TL_SNo,'Facility Master'!A:A,0)),0,IF(N16=0,MAX(0,B16-INDEX('Facility Master'!X:X,MATCH(Bajaj_TL_SNo,'Facility Master'!A:A,0))),B16-B15))/DaysInYear,0)</f>
        <v>3.1934442265413701</v>
      </c>
      <c r="R16" s="914">
        <f t="shared" si="7"/>
        <v>144.64285699999999</v>
      </c>
      <c r="S16" s="917">
        <f t="shared" si="0"/>
        <v>11.541842900000001</v>
      </c>
      <c r="T16" s="886">
        <f t="shared" si="1"/>
        <v>8.6374390314728764</v>
      </c>
      <c r="U16" s="886">
        <f t="shared" si="2"/>
        <v>20.179281931472879</v>
      </c>
      <c r="V16" s="887">
        <f t="shared" si="3"/>
        <v>422.04995700000001</v>
      </c>
    </row>
    <row r="17" spans="1:22" ht="15" customHeight="1" x14ac:dyDescent="0.3">
      <c r="A17" s="883">
        <v>13</v>
      </c>
      <c r="B17" s="895">
        <v>46477</v>
      </c>
      <c r="C17" s="903" t="s">
        <v>525</v>
      </c>
      <c r="D17" s="899">
        <v>0</v>
      </c>
      <c r="E17" s="884">
        <v>0</v>
      </c>
      <c r="F17" s="884">
        <v>0</v>
      </c>
      <c r="G17" s="884">
        <v>0</v>
      </c>
      <c r="H17" s="910">
        <v>0</v>
      </c>
      <c r="I17" s="906">
        <f t="shared" si="4"/>
        <v>277.40710000000001</v>
      </c>
      <c r="J17" s="885">
        <f>IFERROR(IF(AND(INDEX('Facility Master'!X:X,MATCH(YBL_TL_SNo,'Facility Master'!A:A,0))&gt;B16,INDEX('Facility Master'!X:X,MATCH(YBL_TL_SNo,'Facility Master'!A:A,0))&lt;=B17),INDEX('Facility Master'!K:K,MATCH(YBL_TL_SNo,'Facility Master'!A:A,0)),0),0)</f>
        <v>0</v>
      </c>
      <c r="K17" s="885">
        <v>6.1847000000000003</v>
      </c>
      <c r="L17" s="885">
        <f>IFERROR((I17+J17-K17/2)*INDEX('Facility Master'!R:R,MATCH(YBL_TL_SNo,'Facility Master'!A:A,0))*IF(B17&lt;INDEX('Facility Master'!X:X,MATCH(YBL_TL_SNo,'Facility Master'!A:A,0)),0,IF(I17=0,MAX(0,B17-INDEX('Facility Master'!X:X,MATCH(YBL_TL_SNo,'Facility Master'!A:A,0))),B17-B16))/DaysInYear,0)</f>
        <v>5.2082225136986304</v>
      </c>
      <c r="M17" s="914">
        <f t="shared" si="5"/>
        <v>271.22239999999999</v>
      </c>
      <c r="N17" s="906">
        <f t="shared" si="6"/>
        <v>144.64285699999999</v>
      </c>
      <c r="O17" s="885">
        <f>IFERROR(IF(AND(INDEX('Facility Master'!X:X,MATCH(Bajaj_TL_SNo,'Facility Master'!A:A,0))&gt;B16,INDEX('Facility Master'!X:X,MATCH(Bajaj_TL_SNo,'Facility Master'!A:A,0))&lt;=B17),INDEX('Facility Master'!K:K,MATCH(Bajaj_TL_SNo,'Facility Master'!A:A,0)),0),0)</f>
        <v>0</v>
      </c>
      <c r="P17" s="885">
        <v>5.3571429000000004</v>
      </c>
      <c r="Q17" s="885">
        <f>IFERROR((N17+O17-P17/2)*INDEX('Facility Master'!R:R,MATCH(Bajaj_TL_SNo,'Facility Master'!A:A,0))*IF(B17&lt;INDEX('Facility Master'!X:X,MATCH(Bajaj_TL_SNo,'Facility Master'!A:A,0)),0,IF(N17=0,MAX(0,B17-INDEX('Facility Master'!X:X,MATCH(Bajaj_TL_SNo,'Facility Master'!A:A,0))),B17-B16))/DaysInYear,0)</f>
        <v>3.0104207401561642</v>
      </c>
      <c r="R17" s="914">
        <f t="shared" si="7"/>
        <v>139.28571400000001</v>
      </c>
      <c r="S17" s="917">
        <f t="shared" si="0"/>
        <v>11.541842900000001</v>
      </c>
      <c r="T17" s="886">
        <f t="shared" si="1"/>
        <v>8.2186432538547951</v>
      </c>
      <c r="U17" s="886">
        <f t="shared" si="2"/>
        <v>19.760486153854796</v>
      </c>
      <c r="V17" s="887">
        <f t="shared" si="3"/>
        <v>410.50811399999998</v>
      </c>
    </row>
    <row r="18" spans="1:22" ht="15" customHeight="1" x14ac:dyDescent="0.3">
      <c r="A18" s="883">
        <v>14</v>
      </c>
      <c r="B18" s="895">
        <v>46568</v>
      </c>
      <c r="C18" s="903" t="s">
        <v>526</v>
      </c>
      <c r="D18" s="899">
        <v>0</v>
      </c>
      <c r="E18" s="884">
        <v>0</v>
      </c>
      <c r="F18" s="884">
        <v>0</v>
      </c>
      <c r="G18" s="884">
        <v>0</v>
      </c>
      <c r="H18" s="910">
        <v>0</v>
      </c>
      <c r="I18" s="906">
        <f t="shared" si="4"/>
        <v>271.22239999999999</v>
      </c>
      <c r="J18" s="885">
        <f>IFERROR(IF(AND(INDEX('Facility Master'!X:X,MATCH(YBL_TL_SNo,'Facility Master'!A:A,0))&gt;B17,INDEX('Facility Master'!X:X,MATCH(YBL_TL_SNo,'Facility Master'!A:A,0))&lt;=B18),INDEX('Facility Master'!K:K,MATCH(YBL_TL_SNo,'Facility Master'!A:A,0)),0),0)</f>
        <v>0</v>
      </c>
      <c r="K18" s="885">
        <v>6.1847000000000003</v>
      </c>
      <c r="L18" s="885">
        <f>IFERROR((I18+J18-K18/2)*INDEX('Facility Master'!R:R,MATCH(YBL_TL_SNo,'Facility Master'!A:A,0))*IF(B18&lt;INDEX('Facility Master'!X:X,MATCH(YBL_TL_SNo,'Facility Master'!A:A,0)),0,IF(I18=0,MAX(0,B18-INDEX('Facility Master'!X:X,MATCH(YBL_TL_SNo,'Facility Master'!A:A,0))),B18-B17))/DaysInYear,0)</f>
        <v>5.1473623571232876</v>
      </c>
      <c r="M18" s="914">
        <f t="shared" si="5"/>
        <v>265.03769999999997</v>
      </c>
      <c r="N18" s="906">
        <f t="shared" si="6"/>
        <v>139.28571400000001</v>
      </c>
      <c r="O18" s="885">
        <f>IFERROR(IF(AND(INDEX('Facility Master'!X:X,MATCH(Bajaj_TL_SNo,'Facility Master'!A:A,0))&gt;B17,INDEX('Facility Master'!X:X,MATCH(Bajaj_TL_SNo,'Facility Master'!A:A,0))&lt;=B18),INDEX('Facility Master'!K:K,MATCH(Bajaj_TL_SNo,'Facility Master'!A:A,0)),0),0)</f>
        <v>0</v>
      </c>
      <c r="P18" s="885">
        <v>5.3571429000000004</v>
      </c>
      <c r="Q18" s="885">
        <f>IFERROR((N18+O18-P18/2)*INDEX('Facility Master'!R:R,MATCH(Bajaj_TL_SNo,'Facility Master'!A:A,0))*IF(B18&lt;INDEX('Facility Master'!X:X,MATCH(Bajaj_TL_SNo,'Facility Master'!A:A,0)),0,IF(N18=0,MAX(0,B18-INDEX('Facility Master'!X:X,MATCH(Bajaj_TL_SNo,'Facility Master'!A:A,0))),B18-B17))/DaysInYear,0)</f>
        <v>2.9290068427295894</v>
      </c>
      <c r="R18" s="914">
        <f t="shared" si="7"/>
        <v>133.92857100000001</v>
      </c>
      <c r="S18" s="917">
        <f t="shared" si="0"/>
        <v>11.541842900000001</v>
      </c>
      <c r="T18" s="886">
        <f t="shared" si="1"/>
        <v>8.076369199852877</v>
      </c>
      <c r="U18" s="886">
        <f t="shared" si="2"/>
        <v>19.618212099852876</v>
      </c>
      <c r="V18" s="887">
        <f t="shared" si="3"/>
        <v>398.96627100000001</v>
      </c>
    </row>
    <row r="19" spans="1:22" ht="15" customHeight="1" x14ac:dyDescent="0.3">
      <c r="A19" s="883">
        <v>15</v>
      </c>
      <c r="B19" s="895">
        <v>46660</v>
      </c>
      <c r="C19" s="903" t="s">
        <v>527</v>
      </c>
      <c r="D19" s="899">
        <v>0</v>
      </c>
      <c r="E19" s="884">
        <v>0</v>
      </c>
      <c r="F19" s="884">
        <v>0</v>
      </c>
      <c r="G19" s="884">
        <v>0</v>
      </c>
      <c r="H19" s="910">
        <v>0</v>
      </c>
      <c r="I19" s="906">
        <f t="shared" si="4"/>
        <v>265.03769999999997</v>
      </c>
      <c r="J19" s="885">
        <f>IFERROR(IF(AND(INDEX('Facility Master'!X:X,MATCH(YBL_TL_SNo,'Facility Master'!A:A,0))&gt;B18,INDEX('Facility Master'!X:X,MATCH(YBL_TL_SNo,'Facility Master'!A:A,0))&lt;=B19),INDEX('Facility Master'!K:K,MATCH(YBL_TL_SNo,'Facility Master'!A:A,0)),0),0)</f>
        <v>0</v>
      </c>
      <c r="K19" s="885">
        <v>6.1847000000000003</v>
      </c>
      <c r="L19" s="885">
        <f>IFERROR((I19+J19-K19/2)*INDEX('Facility Master'!R:R,MATCH(YBL_TL_SNo,'Facility Master'!A:A,0))*IF(B19&lt;INDEX('Facility Master'!X:X,MATCH(YBL_TL_SNo,'Facility Master'!A:A,0)),0,IF(I19=0,MAX(0,B19-INDEX('Facility Master'!X:X,MATCH(YBL_TL_SNo,'Facility Master'!A:A,0))),B19-B18))/DaysInYear,0)</f>
        <v>5.083892765479451</v>
      </c>
      <c r="M19" s="914">
        <f t="shared" si="5"/>
        <v>258.85300000000001</v>
      </c>
      <c r="N19" s="906">
        <f t="shared" si="6"/>
        <v>133.92857100000001</v>
      </c>
      <c r="O19" s="885">
        <f>IFERROR(IF(AND(INDEX('Facility Master'!X:X,MATCH(Bajaj_TL_SNo,'Facility Master'!A:A,0))&gt;B18,INDEX('Facility Master'!X:X,MATCH(Bajaj_TL_SNo,'Facility Master'!A:A,0))&lt;=B19),INDEX('Facility Master'!K:K,MATCH(Bajaj_TL_SNo,'Facility Master'!A:A,0)),0),0)</f>
        <v>0</v>
      </c>
      <c r="P19" s="885">
        <v>5.3571429000000004</v>
      </c>
      <c r="Q19" s="885">
        <f>IFERROR((N19+O19-P19/2)*INDEX('Facility Master'!R:R,MATCH(Bajaj_TL_SNo,'Facility Master'!A:A,0))*IF(B19&lt;INDEX('Facility Master'!X:X,MATCH(Bajaj_TL_SNo,'Facility Master'!A:A,0)),0,IF(N19=0,MAX(0,B19-INDEX('Facility Master'!X:X,MATCH(Bajaj_TL_SNo,'Facility Master'!A:A,0))),B19-B18))/DaysInYear,0)</f>
        <v>2.8450684833961648</v>
      </c>
      <c r="R19" s="914">
        <f t="shared" si="7"/>
        <v>128.571428</v>
      </c>
      <c r="S19" s="917">
        <f t="shared" si="0"/>
        <v>11.541842900000001</v>
      </c>
      <c r="T19" s="886">
        <f t="shared" si="1"/>
        <v>7.9289612488756163</v>
      </c>
      <c r="U19" s="886">
        <f t="shared" si="2"/>
        <v>19.470804148875615</v>
      </c>
      <c r="V19" s="887">
        <f t="shared" si="3"/>
        <v>387.42442800000003</v>
      </c>
    </row>
    <row r="20" spans="1:22" ht="15" customHeight="1" x14ac:dyDescent="0.3">
      <c r="A20" s="883">
        <v>16</v>
      </c>
      <c r="B20" s="895">
        <v>46752</v>
      </c>
      <c r="C20" s="903" t="s">
        <v>528</v>
      </c>
      <c r="D20" s="899">
        <v>0</v>
      </c>
      <c r="E20" s="884">
        <v>0</v>
      </c>
      <c r="F20" s="884">
        <v>0</v>
      </c>
      <c r="G20" s="884">
        <v>0</v>
      </c>
      <c r="H20" s="910">
        <v>0</v>
      </c>
      <c r="I20" s="906">
        <f t="shared" si="4"/>
        <v>258.85300000000001</v>
      </c>
      <c r="J20" s="885">
        <f>IFERROR(IF(AND(INDEX('Facility Master'!X:X,MATCH(YBL_TL_SNo,'Facility Master'!A:A,0))&gt;B19,INDEX('Facility Master'!X:X,MATCH(YBL_TL_SNo,'Facility Master'!A:A,0))&lt;=B20),INDEX('Facility Master'!K:K,MATCH(YBL_TL_SNo,'Facility Master'!A:A,0)),0),0)</f>
        <v>0</v>
      </c>
      <c r="K20" s="885">
        <v>6.1847000000000003</v>
      </c>
      <c r="L20" s="885">
        <f>IFERROR((I20+J20-K20/2)*INDEX('Facility Master'!R:R,MATCH(YBL_TL_SNo,'Facility Master'!A:A,0))*IF(B20&lt;INDEX('Facility Master'!X:X,MATCH(YBL_TL_SNo,'Facility Master'!A:A,0)),0,IF(I20=0,MAX(0,B20-INDEX('Facility Master'!X:X,MATCH(YBL_TL_SNo,'Facility Master'!A:A,0))),B20-B19))/DaysInYear,0)</f>
        <v>4.9638587523287665</v>
      </c>
      <c r="M20" s="914">
        <f t="shared" si="5"/>
        <v>252.66829999999999</v>
      </c>
      <c r="N20" s="906">
        <f t="shared" si="6"/>
        <v>128.571428</v>
      </c>
      <c r="O20" s="885">
        <f>IFERROR(IF(AND(INDEX('Facility Master'!X:X,MATCH(Bajaj_TL_SNo,'Facility Master'!A:A,0))&gt;B19,INDEX('Facility Master'!X:X,MATCH(Bajaj_TL_SNo,'Facility Master'!A:A,0))&lt;=B20),INDEX('Facility Master'!K:K,MATCH(Bajaj_TL_SNo,'Facility Master'!A:A,0)),0),0)</f>
        <v>0</v>
      </c>
      <c r="P20" s="885">
        <v>5.3571429000000004</v>
      </c>
      <c r="Q20" s="885">
        <f>IFERROR((N20+O20-P20/2)*INDEX('Facility Master'!R:R,MATCH(Bajaj_TL_SNo,'Facility Master'!A:A,0))*IF(B20&lt;INDEX('Facility Master'!X:X,MATCH(Bajaj_TL_SNo,'Facility Master'!A:A,0)),0,IF(N20=0,MAX(0,B20-INDEX('Facility Master'!X:X,MATCH(Bajaj_TL_SNo,'Facility Master'!A:A,0))),B20-B19))/DaysInYear,0)</f>
        <v>2.7289432356810961</v>
      </c>
      <c r="R20" s="914">
        <f t="shared" si="7"/>
        <v>123.214285</v>
      </c>
      <c r="S20" s="917">
        <f t="shared" si="0"/>
        <v>11.541842900000001</v>
      </c>
      <c r="T20" s="886">
        <f t="shared" si="1"/>
        <v>7.6928019880098626</v>
      </c>
      <c r="U20" s="886">
        <f t="shared" si="2"/>
        <v>19.234644888009864</v>
      </c>
      <c r="V20" s="887">
        <f t="shared" si="3"/>
        <v>375.88258500000001</v>
      </c>
    </row>
    <row r="21" spans="1:22" ht="15" customHeight="1" x14ac:dyDescent="0.3">
      <c r="A21" s="883">
        <v>17</v>
      </c>
      <c r="B21" s="895">
        <v>46843</v>
      </c>
      <c r="C21" s="903" t="s">
        <v>529</v>
      </c>
      <c r="D21" s="899">
        <v>0</v>
      </c>
      <c r="E21" s="884">
        <v>0</v>
      </c>
      <c r="F21" s="884">
        <v>0</v>
      </c>
      <c r="G21" s="884">
        <v>0</v>
      </c>
      <c r="H21" s="910">
        <v>0</v>
      </c>
      <c r="I21" s="906">
        <f t="shared" si="4"/>
        <v>252.66829999999999</v>
      </c>
      <c r="J21" s="885">
        <f>IFERROR(IF(AND(INDEX('Facility Master'!X:X,MATCH(YBL_TL_SNo,'Facility Master'!A:A,0))&gt;B20,INDEX('Facility Master'!X:X,MATCH(YBL_TL_SNo,'Facility Master'!A:A,0))&lt;=B21),INDEX('Facility Master'!K:K,MATCH(YBL_TL_SNo,'Facility Master'!A:A,0)),0),0)</f>
        <v>0</v>
      </c>
      <c r="K21" s="885">
        <v>6.1847000000000003</v>
      </c>
      <c r="L21" s="885">
        <f>IFERROR((I21+J21-K21/2)*INDEX('Facility Master'!R:R,MATCH(YBL_TL_SNo,'Facility Master'!A:A,0))*IF(B21&lt;INDEX('Facility Master'!X:X,MATCH(YBL_TL_SNo,'Facility Master'!A:A,0)),0,IF(I21=0,MAX(0,B21-INDEX('Facility Master'!X:X,MATCH(YBL_TL_SNo,'Facility Master'!A:A,0))),B21-B20))/DaysInYear,0)</f>
        <v>4.7911744702739725</v>
      </c>
      <c r="M21" s="914">
        <f t="shared" si="5"/>
        <v>246.4836</v>
      </c>
      <c r="N21" s="906">
        <f t="shared" si="6"/>
        <v>123.214285</v>
      </c>
      <c r="O21" s="885">
        <f>IFERROR(IF(AND(INDEX('Facility Master'!X:X,MATCH(Bajaj_TL_SNo,'Facility Master'!A:A,0))&gt;B20,INDEX('Facility Master'!X:X,MATCH(Bajaj_TL_SNo,'Facility Master'!A:A,0))&lt;=B21),INDEX('Facility Master'!K:K,MATCH(Bajaj_TL_SNo,'Facility Master'!A:A,0)),0),0)</f>
        <v>0</v>
      </c>
      <c r="P21" s="885">
        <v>5.3571429000000004</v>
      </c>
      <c r="Q21" s="885">
        <f>IFERROR((N21+O21-P21/2)*INDEX('Facility Master'!R:R,MATCH(Bajaj_TL_SNo,'Facility Master'!A:A,0))*IF(B21&lt;INDEX('Facility Master'!X:X,MATCH(Bajaj_TL_SNo,'Facility Master'!A:A,0)),0,IF(N21=0,MAX(0,B21-INDEX('Facility Master'!X:X,MATCH(Bajaj_TL_SNo,'Facility Master'!A:A,0))),B21-B20))/DaysInYear,0)</f>
        <v>2.5844177924446576</v>
      </c>
      <c r="R21" s="914">
        <f t="shared" si="7"/>
        <v>117.857142</v>
      </c>
      <c r="S21" s="917">
        <f t="shared" si="0"/>
        <v>11.541842900000001</v>
      </c>
      <c r="T21" s="886">
        <f t="shared" si="1"/>
        <v>7.3755922627186301</v>
      </c>
      <c r="U21" s="886">
        <f t="shared" si="2"/>
        <v>18.917435162718633</v>
      </c>
      <c r="V21" s="887">
        <f t="shared" si="3"/>
        <v>364.34074199999998</v>
      </c>
    </row>
    <row r="22" spans="1:22" ht="15" customHeight="1" x14ac:dyDescent="0.3">
      <c r="A22" s="883">
        <v>18</v>
      </c>
      <c r="B22" s="895">
        <v>46934</v>
      </c>
      <c r="C22" s="903" t="s">
        <v>530</v>
      </c>
      <c r="D22" s="899">
        <v>0</v>
      </c>
      <c r="E22" s="884">
        <v>0</v>
      </c>
      <c r="F22" s="884">
        <v>0</v>
      </c>
      <c r="G22" s="884">
        <v>0</v>
      </c>
      <c r="H22" s="910">
        <v>0</v>
      </c>
      <c r="I22" s="906">
        <f t="shared" si="4"/>
        <v>246.4836</v>
      </c>
      <c r="J22" s="885">
        <f>IFERROR(IF(AND(INDEX('Facility Master'!X:X,MATCH(YBL_TL_SNo,'Facility Master'!A:A,0))&gt;B21,INDEX('Facility Master'!X:X,MATCH(YBL_TL_SNo,'Facility Master'!A:A,0))&lt;=B22),INDEX('Facility Master'!K:K,MATCH(YBL_TL_SNo,'Facility Master'!A:A,0)),0),0)</f>
        <v>0</v>
      </c>
      <c r="K22" s="885">
        <v>6.2497999999999996</v>
      </c>
      <c r="L22" s="885">
        <f>IFERROR((I22+J22-K22/2)*INDEX('Facility Master'!R:R,MATCH(YBL_TL_SNo,'Facility Master'!A:A,0))*IF(B22&lt;INDEX('Facility Master'!X:X,MATCH(YBL_TL_SNo,'Facility Master'!A:A,0)),0,IF(I22=0,MAX(0,B22-INDEX('Facility Master'!X:X,MATCH(YBL_TL_SNo,'Facility Master'!A:A,0))),B22-B21))/DaysInYear,0)</f>
        <v>4.6718203038356165</v>
      </c>
      <c r="M22" s="914">
        <f t="shared" si="5"/>
        <v>240.2338</v>
      </c>
      <c r="N22" s="906">
        <f t="shared" si="6"/>
        <v>117.857142</v>
      </c>
      <c r="O22" s="885">
        <f>IFERROR(IF(AND(INDEX('Facility Master'!X:X,MATCH(Bajaj_TL_SNo,'Facility Master'!A:A,0))&gt;B21,INDEX('Facility Master'!X:X,MATCH(Bajaj_TL_SNo,'Facility Master'!A:A,0))&lt;=B22),INDEX('Facility Master'!K:K,MATCH(Bajaj_TL_SNo,'Facility Master'!A:A,0)),0),0)</f>
        <v>0</v>
      </c>
      <c r="P22" s="885">
        <v>5.3571429000000004</v>
      </c>
      <c r="Q22" s="885">
        <f>IFERROR((N22+O22-P22/2)*INDEX('Facility Master'!R:R,MATCH(Bajaj_TL_SNo,'Facility Master'!A:A,0))*IF(B22&lt;INDEX('Facility Master'!X:X,MATCH(Bajaj_TL_SNo,'Facility Master'!A:A,0)),0,IF(N22=0,MAX(0,B22-INDEX('Facility Master'!X:X,MATCH(Bajaj_TL_SNo,'Facility Master'!A:A,0))),B22-B21))/DaysInYear,0)</f>
        <v>2.4695547756830138</v>
      </c>
      <c r="R22" s="914">
        <f t="shared" si="7"/>
        <v>112.499999</v>
      </c>
      <c r="S22" s="917">
        <f t="shared" si="0"/>
        <v>11.6069429</v>
      </c>
      <c r="T22" s="886">
        <f t="shared" si="1"/>
        <v>7.1413750795186299</v>
      </c>
      <c r="U22" s="886">
        <f t="shared" si="2"/>
        <v>18.748317979518632</v>
      </c>
      <c r="V22" s="887">
        <f t="shared" si="3"/>
        <v>352.73379899999998</v>
      </c>
    </row>
    <row r="23" spans="1:22" ht="15" customHeight="1" x14ac:dyDescent="0.3">
      <c r="A23" s="883">
        <v>19</v>
      </c>
      <c r="B23" s="895">
        <v>47026</v>
      </c>
      <c r="C23" s="903" t="s">
        <v>531</v>
      </c>
      <c r="D23" s="899">
        <v>0</v>
      </c>
      <c r="E23" s="884">
        <v>0</v>
      </c>
      <c r="F23" s="884">
        <v>0</v>
      </c>
      <c r="G23" s="884">
        <v>0</v>
      </c>
      <c r="H23" s="910">
        <v>0</v>
      </c>
      <c r="I23" s="906">
        <f t="shared" si="4"/>
        <v>240.2338</v>
      </c>
      <c r="J23" s="885">
        <f>IFERROR(IF(AND(INDEX('Facility Master'!X:X,MATCH(YBL_TL_SNo,'Facility Master'!A:A,0))&gt;B22,INDEX('Facility Master'!X:X,MATCH(YBL_TL_SNo,'Facility Master'!A:A,0))&lt;=B23),INDEX('Facility Master'!K:K,MATCH(YBL_TL_SNo,'Facility Master'!A:A,0)),0),0)</f>
        <v>0</v>
      </c>
      <c r="K23" s="885">
        <v>6.2497999999999996</v>
      </c>
      <c r="L23" s="885">
        <f>IFERROR((I23+J23-K23/2)*INDEX('Facility Master'!R:R,MATCH(YBL_TL_SNo,'Facility Master'!A:A,0))*IF(B23&lt;INDEX('Facility Master'!X:X,MATCH(YBL_TL_SNo,'Facility Master'!A:A,0)),0,IF(I23=0,MAX(0,B23-INDEX('Facility Master'!X:X,MATCH(YBL_TL_SNo,'Facility Master'!A:A,0))),B23-B22))/DaysInYear,0)</f>
        <v>4.6018615002739729</v>
      </c>
      <c r="M23" s="914">
        <f t="shared" si="5"/>
        <v>233.98400000000001</v>
      </c>
      <c r="N23" s="906">
        <f t="shared" si="6"/>
        <v>112.499999</v>
      </c>
      <c r="O23" s="885">
        <f>IFERROR(IF(AND(INDEX('Facility Master'!X:X,MATCH(Bajaj_TL_SNo,'Facility Master'!A:A,0))&gt;B22,INDEX('Facility Master'!X:X,MATCH(Bajaj_TL_SNo,'Facility Master'!A:A,0))&lt;=B23),INDEX('Facility Master'!K:K,MATCH(Bajaj_TL_SNo,'Facility Master'!A:A,0)),0),0)</f>
        <v>0</v>
      </c>
      <c r="P23" s="885">
        <v>5.3571429000000004</v>
      </c>
      <c r="Q23" s="885">
        <f>IFERROR((N23+O23-P23/2)*INDEX('Facility Master'!R:R,MATCH(Bajaj_TL_SNo,'Facility Master'!A:A,0))*IF(B23&lt;INDEX('Facility Master'!X:X,MATCH(Bajaj_TL_SNo,'Facility Master'!A:A,0)),0,IF(N23=0,MAX(0,B23-INDEX('Facility Master'!X:X,MATCH(Bajaj_TL_SNo,'Facility Master'!A:A,0))),B23-B22))/DaysInYear,0)</f>
        <v>2.3805674925358904</v>
      </c>
      <c r="R23" s="914">
        <f t="shared" si="7"/>
        <v>107.14285599999999</v>
      </c>
      <c r="S23" s="917">
        <f t="shared" si="0"/>
        <v>11.6069429</v>
      </c>
      <c r="T23" s="886">
        <f t="shared" si="1"/>
        <v>6.9824289928098633</v>
      </c>
      <c r="U23" s="886">
        <f t="shared" si="2"/>
        <v>18.589371892809865</v>
      </c>
      <c r="V23" s="887">
        <f t="shared" si="3"/>
        <v>341.12685599999998</v>
      </c>
    </row>
    <row r="24" spans="1:22" ht="15" customHeight="1" x14ac:dyDescent="0.3">
      <c r="A24" s="883">
        <v>20</v>
      </c>
      <c r="B24" s="895">
        <v>47118</v>
      </c>
      <c r="C24" s="903" t="s">
        <v>532</v>
      </c>
      <c r="D24" s="899">
        <v>0</v>
      </c>
      <c r="E24" s="884">
        <v>0</v>
      </c>
      <c r="F24" s="884">
        <v>0</v>
      </c>
      <c r="G24" s="884">
        <v>0</v>
      </c>
      <c r="H24" s="910">
        <v>0</v>
      </c>
      <c r="I24" s="906">
        <f t="shared" si="4"/>
        <v>233.98400000000001</v>
      </c>
      <c r="J24" s="885">
        <f>IFERROR(IF(AND(INDEX('Facility Master'!X:X,MATCH(YBL_TL_SNo,'Facility Master'!A:A,0))&gt;B23,INDEX('Facility Master'!X:X,MATCH(YBL_TL_SNo,'Facility Master'!A:A,0))&lt;=B24),INDEX('Facility Master'!K:K,MATCH(YBL_TL_SNo,'Facility Master'!A:A,0)),0),0)</f>
        <v>0</v>
      </c>
      <c r="K24" s="885">
        <v>6.2497999999999996</v>
      </c>
      <c r="L24" s="885">
        <f>IFERROR((I24+J24-K24/2)*INDEX('Facility Master'!R:R,MATCH(YBL_TL_SNo,'Facility Master'!A:A,0))*IF(B24&lt;INDEX('Facility Master'!X:X,MATCH(YBL_TL_SNo,'Facility Master'!A:A,0)),0,IF(I24=0,MAX(0,B24-INDEX('Facility Master'!X:X,MATCH(YBL_TL_SNo,'Facility Master'!A:A,0))),B24-B23))/DaysInYear,0)</f>
        <v>4.4805640120547947</v>
      </c>
      <c r="M24" s="914">
        <f t="shared" si="5"/>
        <v>227.73419999999999</v>
      </c>
      <c r="N24" s="906">
        <f t="shared" si="6"/>
        <v>107.14285599999999</v>
      </c>
      <c r="O24" s="885">
        <f>IFERROR(IF(AND(INDEX('Facility Master'!X:X,MATCH(Bajaj_TL_SNo,'Facility Master'!A:A,0))&gt;B23,INDEX('Facility Master'!X:X,MATCH(Bajaj_TL_SNo,'Facility Master'!A:A,0))&lt;=B24),INDEX('Facility Master'!K:K,MATCH(Bajaj_TL_SNo,'Facility Master'!A:A,0)),0),0)</f>
        <v>0</v>
      </c>
      <c r="P24" s="885">
        <v>5.3571429000000004</v>
      </c>
      <c r="Q24" s="885">
        <f>IFERROR((N24+O24-P24/2)*INDEX('Facility Master'!R:R,MATCH(Bajaj_TL_SNo,'Facility Master'!A:A,0))*IF(B24&lt;INDEX('Facility Master'!X:X,MATCH(Bajaj_TL_SNo,'Facility Master'!A:A,0)),0,IF(N24=0,MAX(0,B24-INDEX('Facility Master'!X:X,MATCH(Bajaj_TL_SNo,'Facility Master'!A:A,0))),B24-B23))/DaysInYear,0)</f>
        <v>2.2644422448208221</v>
      </c>
      <c r="R24" s="914">
        <f t="shared" si="7"/>
        <v>101.785713</v>
      </c>
      <c r="S24" s="917">
        <f t="shared" si="0"/>
        <v>11.6069429</v>
      </c>
      <c r="T24" s="886">
        <f t="shared" si="1"/>
        <v>6.7450062568756168</v>
      </c>
      <c r="U24" s="886">
        <f t="shared" si="2"/>
        <v>18.351949156875616</v>
      </c>
      <c r="V24" s="887">
        <f t="shared" si="3"/>
        <v>329.51991299999997</v>
      </c>
    </row>
    <row r="25" spans="1:22" ht="15" customHeight="1" x14ac:dyDescent="0.3">
      <c r="A25" s="883">
        <v>21</v>
      </c>
      <c r="B25" s="895">
        <v>47208</v>
      </c>
      <c r="C25" s="903" t="s">
        <v>533</v>
      </c>
      <c r="D25" s="899">
        <v>0</v>
      </c>
      <c r="E25" s="884">
        <v>0</v>
      </c>
      <c r="F25" s="884">
        <v>0</v>
      </c>
      <c r="G25" s="884">
        <v>0</v>
      </c>
      <c r="H25" s="910">
        <v>0</v>
      </c>
      <c r="I25" s="906">
        <f t="shared" si="4"/>
        <v>227.73419999999999</v>
      </c>
      <c r="J25" s="885">
        <f>IFERROR(IF(AND(INDEX('Facility Master'!X:X,MATCH(YBL_TL_SNo,'Facility Master'!A:A,0))&gt;B24,INDEX('Facility Master'!X:X,MATCH(YBL_TL_SNo,'Facility Master'!A:A,0))&lt;=B25),INDEX('Facility Master'!K:K,MATCH(YBL_TL_SNo,'Facility Master'!A:A,0)),0),0)</f>
        <v>0</v>
      </c>
      <c r="K25" s="885">
        <v>6.2497999999999996</v>
      </c>
      <c r="L25" s="885">
        <f>IFERROR((I25+J25-K25/2)*INDEX('Facility Master'!R:R,MATCH(YBL_TL_SNo,'Facility Master'!A:A,0))*IF(B25&lt;INDEX('Facility Master'!X:X,MATCH(YBL_TL_SNo,'Facility Master'!A:A,0)),0,IF(I25=0,MAX(0,B25-INDEX('Facility Master'!X:X,MATCH(YBL_TL_SNo,'Facility Master'!A:A,0))),B25-B24))/DaysInYear,0)</f>
        <v>4.2644998602739719</v>
      </c>
      <c r="M25" s="914">
        <f t="shared" si="5"/>
        <v>221.48439999999999</v>
      </c>
      <c r="N25" s="906">
        <f t="shared" si="6"/>
        <v>101.785713</v>
      </c>
      <c r="O25" s="885">
        <f>IFERROR(IF(AND(INDEX('Facility Master'!X:X,MATCH(Bajaj_TL_SNo,'Facility Master'!A:A,0))&gt;B24,INDEX('Facility Master'!X:X,MATCH(Bajaj_TL_SNo,'Facility Master'!A:A,0))&lt;=B25),INDEX('Facility Master'!K:K,MATCH(Bajaj_TL_SNo,'Facility Master'!A:A,0)),0),0)</f>
        <v>0</v>
      </c>
      <c r="P25" s="885">
        <v>5.3571429000000004</v>
      </c>
      <c r="Q25" s="885">
        <f>IFERROR((N25+O25-P25/2)*INDEX('Facility Master'!R:R,MATCH(Bajaj_TL_SNo,'Facility Master'!A:A,0))*IF(B25&lt;INDEX('Facility Master'!X:X,MATCH(Bajaj_TL_SNo,'Facility Master'!A:A,0)),0,IF(N25=0,MAX(0,B25-INDEX('Facility Master'!X:X,MATCH(Bajaj_TL_SNo,'Facility Master'!A:A,0))),B25-B24))/DaysInYear,0)</f>
        <v>2.1016144536904111</v>
      </c>
      <c r="R25" s="914">
        <f t="shared" si="7"/>
        <v>96.428569999999993</v>
      </c>
      <c r="S25" s="917">
        <f t="shared" si="0"/>
        <v>11.6069429</v>
      </c>
      <c r="T25" s="886">
        <f t="shared" si="1"/>
        <v>6.366114313964383</v>
      </c>
      <c r="U25" s="886">
        <f t="shared" si="2"/>
        <v>17.973057213964381</v>
      </c>
      <c r="V25" s="887">
        <f t="shared" si="3"/>
        <v>317.91296999999997</v>
      </c>
    </row>
    <row r="26" spans="1:22" ht="15" customHeight="1" x14ac:dyDescent="0.3">
      <c r="A26" s="883">
        <v>22</v>
      </c>
      <c r="B26" s="895">
        <v>47299</v>
      </c>
      <c r="C26" s="903" t="s">
        <v>534</v>
      </c>
      <c r="D26" s="899">
        <v>0</v>
      </c>
      <c r="E26" s="884">
        <v>0</v>
      </c>
      <c r="F26" s="884">
        <v>0</v>
      </c>
      <c r="G26" s="884">
        <v>0</v>
      </c>
      <c r="H26" s="910">
        <v>0</v>
      </c>
      <c r="I26" s="906">
        <f t="shared" si="4"/>
        <v>221.48439999999999</v>
      </c>
      <c r="J26" s="885">
        <f>IFERROR(IF(AND(INDEX('Facility Master'!X:X,MATCH(YBL_TL_SNo,'Facility Master'!A:A,0))&gt;B25,INDEX('Facility Master'!X:X,MATCH(YBL_TL_SNo,'Facility Master'!A:A,0))&lt;=B26),INDEX('Facility Master'!K:K,MATCH(YBL_TL_SNo,'Facility Master'!A:A,0)),0),0)</f>
        <v>0</v>
      </c>
      <c r="K26" s="885">
        <v>6.6321000000000003</v>
      </c>
      <c r="L26" s="885">
        <f>IFERROR((I26+J26-K26/2)*INDEX('Facility Master'!R:R,MATCH(YBL_TL_SNo,'Facility Master'!A:A,0))*IF(B26&lt;INDEX('Facility Master'!X:X,MATCH(YBL_TL_SNo,'Facility Master'!A:A,0)),0,IF(I26=0,MAX(0,B26-INDEX('Facility Master'!X:X,MATCH(YBL_TL_SNo,'Facility Master'!A:A,0))),B26-B25))/DaysInYear,0)</f>
        <v>4.1882345984931506</v>
      </c>
      <c r="M26" s="914">
        <f t="shared" si="5"/>
        <v>214.85230000000001</v>
      </c>
      <c r="N26" s="906">
        <f t="shared" si="6"/>
        <v>96.428569999999993</v>
      </c>
      <c r="O26" s="885">
        <f>IFERROR(IF(AND(INDEX('Facility Master'!X:X,MATCH(Bajaj_TL_SNo,'Facility Master'!A:A,0))&gt;B25,INDEX('Facility Master'!X:X,MATCH(Bajaj_TL_SNo,'Facility Master'!A:A,0))&lt;=B26),INDEX('Facility Master'!K:K,MATCH(Bajaj_TL_SNo,'Facility Master'!A:A,0)),0),0)</f>
        <v>0</v>
      </c>
      <c r="P26" s="885">
        <v>5.3571429000000004</v>
      </c>
      <c r="Q26" s="885">
        <f>IFERROR((N26+O26-P26/2)*INDEX('Facility Master'!R:R,MATCH(Bajaj_TL_SNo,'Facility Master'!A:A,0))*IF(B26&lt;INDEX('Facility Master'!X:X,MATCH(Bajaj_TL_SNo,'Facility Master'!A:A,0)),0,IF(N26=0,MAX(0,B26-INDEX('Facility Master'!X:X,MATCH(Bajaj_TL_SNo,'Facility Master'!A:A,0))),B26-B25))/DaysInYear,0)</f>
        <v>2.0101027086364383</v>
      </c>
      <c r="R26" s="914">
        <f t="shared" si="7"/>
        <v>91.071427</v>
      </c>
      <c r="S26" s="917">
        <f t="shared" si="0"/>
        <v>11.989242900000001</v>
      </c>
      <c r="T26" s="886">
        <f t="shared" si="1"/>
        <v>6.1983373071295889</v>
      </c>
      <c r="U26" s="886">
        <f t="shared" si="2"/>
        <v>18.187580207129589</v>
      </c>
      <c r="V26" s="887">
        <f t="shared" si="3"/>
        <v>305.92372699999999</v>
      </c>
    </row>
    <row r="27" spans="1:22" ht="15" customHeight="1" x14ac:dyDescent="0.3">
      <c r="A27" s="883">
        <v>23</v>
      </c>
      <c r="B27" s="895">
        <v>47391</v>
      </c>
      <c r="C27" s="903" t="s">
        <v>535</v>
      </c>
      <c r="D27" s="899">
        <v>0</v>
      </c>
      <c r="E27" s="884">
        <v>0</v>
      </c>
      <c r="F27" s="884">
        <v>0</v>
      </c>
      <c r="G27" s="884">
        <v>0</v>
      </c>
      <c r="H27" s="910">
        <v>0</v>
      </c>
      <c r="I27" s="906">
        <f t="shared" si="4"/>
        <v>214.85230000000001</v>
      </c>
      <c r="J27" s="885">
        <f>IFERROR(IF(AND(INDEX('Facility Master'!X:X,MATCH(YBL_TL_SNo,'Facility Master'!A:A,0))&gt;B26,INDEX('Facility Master'!X:X,MATCH(YBL_TL_SNo,'Facility Master'!A:A,0))&lt;=B27),INDEX('Facility Master'!K:K,MATCH(YBL_TL_SNo,'Facility Master'!A:A,0)),0),0)</f>
        <v>0</v>
      </c>
      <c r="K27" s="885">
        <v>6.6321000000000003</v>
      </c>
      <c r="L27" s="885">
        <f>IFERROR((I27+J27-K27/2)*INDEX('Facility Master'!R:R,MATCH(YBL_TL_SNo,'Facility Master'!A:A,0))*IF(B27&lt;INDEX('Facility Master'!X:X,MATCH(YBL_TL_SNo,'Facility Master'!A:A,0)),0,IF(I27=0,MAX(0,B27-INDEX('Facility Master'!X:X,MATCH(YBL_TL_SNo,'Facility Master'!A:A,0))),B27-B26))/DaysInYear,0)</f>
        <v>4.1055419041095895</v>
      </c>
      <c r="M27" s="914">
        <f t="shared" si="5"/>
        <v>208.22020000000001</v>
      </c>
      <c r="N27" s="906">
        <f t="shared" si="6"/>
        <v>91.071427</v>
      </c>
      <c r="O27" s="885">
        <f>IFERROR(IF(AND(INDEX('Facility Master'!X:X,MATCH(Bajaj_TL_SNo,'Facility Master'!A:A,0))&gt;B26,INDEX('Facility Master'!X:X,MATCH(Bajaj_TL_SNo,'Facility Master'!A:A,0))&lt;=B27),INDEX('Facility Master'!K:K,MATCH(Bajaj_TL_SNo,'Facility Master'!A:A,0)),0),0)</f>
        <v>0</v>
      </c>
      <c r="P27" s="885">
        <v>5.3571429000000004</v>
      </c>
      <c r="Q27" s="885">
        <f>IFERROR((N27+O27-P27/2)*INDEX('Facility Master'!R:R,MATCH(Bajaj_TL_SNo,'Facility Master'!A:A,0))*IF(B27&lt;INDEX('Facility Master'!X:X,MATCH(Bajaj_TL_SNo,'Facility Master'!A:A,0)),0,IF(N27=0,MAX(0,B27-INDEX('Facility Master'!X:X,MATCH(Bajaj_TL_SNo,'Facility Master'!A:A,0))),B27-B26))/DaysInYear,0)</f>
        <v>1.9160665016756164</v>
      </c>
      <c r="R27" s="914">
        <f t="shared" si="7"/>
        <v>85.714284000000006</v>
      </c>
      <c r="S27" s="917">
        <f t="shared" si="0"/>
        <v>11.989242900000001</v>
      </c>
      <c r="T27" s="886">
        <f t="shared" si="1"/>
        <v>6.021608405785206</v>
      </c>
      <c r="U27" s="886">
        <f t="shared" si="2"/>
        <v>18.010851305785206</v>
      </c>
      <c r="V27" s="887">
        <f t="shared" si="3"/>
        <v>293.934484</v>
      </c>
    </row>
    <row r="28" spans="1:22" ht="15" customHeight="1" x14ac:dyDescent="0.3">
      <c r="A28" s="883">
        <v>24</v>
      </c>
      <c r="B28" s="895">
        <v>47483</v>
      </c>
      <c r="C28" s="903" t="s">
        <v>536</v>
      </c>
      <c r="D28" s="899">
        <v>0</v>
      </c>
      <c r="E28" s="884">
        <v>0</v>
      </c>
      <c r="F28" s="884">
        <v>0</v>
      </c>
      <c r="G28" s="884">
        <v>0</v>
      </c>
      <c r="H28" s="910">
        <v>0</v>
      </c>
      <c r="I28" s="906">
        <f t="shared" si="4"/>
        <v>208.22020000000001</v>
      </c>
      <c r="J28" s="885">
        <f>IFERROR(IF(AND(INDEX('Facility Master'!X:X,MATCH(YBL_TL_SNo,'Facility Master'!A:A,0))&gt;B27,INDEX('Facility Master'!X:X,MATCH(YBL_TL_SNo,'Facility Master'!A:A,0))&lt;=B28),INDEX('Facility Master'!K:K,MATCH(YBL_TL_SNo,'Facility Master'!A:A,0)),0),0)</f>
        <v>0</v>
      </c>
      <c r="K28" s="885">
        <v>6.6321000000000003</v>
      </c>
      <c r="L28" s="885">
        <f>IFERROR((I28+J28-K28/2)*INDEX('Facility Master'!R:R,MATCH(YBL_TL_SNo,'Facility Master'!A:A,0))*IF(B28&lt;INDEX('Facility Master'!X:X,MATCH(YBL_TL_SNo,'Facility Master'!A:A,0)),0,IF(I28=0,MAX(0,B28-INDEX('Facility Master'!X:X,MATCH(YBL_TL_SNo,'Facility Master'!A:A,0))),B28-B27))/DaysInYear,0)</f>
        <v>3.97682465369863</v>
      </c>
      <c r="M28" s="914">
        <f t="shared" si="5"/>
        <v>201.5881</v>
      </c>
      <c r="N28" s="906">
        <f t="shared" si="6"/>
        <v>85.714284000000006</v>
      </c>
      <c r="O28" s="885">
        <f>IFERROR(IF(AND(INDEX('Facility Master'!X:X,MATCH(Bajaj_TL_SNo,'Facility Master'!A:A,0))&gt;B27,INDEX('Facility Master'!X:X,MATCH(Bajaj_TL_SNo,'Facility Master'!A:A,0))&lt;=B28),INDEX('Facility Master'!K:K,MATCH(Bajaj_TL_SNo,'Facility Master'!A:A,0)),0),0)</f>
        <v>0</v>
      </c>
      <c r="P28" s="885">
        <v>5.3571429000000004</v>
      </c>
      <c r="Q28" s="885">
        <f>IFERROR((N28+O28-P28/2)*INDEX('Facility Master'!R:R,MATCH(Bajaj_TL_SNo,'Facility Master'!A:A,0))*IF(B28&lt;INDEX('Facility Master'!X:X,MATCH(Bajaj_TL_SNo,'Facility Master'!A:A,0)),0,IF(N28=0,MAX(0,B28-INDEX('Facility Master'!X:X,MATCH(Bajaj_TL_SNo,'Facility Master'!A:A,0))),B28-B27))/DaysInYear,0)</f>
        <v>1.7999412539605479</v>
      </c>
      <c r="R28" s="914">
        <f t="shared" si="7"/>
        <v>80.357140999999999</v>
      </c>
      <c r="S28" s="917">
        <f t="shared" si="0"/>
        <v>11.989242900000001</v>
      </c>
      <c r="T28" s="886">
        <f t="shared" si="1"/>
        <v>5.7767659076591782</v>
      </c>
      <c r="U28" s="886">
        <f t="shared" si="2"/>
        <v>17.76600880765918</v>
      </c>
      <c r="V28" s="887">
        <f t="shared" si="3"/>
        <v>281.94524100000001</v>
      </c>
    </row>
    <row r="29" spans="1:22" ht="15" customHeight="1" x14ac:dyDescent="0.3">
      <c r="A29" s="883">
        <v>25</v>
      </c>
      <c r="B29" s="895">
        <v>47573</v>
      </c>
      <c r="C29" s="903" t="s">
        <v>537</v>
      </c>
      <c r="D29" s="899">
        <v>0</v>
      </c>
      <c r="E29" s="884">
        <v>0</v>
      </c>
      <c r="F29" s="884">
        <v>0</v>
      </c>
      <c r="G29" s="884">
        <v>0</v>
      </c>
      <c r="H29" s="910">
        <v>0</v>
      </c>
      <c r="I29" s="906">
        <f t="shared" si="4"/>
        <v>201.5881</v>
      </c>
      <c r="J29" s="885">
        <f>IFERROR(IF(AND(INDEX('Facility Master'!X:X,MATCH(YBL_TL_SNo,'Facility Master'!A:A,0))&gt;B28,INDEX('Facility Master'!X:X,MATCH(YBL_TL_SNo,'Facility Master'!A:A,0))&lt;=B29),INDEX('Facility Master'!K:K,MATCH(YBL_TL_SNo,'Facility Master'!A:A,0)),0),0)</f>
        <v>0</v>
      </c>
      <c r="K29" s="885">
        <v>6.6321000000000003</v>
      </c>
      <c r="L29" s="885">
        <f>IFERROR((I29+J29-K29/2)*INDEX('Facility Master'!R:R,MATCH(YBL_TL_SNo,'Facility Master'!A:A,0))*IF(B29&lt;INDEX('Facility Master'!X:X,MATCH(YBL_TL_SNo,'Facility Master'!A:A,0)),0,IF(I29=0,MAX(0,B29-INDEX('Facility Master'!X:X,MATCH(YBL_TL_SNo,'Facility Master'!A:A,0))),B29-B28))/DaysInYear,0)</f>
        <v>3.7644528945205482</v>
      </c>
      <c r="M29" s="914">
        <f t="shared" si="5"/>
        <v>194.95599999999999</v>
      </c>
      <c r="N29" s="906">
        <f t="shared" si="6"/>
        <v>80.357140999999999</v>
      </c>
      <c r="O29" s="885">
        <f>IFERROR(IF(AND(INDEX('Facility Master'!X:X,MATCH(Bajaj_TL_SNo,'Facility Master'!A:A,0))&gt;B28,INDEX('Facility Master'!X:X,MATCH(Bajaj_TL_SNo,'Facility Master'!A:A,0))&lt;=B29),INDEX('Facility Master'!K:K,MATCH(Bajaj_TL_SNo,'Facility Master'!A:A,0)),0),0)</f>
        <v>0</v>
      </c>
      <c r="P29" s="885">
        <v>5.3571429000000004</v>
      </c>
      <c r="Q29" s="885">
        <f>IFERROR((N29+O29-P29/2)*INDEX('Facility Master'!R:R,MATCH(Bajaj_TL_SNo,'Facility Master'!A:A,0))*IF(B29&lt;INDEX('Facility Master'!X:X,MATCH(Bajaj_TL_SNo,'Facility Master'!A:A,0)),0,IF(N29=0,MAX(0,B29-INDEX('Facility Master'!X:X,MATCH(Bajaj_TL_SNo,'Facility Master'!A:A,0))),B29-B28))/DaysInYear,0)</f>
        <v>1.6472113104575343</v>
      </c>
      <c r="R29" s="914">
        <f t="shared" si="7"/>
        <v>74.999998000000005</v>
      </c>
      <c r="S29" s="917">
        <f t="shared" si="0"/>
        <v>11.989242900000001</v>
      </c>
      <c r="T29" s="886">
        <f t="shared" si="1"/>
        <v>5.4116642049780825</v>
      </c>
      <c r="U29" s="886">
        <f t="shared" si="2"/>
        <v>17.400907104978081</v>
      </c>
      <c r="V29" s="887">
        <f t="shared" si="3"/>
        <v>269.95599800000002</v>
      </c>
    </row>
    <row r="30" spans="1:22" ht="15" customHeight="1" x14ac:dyDescent="0.3">
      <c r="A30" s="883">
        <v>26</v>
      </c>
      <c r="B30" s="895">
        <v>47664</v>
      </c>
      <c r="C30" s="903" t="s">
        <v>538</v>
      </c>
      <c r="D30" s="899">
        <v>0</v>
      </c>
      <c r="E30" s="884">
        <v>0</v>
      </c>
      <c r="F30" s="884">
        <v>0</v>
      </c>
      <c r="G30" s="884">
        <v>0</v>
      </c>
      <c r="H30" s="910">
        <v>0</v>
      </c>
      <c r="I30" s="906">
        <f t="shared" si="4"/>
        <v>194.95599999999999</v>
      </c>
      <c r="J30" s="885">
        <f>IFERROR(IF(AND(INDEX('Facility Master'!X:X,MATCH(YBL_TL_SNo,'Facility Master'!A:A,0))&gt;B29,INDEX('Facility Master'!X:X,MATCH(YBL_TL_SNo,'Facility Master'!A:A,0))&lt;=B30),INDEX('Facility Master'!K:K,MATCH(YBL_TL_SNo,'Facility Master'!A:A,0)),0),0)</f>
        <v>0</v>
      </c>
      <c r="K30" s="885">
        <v>7.2222</v>
      </c>
      <c r="L30" s="885">
        <f>IFERROR((I30+J30-K30/2)*INDEX('Facility Master'!R:R,MATCH(YBL_TL_SNo,'Facility Master'!A:A,0))*IF(B30&lt;INDEX('Facility Master'!X:X,MATCH(YBL_TL_SNo,'Facility Master'!A:A,0)),0,IF(I30=0,MAX(0,B30-INDEX('Facility Master'!X:X,MATCH(YBL_TL_SNo,'Facility Master'!A:A,0))),B30-B29))/DaysInYear,0)</f>
        <v>3.6732978473972602</v>
      </c>
      <c r="M30" s="914">
        <f t="shared" si="5"/>
        <v>187.7338</v>
      </c>
      <c r="N30" s="906">
        <f t="shared" si="6"/>
        <v>74.999998000000005</v>
      </c>
      <c r="O30" s="885">
        <f>IFERROR(IF(AND(INDEX('Facility Master'!X:X,MATCH(Bajaj_TL_SNo,'Facility Master'!A:A,0))&gt;B29,INDEX('Facility Master'!X:X,MATCH(Bajaj_TL_SNo,'Facility Master'!A:A,0))&lt;=B30),INDEX('Facility Master'!K:K,MATCH(Bajaj_TL_SNo,'Facility Master'!A:A,0)),0),0)</f>
        <v>0</v>
      </c>
      <c r="P30" s="885">
        <v>5.3571429000000004</v>
      </c>
      <c r="Q30" s="885">
        <f>IFERROR((N30+O30-P30/2)*INDEX('Facility Master'!R:R,MATCH(Bajaj_TL_SNo,'Facility Master'!A:A,0))*IF(B30&lt;INDEX('Facility Master'!X:X,MATCH(Bajaj_TL_SNo,'Facility Master'!A:A,0)),0,IF(N30=0,MAX(0,B30-INDEX('Facility Master'!X:X,MATCH(Bajaj_TL_SNo,'Facility Master'!A:A,0))),B30-B29))/DaysInYear,0)</f>
        <v>1.5506506415898631</v>
      </c>
      <c r="R30" s="914">
        <f t="shared" si="7"/>
        <v>69.642854999999997</v>
      </c>
      <c r="S30" s="917">
        <f t="shared" si="0"/>
        <v>12.5793429</v>
      </c>
      <c r="T30" s="886">
        <f t="shared" si="1"/>
        <v>5.2239484889871228</v>
      </c>
      <c r="U30" s="886">
        <f t="shared" si="2"/>
        <v>17.803291388987123</v>
      </c>
      <c r="V30" s="887">
        <f t="shared" si="3"/>
        <v>257.37665500000003</v>
      </c>
    </row>
    <row r="31" spans="1:22" ht="15" customHeight="1" x14ac:dyDescent="0.3">
      <c r="A31" s="883">
        <v>27</v>
      </c>
      <c r="B31" s="895">
        <v>47756</v>
      </c>
      <c r="C31" s="903" t="s">
        <v>539</v>
      </c>
      <c r="D31" s="899">
        <v>0</v>
      </c>
      <c r="E31" s="884">
        <v>0</v>
      </c>
      <c r="F31" s="884">
        <v>0</v>
      </c>
      <c r="G31" s="884">
        <v>0</v>
      </c>
      <c r="H31" s="910">
        <v>0</v>
      </c>
      <c r="I31" s="906">
        <f t="shared" si="4"/>
        <v>187.7338</v>
      </c>
      <c r="J31" s="885">
        <f>IFERROR(IF(AND(INDEX('Facility Master'!X:X,MATCH(YBL_TL_SNo,'Facility Master'!A:A,0))&gt;B30,INDEX('Facility Master'!X:X,MATCH(YBL_TL_SNo,'Facility Master'!A:A,0))&lt;=B31),INDEX('Facility Master'!K:K,MATCH(YBL_TL_SNo,'Facility Master'!A:A,0)),0),0)</f>
        <v>0</v>
      </c>
      <c r="K31" s="885">
        <v>7.2222</v>
      </c>
      <c r="L31" s="885">
        <f>IFERROR((I31+J31-K31/2)*INDEX('Facility Master'!R:R,MATCH(YBL_TL_SNo,'Facility Master'!A:A,0))*IF(B31&lt;INDEX('Facility Master'!X:X,MATCH(YBL_TL_SNo,'Facility Master'!A:A,0)),0,IF(I31=0,MAX(0,B31-INDEX('Facility Master'!X:X,MATCH(YBL_TL_SNo,'Facility Master'!A:A,0))),B31-B30))/DaysInYear,0)</f>
        <v>3.5734937172602743</v>
      </c>
      <c r="M31" s="914">
        <f t="shared" si="5"/>
        <v>180.51159999999999</v>
      </c>
      <c r="N31" s="906">
        <f t="shared" si="6"/>
        <v>69.642854999999997</v>
      </c>
      <c r="O31" s="885">
        <f>IFERROR(IF(AND(INDEX('Facility Master'!X:X,MATCH(Bajaj_TL_SNo,'Facility Master'!A:A,0))&gt;B30,INDEX('Facility Master'!X:X,MATCH(Bajaj_TL_SNo,'Facility Master'!A:A,0))&lt;=B31),INDEX('Facility Master'!K:K,MATCH(Bajaj_TL_SNo,'Facility Master'!A:A,0)),0),0)</f>
        <v>0</v>
      </c>
      <c r="P31" s="885">
        <v>5.3571429000000004</v>
      </c>
      <c r="Q31" s="885">
        <f>IFERROR((N31+O31-P31/2)*INDEX('Facility Master'!R:R,MATCH(Bajaj_TL_SNo,'Facility Master'!A:A,0))*IF(B31&lt;INDEX('Facility Master'!X:X,MATCH(Bajaj_TL_SNo,'Facility Master'!A:A,0)),0,IF(N31=0,MAX(0,B31-INDEX('Facility Master'!X:X,MATCH(Bajaj_TL_SNo,'Facility Master'!A:A,0))),B31-B30))/DaysInYear,0)</f>
        <v>1.4515655108153425</v>
      </c>
      <c r="R31" s="914">
        <f t="shared" si="7"/>
        <v>64.285712000000004</v>
      </c>
      <c r="S31" s="917">
        <f t="shared" si="0"/>
        <v>12.5793429</v>
      </c>
      <c r="T31" s="886">
        <f t="shared" si="1"/>
        <v>5.0250592280756168</v>
      </c>
      <c r="U31" s="886">
        <f t="shared" si="2"/>
        <v>17.604402128075616</v>
      </c>
      <c r="V31" s="887">
        <f t="shared" si="3"/>
        <v>244.79731199999998</v>
      </c>
    </row>
    <row r="32" spans="1:22" ht="15" customHeight="1" x14ac:dyDescent="0.3">
      <c r="A32" s="883">
        <v>28</v>
      </c>
      <c r="B32" s="895">
        <v>47848</v>
      </c>
      <c r="C32" s="903" t="s">
        <v>540</v>
      </c>
      <c r="D32" s="899">
        <v>0</v>
      </c>
      <c r="E32" s="884">
        <v>0</v>
      </c>
      <c r="F32" s="884">
        <v>0</v>
      </c>
      <c r="G32" s="884">
        <v>0</v>
      </c>
      <c r="H32" s="910">
        <v>0</v>
      </c>
      <c r="I32" s="906">
        <f t="shared" si="4"/>
        <v>180.51159999999999</v>
      </c>
      <c r="J32" s="885">
        <f>IFERROR(IF(AND(INDEX('Facility Master'!X:X,MATCH(YBL_TL_SNo,'Facility Master'!A:A,0))&gt;B31,INDEX('Facility Master'!X:X,MATCH(YBL_TL_SNo,'Facility Master'!A:A,0))&lt;=B32),INDEX('Facility Master'!K:K,MATCH(YBL_TL_SNo,'Facility Master'!A:A,0)),0),0)</f>
        <v>0</v>
      </c>
      <c r="K32" s="885">
        <v>7.2222</v>
      </c>
      <c r="L32" s="885">
        <f>IFERROR((I32+J32-K32/2)*INDEX('Facility Master'!R:R,MATCH(YBL_TL_SNo,'Facility Master'!A:A,0))*IF(B32&lt;INDEX('Facility Master'!X:X,MATCH(YBL_TL_SNo,'Facility Master'!A:A,0)),0,IF(I32=0,MAX(0,B32-INDEX('Facility Master'!X:X,MATCH(YBL_TL_SNo,'Facility Master'!A:A,0))),B32-B31))/DaysInYear,0)</f>
        <v>3.433323676712329</v>
      </c>
      <c r="M32" s="914">
        <f t="shared" si="5"/>
        <v>173.2894</v>
      </c>
      <c r="N32" s="906">
        <f t="shared" si="6"/>
        <v>64.285712000000004</v>
      </c>
      <c r="O32" s="885">
        <f>IFERROR(IF(AND(INDEX('Facility Master'!X:X,MATCH(Bajaj_TL_SNo,'Facility Master'!A:A,0))&gt;B31,INDEX('Facility Master'!X:X,MATCH(Bajaj_TL_SNo,'Facility Master'!A:A,0))&lt;=B32),INDEX('Facility Master'!K:K,MATCH(Bajaj_TL_SNo,'Facility Master'!A:A,0)),0),0)</f>
        <v>0</v>
      </c>
      <c r="P32" s="885">
        <v>5.3571429000000004</v>
      </c>
      <c r="Q32" s="885">
        <f>IFERROR((N32+O32-P32/2)*INDEX('Facility Master'!R:R,MATCH(Bajaj_TL_SNo,'Facility Master'!A:A,0))*IF(B32&lt;INDEX('Facility Master'!X:X,MATCH(Bajaj_TL_SNo,'Facility Master'!A:A,0)),0,IF(N32=0,MAX(0,B32-INDEX('Facility Master'!X:X,MATCH(Bajaj_TL_SNo,'Facility Master'!A:A,0))),B32-B31))/DaysInYear,0)</f>
        <v>1.3354402631002742</v>
      </c>
      <c r="R32" s="914">
        <f t="shared" si="7"/>
        <v>58.928569000000003</v>
      </c>
      <c r="S32" s="917">
        <f t="shared" si="0"/>
        <v>12.5793429</v>
      </c>
      <c r="T32" s="886">
        <f t="shared" si="1"/>
        <v>4.7687639398126027</v>
      </c>
      <c r="U32" s="886">
        <f t="shared" si="2"/>
        <v>17.348106839812601</v>
      </c>
      <c r="V32" s="887">
        <f t="shared" si="3"/>
        <v>232.21796900000001</v>
      </c>
    </row>
    <row r="33" spans="1:22" ht="15" customHeight="1" x14ac:dyDescent="0.3">
      <c r="A33" s="883">
        <v>29</v>
      </c>
      <c r="B33" s="895">
        <v>47938</v>
      </c>
      <c r="C33" s="903" t="s">
        <v>541</v>
      </c>
      <c r="D33" s="899">
        <v>0</v>
      </c>
      <c r="E33" s="884">
        <v>0</v>
      </c>
      <c r="F33" s="884">
        <v>0</v>
      </c>
      <c r="G33" s="884">
        <v>0</v>
      </c>
      <c r="H33" s="910">
        <v>0</v>
      </c>
      <c r="I33" s="906">
        <f t="shared" si="4"/>
        <v>173.2894</v>
      </c>
      <c r="J33" s="885">
        <f>IFERROR(IF(AND(INDEX('Facility Master'!X:X,MATCH(YBL_TL_SNo,'Facility Master'!A:A,0))&gt;B32,INDEX('Facility Master'!X:X,MATCH(YBL_TL_SNo,'Facility Master'!A:A,0))&lt;=B33),INDEX('Facility Master'!K:K,MATCH(YBL_TL_SNo,'Facility Master'!A:A,0)),0),0)</f>
        <v>0</v>
      </c>
      <c r="K33" s="885">
        <v>7.2222</v>
      </c>
      <c r="L33" s="885">
        <f>IFERROR((I33+J33-K33/2)*INDEX('Facility Master'!R:R,MATCH(YBL_TL_SNo,'Facility Master'!A:A,0))*IF(B33&lt;INDEX('Facility Master'!X:X,MATCH(YBL_TL_SNo,'Facility Master'!A:A,0)),0,IF(I33=0,MAX(0,B33-INDEX('Facility Master'!X:X,MATCH(YBL_TL_SNo,'Facility Master'!A:A,0))),B33-B32))/DaysInYear,0)</f>
        <v>3.2215633397260275</v>
      </c>
      <c r="M33" s="914">
        <f t="shared" si="5"/>
        <v>166.06720000000001</v>
      </c>
      <c r="N33" s="906">
        <f t="shared" si="6"/>
        <v>58.928569000000003</v>
      </c>
      <c r="O33" s="885">
        <f>IFERROR(IF(AND(INDEX('Facility Master'!X:X,MATCH(Bajaj_TL_SNo,'Facility Master'!A:A,0))&gt;B32,INDEX('Facility Master'!X:X,MATCH(Bajaj_TL_SNo,'Facility Master'!A:A,0))&lt;=B33),INDEX('Facility Master'!K:K,MATCH(Bajaj_TL_SNo,'Facility Master'!A:A,0)),0),0)</f>
        <v>0</v>
      </c>
      <c r="P33" s="885">
        <v>5.3571429000000004</v>
      </c>
      <c r="Q33" s="885">
        <f>IFERROR((N33+O33-P33/2)*INDEX('Facility Master'!R:R,MATCH(Bajaj_TL_SNo,'Facility Master'!A:A,0))*IF(B33&lt;INDEX('Facility Master'!X:X,MATCH(Bajaj_TL_SNo,'Facility Master'!A:A,0)),0,IF(N33=0,MAX(0,B33-INDEX('Facility Master'!X:X,MATCH(Bajaj_TL_SNo,'Facility Master'!A:A,0))),B33-B32))/DaysInYear,0)</f>
        <v>1.1928081672246578</v>
      </c>
      <c r="R33" s="914">
        <f t="shared" si="7"/>
        <v>53.571426000000002</v>
      </c>
      <c r="S33" s="917">
        <f t="shared" si="0"/>
        <v>12.5793429</v>
      </c>
      <c r="T33" s="886">
        <f t="shared" si="1"/>
        <v>4.414371506950685</v>
      </c>
      <c r="U33" s="886">
        <f t="shared" si="2"/>
        <v>16.993714406950687</v>
      </c>
      <c r="V33" s="887">
        <f t="shared" si="3"/>
        <v>219.63862600000002</v>
      </c>
    </row>
    <row r="34" spans="1:22" ht="15" customHeight="1" x14ac:dyDescent="0.3">
      <c r="A34" s="883">
        <v>30</v>
      </c>
      <c r="B34" s="895">
        <v>48029</v>
      </c>
      <c r="C34" s="903" t="s">
        <v>542</v>
      </c>
      <c r="D34" s="899">
        <v>0</v>
      </c>
      <c r="E34" s="884">
        <v>0</v>
      </c>
      <c r="F34" s="884">
        <v>0</v>
      </c>
      <c r="G34" s="884">
        <v>0</v>
      </c>
      <c r="H34" s="910">
        <v>0</v>
      </c>
      <c r="I34" s="906">
        <f t="shared" si="4"/>
        <v>166.06720000000001</v>
      </c>
      <c r="J34" s="885">
        <f>IFERROR(IF(AND(INDEX('Facility Master'!X:X,MATCH(YBL_TL_SNo,'Facility Master'!A:A,0))&gt;B33,INDEX('Facility Master'!X:X,MATCH(YBL_TL_SNo,'Facility Master'!A:A,0))&lt;=B34),INDEX('Facility Master'!K:K,MATCH(YBL_TL_SNo,'Facility Master'!A:A,0)),0),0)</f>
        <v>0</v>
      </c>
      <c r="K34" s="885">
        <v>7.7430000000000003</v>
      </c>
      <c r="L34" s="885">
        <f>IFERROR((I34+J34-K34/2)*INDEX('Facility Master'!R:R,MATCH(YBL_TL_SNo,'Facility Master'!A:A,0))*IF(B34&lt;INDEX('Facility Master'!X:X,MATCH(YBL_TL_SNo,'Facility Master'!A:A,0)),0,IF(I34=0,MAX(0,B34-INDEX('Facility Master'!X:X,MATCH(YBL_TL_SNo,'Facility Master'!A:A,0))),B34-B33))/DaysInYear,0)</f>
        <v>3.113713068219178</v>
      </c>
      <c r="M34" s="914">
        <f t="shared" si="5"/>
        <v>158.32419999999999</v>
      </c>
      <c r="N34" s="906">
        <f t="shared" si="6"/>
        <v>53.571426000000002</v>
      </c>
      <c r="O34" s="885">
        <f>IFERROR(IF(AND(INDEX('Facility Master'!X:X,MATCH(Bajaj_TL_SNo,'Facility Master'!A:A,0))&gt;B33,INDEX('Facility Master'!X:X,MATCH(Bajaj_TL_SNo,'Facility Master'!A:A,0))&lt;=B34),INDEX('Facility Master'!K:K,MATCH(Bajaj_TL_SNo,'Facility Master'!A:A,0)),0),0)</f>
        <v>0</v>
      </c>
      <c r="P34" s="885">
        <v>5.3571429000000004</v>
      </c>
      <c r="Q34" s="885">
        <f>IFERROR((N34+O34-P34/2)*INDEX('Facility Master'!R:R,MATCH(Bajaj_TL_SNo,'Facility Master'!A:A,0))*IF(B34&lt;INDEX('Facility Master'!X:X,MATCH(Bajaj_TL_SNo,'Facility Master'!A:A,0)),0,IF(N34=0,MAX(0,B34-INDEX('Facility Master'!X:X,MATCH(Bajaj_TL_SNo,'Facility Master'!A:A,0))),B34-B33))/DaysInYear,0)</f>
        <v>1.0911985745432877</v>
      </c>
      <c r="R34" s="914">
        <f t="shared" si="7"/>
        <v>48.214283000000002</v>
      </c>
      <c r="S34" s="917">
        <f t="shared" si="0"/>
        <v>13.100142900000002</v>
      </c>
      <c r="T34" s="886">
        <f t="shared" si="1"/>
        <v>4.2049116427624655</v>
      </c>
      <c r="U34" s="886">
        <f t="shared" si="2"/>
        <v>17.305054542762466</v>
      </c>
      <c r="V34" s="887">
        <f t="shared" si="3"/>
        <v>206.53848299999999</v>
      </c>
    </row>
    <row r="35" spans="1:22" ht="15" customHeight="1" x14ac:dyDescent="0.3">
      <c r="A35" s="883">
        <v>31</v>
      </c>
      <c r="B35" s="895">
        <v>48121</v>
      </c>
      <c r="C35" s="903" t="s">
        <v>543</v>
      </c>
      <c r="D35" s="899">
        <v>0</v>
      </c>
      <c r="E35" s="884">
        <v>0</v>
      </c>
      <c r="F35" s="884">
        <v>0</v>
      </c>
      <c r="G35" s="884">
        <v>0</v>
      </c>
      <c r="H35" s="910">
        <v>0</v>
      </c>
      <c r="I35" s="906">
        <f t="shared" si="4"/>
        <v>158.32419999999999</v>
      </c>
      <c r="J35" s="885">
        <f>IFERROR(IF(AND(INDEX('Facility Master'!X:X,MATCH(YBL_TL_SNo,'Facility Master'!A:A,0))&gt;B34,INDEX('Facility Master'!X:X,MATCH(YBL_TL_SNo,'Facility Master'!A:A,0))&lt;=B35),INDEX('Facility Master'!K:K,MATCH(YBL_TL_SNo,'Facility Master'!A:A,0)),0),0)</f>
        <v>0</v>
      </c>
      <c r="K35" s="885">
        <v>7.7430000000000003</v>
      </c>
      <c r="L35" s="885">
        <f>IFERROR((I35+J35-K35/2)*INDEX('Facility Master'!R:R,MATCH(YBL_TL_SNo,'Facility Master'!A:A,0))*IF(B35&lt;INDEX('Facility Master'!X:X,MATCH(YBL_TL_SNo,'Facility Master'!A:A,0)),0,IF(I35=0,MAX(0,B35-INDEX('Facility Master'!X:X,MATCH(YBL_TL_SNo,'Facility Master'!A:A,0))),B35-B34))/DaysInYear,0)</f>
        <v>2.9976518542465751</v>
      </c>
      <c r="M35" s="914">
        <f t="shared" si="5"/>
        <v>150.5812</v>
      </c>
      <c r="N35" s="906">
        <f t="shared" si="6"/>
        <v>48.214283000000002</v>
      </c>
      <c r="O35" s="885">
        <f>IFERROR(IF(AND(INDEX('Facility Master'!X:X,MATCH(Bajaj_TL_SNo,'Facility Master'!A:A,0))&gt;B34,INDEX('Facility Master'!X:X,MATCH(Bajaj_TL_SNo,'Facility Master'!A:A,0))&lt;=B35),INDEX('Facility Master'!K:K,MATCH(Bajaj_TL_SNo,'Facility Master'!A:A,0)),0),0)</f>
        <v>0</v>
      </c>
      <c r="P35" s="885">
        <v>5.3571429000000004</v>
      </c>
      <c r="Q35" s="885">
        <f>IFERROR((N35+O35-P35/2)*INDEX('Facility Master'!R:R,MATCH(Bajaj_TL_SNo,'Facility Master'!A:A,0))*IF(B35&lt;INDEX('Facility Master'!X:X,MATCH(Bajaj_TL_SNo,'Facility Master'!A:A,0)),0,IF(N35=0,MAX(0,B35-INDEX('Facility Master'!X:X,MATCH(Bajaj_TL_SNo,'Facility Master'!A:A,0))),B35-B34))/DaysInYear,0)</f>
        <v>0.98706451995506861</v>
      </c>
      <c r="R35" s="914">
        <f t="shared" si="7"/>
        <v>42.857140000000001</v>
      </c>
      <c r="S35" s="917">
        <f t="shared" si="0"/>
        <v>13.100142900000002</v>
      </c>
      <c r="T35" s="886">
        <f t="shared" si="1"/>
        <v>3.9847163742016436</v>
      </c>
      <c r="U35" s="886">
        <f t="shared" si="2"/>
        <v>17.084859274201644</v>
      </c>
      <c r="V35" s="887">
        <f t="shared" si="3"/>
        <v>193.43833999999998</v>
      </c>
    </row>
    <row r="36" spans="1:22" ht="15" customHeight="1" x14ac:dyDescent="0.3">
      <c r="A36" s="883">
        <v>32</v>
      </c>
      <c r="B36" s="895">
        <v>48213</v>
      </c>
      <c r="C36" s="903" t="s">
        <v>544</v>
      </c>
      <c r="D36" s="899">
        <v>0</v>
      </c>
      <c r="E36" s="884">
        <v>0</v>
      </c>
      <c r="F36" s="884">
        <v>0</v>
      </c>
      <c r="G36" s="884">
        <v>0</v>
      </c>
      <c r="H36" s="910">
        <v>0</v>
      </c>
      <c r="I36" s="906">
        <f t="shared" si="4"/>
        <v>150.5812</v>
      </c>
      <c r="J36" s="885">
        <f>IFERROR(IF(AND(INDEX('Facility Master'!X:X,MATCH(YBL_TL_SNo,'Facility Master'!A:A,0))&gt;B35,INDEX('Facility Master'!X:X,MATCH(YBL_TL_SNo,'Facility Master'!A:A,0))&lt;=B36),INDEX('Facility Master'!K:K,MATCH(YBL_TL_SNo,'Facility Master'!A:A,0)),0),0)</f>
        <v>0</v>
      </c>
      <c r="K36" s="885">
        <v>7.7430000000000003</v>
      </c>
      <c r="L36" s="885">
        <f>IFERROR((I36+J36-K36/2)*INDEX('Facility Master'!R:R,MATCH(YBL_TL_SNo,'Facility Master'!A:A,0))*IF(B36&lt;INDEX('Facility Master'!X:X,MATCH(YBL_TL_SNo,'Facility Master'!A:A,0)),0,IF(I36=0,MAX(0,B36-INDEX('Facility Master'!X:X,MATCH(YBL_TL_SNo,'Facility Master'!A:A,0))),B36-B35))/DaysInYear,0)</f>
        <v>2.8473740131506848</v>
      </c>
      <c r="M36" s="914">
        <f t="shared" si="5"/>
        <v>142.8382</v>
      </c>
      <c r="N36" s="906">
        <f t="shared" si="6"/>
        <v>42.857140000000001</v>
      </c>
      <c r="O36" s="885">
        <f>IFERROR(IF(AND(INDEX('Facility Master'!X:X,MATCH(Bajaj_TL_SNo,'Facility Master'!A:A,0))&gt;B35,INDEX('Facility Master'!X:X,MATCH(Bajaj_TL_SNo,'Facility Master'!A:A,0))&lt;=B36),INDEX('Facility Master'!K:K,MATCH(Bajaj_TL_SNo,'Facility Master'!A:A,0)),0),0)</f>
        <v>0</v>
      </c>
      <c r="P36" s="885">
        <v>5.3571429000000004</v>
      </c>
      <c r="Q36" s="885">
        <f>IFERROR((N36+O36-P36/2)*INDEX('Facility Master'!R:R,MATCH(Bajaj_TL_SNo,'Facility Master'!A:A,0))*IF(B36&lt;INDEX('Facility Master'!X:X,MATCH(Bajaj_TL_SNo,'Facility Master'!A:A,0)),0,IF(N36=0,MAX(0,B36-INDEX('Facility Master'!X:X,MATCH(Bajaj_TL_SNo,'Facility Master'!A:A,0))),B36-B35))/DaysInYear,0)</f>
        <v>0.87093927224000001</v>
      </c>
      <c r="R36" s="914">
        <f t="shared" si="7"/>
        <v>37.499997</v>
      </c>
      <c r="S36" s="917">
        <f t="shared" si="0"/>
        <v>13.100142900000002</v>
      </c>
      <c r="T36" s="886">
        <f t="shared" si="1"/>
        <v>3.7183132853906846</v>
      </c>
      <c r="U36" s="886">
        <f t="shared" si="2"/>
        <v>16.818456185390687</v>
      </c>
      <c r="V36" s="887">
        <f t="shared" si="3"/>
        <v>180.33819700000001</v>
      </c>
    </row>
    <row r="37" spans="1:22" ht="15" customHeight="1" x14ac:dyDescent="0.3">
      <c r="A37" s="883">
        <v>33</v>
      </c>
      <c r="B37" s="895">
        <v>48304</v>
      </c>
      <c r="C37" s="903" t="s">
        <v>545</v>
      </c>
      <c r="D37" s="899">
        <v>0</v>
      </c>
      <c r="E37" s="884">
        <v>0</v>
      </c>
      <c r="F37" s="884">
        <v>0</v>
      </c>
      <c r="G37" s="884">
        <v>0</v>
      </c>
      <c r="H37" s="910">
        <v>0</v>
      </c>
      <c r="I37" s="906">
        <f t="shared" si="4"/>
        <v>142.8382</v>
      </c>
      <c r="J37" s="885">
        <f>IFERROR(IF(AND(INDEX('Facility Master'!X:X,MATCH(YBL_TL_SNo,'Facility Master'!A:A,0))&gt;B36,INDEX('Facility Master'!X:X,MATCH(YBL_TL_SNo,'Facility Master'!A:A,0))&lt;=B37),INDEX('Facility Master'!K:K,MATCH(YBL_TL_SNo,'Facility Master'!A:A,0)),0),0)</f>
        <v>0</v>
      </c>
      <c r="K37" s="885">
        <v>7.7430000000000003</v>
      </c>
      <c r="L37" s="885">
        <f>IFERROR((I37+J37-K37/2)*INDEX('Facility Master'!R:R,MATCH(YBL_TL_SNo,'Facility Master'!A:A,0))*IF(B37&lt;INDEX('Facility Master'!X:X,MATCH(YBL_TL_SNo,'Facility Master'!A:A,0)),0,IF(I37=0,MAX(0,B37-INDEX('Facility Master'!X:X,MATCH(YBL_TL_SNo,'Facility Master'!A:A,0))),B37-B36))/DaysInYear,0)</f>
        <v>2.6677799093150689</v>
      </c>
      <c r="M37" s="914">
        <f t="shared" si="5"/>
        <v>135.09520000000001</v>
      </c>
      <c r="N37" s="906">
        <f t="shared" si="6"/>
        <v>37.499997</v>
      </c>
      <c r="O37" s="885">
        <f>IFERROR(IF(AND(INDEX('Facility Master'!X:X,MATCH(Bajaj_TL_SNo,'Facility Master'!A:A,0))&gt;B36,INDEX('Facility Master'!X:X,MATCH(Bajaj_TL_SNo,'Facility Master'!A:A,0))&lt;=B37),INDEX('Facility Master'!K:K,MATCH(Bajaj_TL_SNo,'Facility Master'!A:A,0)),0),0)</f>
        <v>0</v>
      </c>
      <c r="P37" s="885">
        <v>5.3571429000000004</v>
      </c>
      <c r="Q37" s="885">
        <f>IFERROR((N37+O37-P37/2)*INDEX('Facility Master'!R:R,MATCH(Bajaj_TL_SNo,'Facility Master'!A:A,0))*IF(B37&lt;INDEX('Facility Master'!X:X,MATCH(Bajaj_TL_SNo,'Facility Master'!A:A,0)),0,IF(N37=0,MAX(0,B37-INDEX('Facility Master'!X:X,MATCH(Bajaj_TL_SNo,'Facility Master'!A:A,0))),B37-B36))/DaysInYear,0)</f>
        <v>0.74660952425835625</v>
      </c>
      <c r="R37" s="914">
        <f t="shared" si="7"/>
        <v>32.142854</v>
      </c>
      <c r="S37" s="917">
        <f t="shared" ref="S37:S57" si="8">K37+P37</f>
        <v>13.100142900000002</v>
      </c>
      <c r="T37" s="886">
        <f t="shared" ref="T37:T57" si="9">L37+Q37</f>
        <v>3.4143894335734251</v>
      </c>
      <c r="U37" s="886">
        <f t="shared" ref="U37:U57" si="10">S37+T37</f>
        <v>16.514532333573428</v>
      </c>
      <c r="V37" s="887">
        <f t="shared" ref="V37:V57" si="11">M37+R37</f>
        <v>167.23805400000001</v>
      </c>
    </row>
    <row r="38" spans="1:22" ht="15" customHeight="1" x14ac:dyDescent="0.3">
      <c r="A38" s="883">
        <v>34</v>
      </c>
      <c r="B38" s="895">
        <v>48395</v>
      </c>
      <c r="C38" s="903" t="s">
        <v>546</v>
      </c>
      <c r="D38" s="899">
        <v>0</v>
      </c>
      <c r="E38" s="884">
        <v>0</v>
      </c>
      <c r="F38" s="884">
        <v>0</v>
      </c>
      <c r="G38" s="884">
        <v>0</v>
      </c>
      <c r="H38" s="910">
        <v>0</v>
      </c>
      <c r="I38" s="906">
        <f t="shared" ref="I38:I57" si="12">IFERROR(MAX(M37,0),0)</f>
        <v>135.09520000000001</v>
      </c>
      <c r="J38" s="885">
        <f>IFERROR(IF(AND(INDEX('Facility Master'!X:X,MATCH(YBL_TL_SNo,'Facility Master'!A:A,0))&gt;B37,INDEX('Facility Master'!X:X,MATCH(YBL_TL_SNo,'Facility Master'!A:A,0))&lt;=B38),INDEX('Facility Master'!K:K,MATCH(YBL_TL_SNo,'Facility Master'!A:A,0)),0),0)</f>
        <v>0</v>
      </c>
      <c r="K38" s="885">
        <v>7.7430000000000003</v>
      </c>
      <c r="L38" s="885">
        <f>IFERROR((I38+J38-K38/2)*INDEX('Facility Master'!R:R,MATCH(YBL_TL_SNo,'Facility Master'!A:A,0))*IF(B38&lt;INDEX('Facility Master'!X:X,MATCH(YBL_TL_SNo,'Facility Master'!A:A,0)),0,IF(I38=0,MAX(0,B38-INDEX('Facility Master'!X:X,MATCH(YBL_TL_SNo,'Facility Master'!A:A,0))),B38-B37))/DaysInYear,0)</f>
        <v>2.5191355230136989</v>
      </c>
      <c r="M38" s="914">
        <f t="shared" si="5"/>
        <v>127.3522</v>
      </c>
      <c r="N38" s="906">
        <f t="shared" ref="N38:N57" si="13">IFERROR(MAX(R37,0),0)</f>
        <v>32.142854</v>
      </c>
      <c r="O38" s="885">
        <f>IFERROR(IF(AND(INDEX('Facility Master'!X:X,MATCH(Bajaj_TL_SNo,'Facility Master'!A:A,0))&gt;B37,INDEX('Facility Master'!X:X,MATCH(Bajaj_TL_SNo,'Facility Master'!A:A,0))&lt;=B38),INDEX('Facility Master'!K:K,MATCH(Bajaj_TL_SNo,'Facility Master'!A:A,0)),0),0)</f>
        <v>0</v>
      </c>
      <c r="P38" s="885">
        <v>5.3571429000000004</v>
      </c>
      <c r="Q38" s="885">
        <f>IFERROR((N38+O38-P38/2)*INDEX('Facility Master'!R:R,MATCH(Bajaj_TL_SNo,'Facility Master'!A:A,0))*IF(B38&lt;INDEX('Facility Master'!X:X,MATCH(Bajaj_TL_SNo,'Facility Master'!A:A,0)),0,IF(N38=0,MAX(0,B38-INDEX('Facility Master'!X:X,MATCH(Bajaj_TL_SNo,'Facility Master'!A:A,0))),B38-B37))/DaysInYear,0)</f>
        <v>0.63174650749671246</v>
      </c>
      <c r="R38" s="914">
        <f t="shared" si="7"/>
        <v>26.785710999999999</v>
      </c>
      <c r="S38" s="917">
        <f t="shared" si="8"/>
        <v>13.100142900000002</v>
      </c>
      <c r="T38" s="886">
        <f t="shared" si="9"/>
        <v>3.1508820305104113</v>
      </c>
      <c r="U38" s="886">
        <f t="shared" si="10"/>
        <v>16.251024930510411</v>
      </c>
      <c r="V38" s="887">
        <f t="shared" si="11"/>
        <v>154.137911</v>
      </c>
    </row>
    <row r="39" spans="1:22" ht="15" customHeight="1" x14ac:dyDescent="0.3">
      <c r="A39" s="883">
        <v>35</v>
      </c>
      <c r="B39" s="895">
        <v>48487</v>
      </c>
      <c r="C39" s="903" t="s">
        <v>547</v>
      </c>
      <c r="D39" s="899">
        <v>0</v>
      </c>
      <c r="E39" s="884">
        <v>0</v>
      </c>
      <c r="F39" s="884">
        <v>0</v>
      </c>
      <c r="G39" s="884">
        <v>0</v>
      </c>
      <c r="H39" s="910">
        <v>0</v>
      </c>
      <c r="I39" s="906">
        <f t="shared" si="12"/>
        <v>127.3522</v>
      </c>
      <c r="J39" s="885">
        <f>IFERROR(IF(AND(INDEX('Facility Master'!X:X,MATCH(YBL_TL_SNo,'Facility Master'!A:A,0))&gt;B38,INDEX('Facility Master'!X:X,MATCH(YBL_TL_SNo,'Facility Master'!A:A,0))&lt;=B39),INDEX('Facility Master'!K:K,MATCH(YBL_TL_SNo,'Facility Master'!A:A,0)),0),0)</f>
        <v>0</v>
      </c>
      <c r="K39" s="885">
        <v>7.7430000000000003</v>
      </c>
      <c r="L39" s="885">
        <f>IFERROR((I39+J39-K39/2)*INDEX('Facility Master'!R:R,MATCH(YBL_TL_SNo,'Facility Master'!A:A,0))*IF(B39&lt;INDEX('Facility Master'!X:X,MATCH(YBL_TL_SNo,'Facility Master'!A:A,0)),0,IF(I39=0,MAX(0,B39-INDEX('Facility Master'!X:X,MATCH(YBL_TL_SNo,'Facility Master'!A:A,0))),B39-B38))/DaysInYear,0)</f>
        <v>2.3965404898630136</v>
      </c>
      <c r="M39" s="914">
        <f t="shared" si="5"/>
        <v>119.6092</v>
      </c>
      <c r="N39" s="906">
        <f t="shared" si="13"/>
        <v>26.785710999999999</v>
      </c>
      <c r="O39" s="885">
        <f>IFERROR(IF(AND(INDEX('Facility Master'!X:X,MATCH(Bajaj_TL_SNo,'Facility Master'!A:A,0))&gt;B38,INDEX('Facility Master'!X:X,MATCH(Bajaj_TL_SNo,'Facility Master'!A:A,0))&lt;=B39),INDEX('Facility Master'!K:K,MATCH(Bajaj_TL_SNo,'Facility Master'!A:A,0)),0),0)</f>
        <v>0</v>
      </c>
      <c r="P39" s="885">
        <v>5.3571429000000004</v>
      </c>
      <c r="Q39" s="885">
        <f>IFERROR((N39+O39-P39/2)*INDEX('Facility Master'!R:R,MATCH(Bajaj_TL_SNo,'Facility Master'!A:A,0))*IF(B39&lt;INDEX('Facility Master'!X:X,MATCH(Bajaj_TL_SNo,'Facility Master'!A:A,0)),0,IF(N39=0,MAX(0,B39-INDEX('Facility Master'!X:X,MATCH(Bajaj_TL_SNo,'Facility Master'!A:A,0))),B39-B38))/DaysInYear,0)</f>
        <v>0.52256352909479453</v>
      </c>
      <c r="R39" s="914">
        <f t="shared" si="7"/>
        <v>21.428567999999999</v>
      </c>
      <c r="S39" s="917">
        <f t="shared" si="8"/>
        <v>13.100142900000002</v>
      </c>
      <c r="T39" s="886">
        <f t="shared" si="9"/>
        <v>2.9191040189578081</v>
      </c>
      <c r="U39" s="886">
        <f t="shared" si="10"/>
        <v>16.019246918957808</v>
      </c>
      <c r="V39" s="887">
        <f t="shared" si="11"/>
        <v>141.037768</v>
      </c>
    </row>
    <row r="40" spans="1:22" ht="15" customHeight="1" x14ac:dyDescent="0.3">
      <c r="A40" s="883">
        <v>36</v>
      </c>
      <c r="B40" s="895">
        <v>48579</v>
      </c>
      <c r="C40" s="903" t="s">
        <v>548</v>
      </c>
      <c r="D40" s="899">
        <v>0</v>
      </c>
      <c r="E40" s="884">
        <v>0</v>
      </c>
      <c r="F40" s="884">
        <v>0</v>
      </c>
      <c r="G40" s="884">
        <v>0</v>
      </c>
      <c r="H40" s="910">
        <v>0</v>
      </c>
      <c r="I40" s="906">
        <f t="shared" si="12"/>
        <v>119.6092</v>
      </c>
      <c r="J40" s="885">
        <f>IFERROR(IF(AND(INDEX('Facility Master'!X:X,MATCH(YBL_TL_SNo,'Facility Master'!A:A,0))&gt;B39,INDEX('Facility Master'!X:X,MATCH(YBL_TL_SNo,'Facility Master'!A:A,0))&lt;=B40),INDEX('Facility Master'!K:K,MATCH(YBL_TL_SNo,'Facility Master'!A:A,0)),0),0)</f>
        <v>0</v>
      </c>
      <c r="K40" s="885">
        <v>7.7430000000000003</v>
      </c>
      <c r="L40" s="885">
        <f>IFERROR((I40+J40-K40/2)*INDEX('Facility Master'!R:R,MATCH(YBL_TL_SNo,'Facility Master'!A:A,0))*IF(B40&lt;INDEX('Facility Master'!X:X,MATCH(YBL_TL_SNo,'Facility Master'!A:A,0)),0,IF(I40=0,MAX(0,B40-INDEX('Facility Master'!X:X,MATCH(YBL_TL_SNo,'Facility Master'!A:A,0))),B40-B39))/DaysInYear,0)</f>
        <v>2.2462626487671229</v>
      </c>
      <c r="M40" s="914">
        <f t="shared" si="5"/>
        <v>111.86620000000001</v>
      </c>
      <c r="N40" s="906">
        <f t="shared" si="13"/>
        <v>21.428567999999999</v>
      </c>
      <c r="O40" s="885">
        <f>IFERROR(IF(AND(INDEX('Facility Master'!X:X,MATCH(Bajaj_TL_SNo,'Facility Master'!A:A,0))&gt;B39,INDEX('Facility Master'!X:X,MATCH(Bajaj_TL_SNo,'Facility Master'!A:A,0))&lt;=B40),INDEX('Facility Master'!K:K,MATCH(Bajaj_TL_SNo,'Facility Master'!A:A,0)),0),0)</f>
        <v>0</v>
      </c>
      <c r="P40" s="885">
        <v>5.3571429000000004</v>
      </c>
      <c r="Q40" s="885">
        <f>IFERROR((N40+O40-P40/2)*INDEX('Facility Master'!R:R,MATCH(Bajaj_TL_SNo,'Facility Master'!A:A,0))*IF(B40&lt;INDEX('Facility Master'!X:X,MATCH(Bajaj_TL_SNo,'Facility Master'!A:A,0)),0,IF(N40=0,MAX(0,B40-INDEX('Facility Master'!X:X,MATCH(Bajaj_TL_SNo,'Facility Master'!A:A,0))),B40-B39))/DaysInYear,0)</f>
        <v>0.40643828137972604</v>
      </c>
      <c r="R40" s="914">
        <f t="shared" si="7"/>
        <v>16.071425000000001</v>
      </c>
      <c r="S40" s="917">
        <f t="shared" si="8"/>
        <v>13.100142900000002</v>
      </c>
      <c r="T40" s="886">
        <f t="shared" si="9"/>
        <v>2.6527009301468487</v>
      </c>
      <c r="U40" s="886">
        <f t="shared" si="10"/>
        <v>15.752843830146851</v>
      </c>
      <c r="V40" s="887">
        <f t="shared" si="11"/>
        <v>127.93762500000001</v>
      </c>
    </row>
    <row r="41" spans="1:22" ht="15" customHeight="1" x14ac:dyDescent="0.3">
      <c r="A41" s="883">
        <v>37</v>
      </c>
      <c r="B41" s="895">
        <v>48669</v>
      </c>
      <c r="C41" s="903" t="s">
        <v>549</v>
      </c>
      <c r="D41" s="899">
        <v>0</v>
      </c>
      <c r="E41" s="884">
        <v>0</v>
      </c>
      <c r="F41" s="884">
        <v>0</v>
      </c>
      <c r="G41" s="884">
        <v>0</v>
      </c>
      <c r="H41" s="910">
        <v>0</v>
      </c>
      <c r="I41" s="906">
        <f t="shared" si="12"/>
        <v>111.86620000000001</v>
      </c>
      <c r="J41" s="885">
        <f>IFERROR(IF(AND(INDEX('Facility Master'!X:X,MATCH(YBL_TL_SNo,'Facility Master'!A:A,0))&gt;B40,INDEX('Facility Master'!X:X,MATCH(YBL_TL_SNo,'Facility Master'!A:A,0))&lt;=B41),INDEX('Facility Master'!K:K,MATCH(YBL_TL_SNo,'Facility Master'!A:A,0)),0),0)</f>
        <v>0</v>
      </c>
      <c r="K41" s="885">
        <v>7.7430000000000003</v>
      </c>
      <c r="L41" s="885">
        <f>IFERROR((I41+J41-K41/2)*INDEX('Facility Master'!R:R,MATCH(YBL_TL_SNo,'Facility Master'!A:A,0))*IF(B41&lt;INDEX('Facility Master'!X:X,MATCH(YBL_TL_SNo,'Facility Master'!A:A,0)),0,IF(I41=0,MAX(0,B41-INDEX('Facility Master'!X:X,MATCH(YBL_TL_SNo,'Facility Master'!A:A,0))),B41-B40))/DaysInYear,0)</f>
        <v>2.0504199205479456</v>
      </c>
      <c r="M41" s="914">
        <f t="shared" si="5"/>
        <v>104.1232</v>
      </c>
      <c r="N41" s="906">
        <f t="shared" si="13"/>
        <v>16.071425000000001</v>
      </c>
      <c r="O41" s="885">
        <f>IFERROR(IF(AND(INDEX('Facility Master'!X:X,MATCH(Bajaj_TL_SNo,'Facility Master'!A:A,0))&gt;B40,INDEX('Facility Master'!X:X,MATCH(Bajaj_TL_SNo,'Facility Master'!A:A,0))&lt;=B41),INDEX('Facility Master'!K:K,MATCH(Bajaj_TL_SNo,'Facility Master'!A:A,0)),0),0)</f>
        <v>0</v>
      </c>
      <c r="P41" s="885">
        <v>5.3571429000000004</v>
      </c>
      <c r="Q41" s="885">
        <f>IFERROR((N41+O41-P41/2)*INDEX('Facility Master'!R:R,MATCH(Bajaj_TL_SNo,'Facility Master'!A:A,0))*IF(B41&lt;INDEX('Facility Master'!X:X,MATCH(Bajaj_TL_SNo,'Facility Master'!A:A,0)),0,IF(N41=0,MAX(0,B41-INDEX('Facility Master'!X:X,MATCH(Bajaj_TL_SNo,'Facility Master'!A:A,0))),B41-B40))/DaysInYear,0)</f>
        <v>0.2840018807589042</v>
      </c>
      <c r="R41" s="914">
        <f t="shared" si="7"/>
        <v>10.714282000000001</v>
      </c>
      <c r="S41" s="917">
        <f t="shared" si="8"/>
        <v>13.100142900000002</v>
      </c>
      <c r="T41" s="886">
        <f t="shared" si="9"/>
        <v>2.3344218013068501</v>
      </c>
      <c r="U41" s="886">
        <f t="shared" si="10"/>
        <v>15.434564701306851</v>
      </c>
      <c r="V41" s="887">
        <f t="shared" si="11"/>
        <v>114.83748199999999</v>
      </c>
    </row>
    <row r="42" spans="1:22" ht="15" customHeight="1" x14ac:dyDescent="0.3">
      <c r="A42" s="883">
        <v>38</v>
      </c>
      <c r="B42" s="895">
        <v>48760</v>
      </c>
      <c r="C42" s="903" t="s">
        <v>550</v>
      </c>
      <c r="D42" s="899">
        <v>0</v>
      </c>
      <c r="E42" s="884">
        <v>0</v>
      </c>
      <c r="F42" s="884">
        <v>0</v>
      </c>
      <c r="G42" s="884">
        <v>0</v>
      </c>
      <c r="H42" s="910">
        <v>0</v>
      </c>
      <c r="I42" s="906">
        <f t="shared" si="12"/>
        <v>104.1232</v>
      </c>
      <c r="J42" s="885">
        <f>IFERROR(IF(AND(INDEX('Facility Master'!X:X,MATCH(YBL_TL_SNo,'Facility Master'!A:A,0))&gt;B41,INDEX('Facility Master'!X:X,MATCH(YBL_TL_SNo,'Facility Master'!A:A,0))&lt;=B42),INDEX('Facility Master'!K:K,MATCH(YBL_TL_SNo,'Facility Master'!A:A,0)),0),0)</f>
        <v>0</v>
      </c>
      <c r="K42" s="885">
        <v>7.7430000000000003</v>
      </c>
      <c r="L42" s="885">
        <f>IFERROR((I42+J42-K42/2)*INDEX('Facility Master'!R:R,MATCH(YBL_TL_SNo,'Facility Master'!A:A,0))*IF(B42&lt;INDEX('Facility Master'!X:X,MATCH(YBL_TL_SNo,'Facility Master'!A:A,0)),0,IF(I42=0,MAX(0,B42-INDEX('Facility Master'!X:X,MATCH(YBL_TL_SNo,'Facility Master'!A:A,0))),B42-B41))/DaysInYear,0)</f>
        <v>1.9245579778082194</v>
      </c>
      <c r="M42" s="914">
        <f t="shared" si="5"/>
        <v>96.380200000000002</v>
      </c>
      <c r="N42" s="906">
        <f t="shared" si="13"/>
        <v>10.714282000000001</v>
      </c>
      <c r="O42" s="885">
        <f>IFERROR(IF(AND(INDEX('Facility Master'!X:X,MATCH(Bajaj_TL_SNo,'Facility Master'!A:A,0))&gt;B41,INDEX('Facility Master'!X:X,MATCH(Bajaj_TL_SNo,'Facility Master'!A:A,0))&lt;=B42),INDEX('Facility Master'!K:K,MATCH(Bajaj_TL_SNo,'Facility Master'!A:A,0)),0),0)</f>
        <v>0</v>
      </c>
      <c r="P42" s="885">
        <v>5.3571429000000004</v>
      </c>
      <c r="Q42" s="885">
        <f>IFERROR((N42+O42-P42/2)*INDEX('Facility Master'!R:R,MATCH(Bajaj_TL_SNo,'Facility Master'!A:A,0))*IF(B42&lt;INDEX('Facility Master'!X:X,MATCH(Bajaj_TL_SNo,'Facility Master'!A:A,0)),0,IF(N42=0,MAX(0,B42-INDEX('Facility Master'!X:X,MATCH(Bajaj_TL_SNo,'Facility Master'!A:A,0))),B42-B41))/DaysInYear,0)</f>
        <v>0.17229444045013703</v>
      </c>
      <c r="R42" s="914">
        <f t="shared" si="7"/>
        <v>5.3571390000000001</v>
      </c>
      <c r="S42" s="917">
        <f t="shared" si="8"/>
        <v>13.100142900000002</v>
      </c>
      <c r="T42" s="886">
        <f t="shared" si="9"/>
        <v>2.0968524182583566</v>
      </c>
      <c r="U42" s="886">
        <f t="shared" si="10"/>
        <v>15.196995318258358</v>
      </c>
      <c r="V42" s="887">
        <f t="shared" si="11"/>
        <v>101.73733900000001</v>
      </c>
    </row>
    <row r="43" spans="1:22" ht="15" customHeight="1" x14ac:dyDescent="0.3">
      <c r="A43" s="883">
        <v>39</v>
      </c>
      <c r="B43" s="895">
        <v>48852</v>
      </c>
      <c r="C43" s="903" t="s">
        <v>551</v>
      </c>
      <c r="D43" s="899">
        <v>0</v>
      </c>
      <c r="E43" s="884">
        <v>0</v>
      </c>
      <c r="F43" s="884">
        <v>0</v>
      </c>
      <c r="G43" s="884">
        <v>0</v>
      </c>
      <c r="H43" s="910">
        <v>0</v>
      </c>
      <c r="I43" s="906">
        <f t="shared" si="12"/>
        <v>96.380200000000002</v>
      </c>
      <c r="J43" s="885">
        <f>IFERROR(IF(AND(INDEX('Facility Master'!X:X,MATCH(YBL_TL_SNo,'Facility Master'!A:A,0))&gt;B42,INDEX('Facility Master'!X:X,MATCH(YBL_TL_SNo,'Facility Master'!A:A,0))&lt;=B43),INDEX('Facility Master'!K:K,MATCH(YBL_TL_SNo,'Facility Master'!A:A,0)),0),0)</f>
        <v>0</v>
      </c>
      <c r="K43" s="885">
        <v>7.7430000000000003</v>
      </c>
      <c r="L43" s="885">
        <f>IFERROR((I43+J43-K43/2)*INDEX('Facility Master'!R:R,MATCH(YBL_TL_SNo,'Facility Master'!A:A,0))*IF(B43&lt;INDEX('Facility Master'!X:X,MATCH(YBL_TL_SNo,'Facility Master'!A:A,0)),0,IF(I43=0,MAX(0,B43-INDEX('Facility Master'!X:X,MATCH(YBL_TL_SNo,'Facility Master'!A:A,0))),B43-B42))/DaysInYear,0)</f>
        <v>1.7954291254794523</v>
      </c>
      <c r="M43" s="914">
        <f t="shared" si="5"/>
        <v>88.637200000000007</v>
      </c>
      <c r="N43" s="906">
        <f t="shared" si="13"/>
        <v>5.3571390000000001</v>
      </c>
      <c r="O43" s="885">
        <f>IFERROR(IF(AND(INDEX('Facility Master'!X:X,MATCH(Bajaj_TL_SNo,'Facility Master'!A:A,0))&gt;B42,INDEX('Facility Master'!X:X,MATCH(Bajaj_TL_SNo,'Facility Master'!A:A,0))&lt;=B43),INDEX('Facility Master'!K:K,MATCH(Bajaj_TL_SNo,'Facility Master'!A:A,0)),0),0)</f>
        <v>0</v>
      </c>
      <c r="P43" s="885">
        <v>5.3571416999999997</v>
      </c>
      <c r="Q43" s="885">
        <f>IFERROR((N43+O43-P43/2)*INDEX('Facility Master'!R:R,MATCH(Bajaj_TL_SNo,'Facility Master'!A:A,0))*IF(B43&lt;INDEX('Facility Master'!X:X,MATCH(Bajaj_TL_SNo,'Facility Master'!A:A,0)),0,IF(N43=0,MAX(0,B43-INDEX('Facility Master'!X:X,MATCH(Bajaj_TL_SNo,'Facility Master'!A:A,0))),B43-B42))/DaysInYear,0)</f>
        <v>5.806255124054796E-2</v>
      </c>
      <c r="R43" s="914">
        <f t="shared" si="7"/>
        <v>0</v>
      </c>
      <c r="S43" s="917">
        <f t="shared" si="8"/>
        <v>13.1001417</v>
      </c>
      <c r="T43" s="886">
        <f t="shared" si="9"/>
        <v>1.8534916767200003</v>
      </c>
      <c r="U43" s="886">
        <f t="shared" si="10"/>
        <v>14.953633376720001</v>
      </c>
      <c r="V43" s="887">
        <f t="shared" si="11"/>
        <v>88.637200000000007</v>
      </c>
    </row>
    <row r="44" spans="1:22" ht="15" customHeight="1" x14ac:dyDescent="0.3">
      <c r="A44" s="883">
        <v>40</v>
      </c>
      <c r="B44" s="895">
        <v>48944</v>
      </c>
      <c r="C44" s="903" t="s">
        <v>552</v>
      </c>
      <c r="D44" s="899">
        <v>0</v>
      </c>
      <c r="E44" s="884">
        <v>0</v>
      </c>
      <c r="F44" s="884">
        <v>0</v>
      </c>
      <c r="G44" s="884">
        <v>0</v>
      </c>
      <c r="H44" s="910">
        <v>0</v>
      </c>
      <c r="I44" s="906">
        <f t="shared" si="12"/>
        <v>88.637200000000007</v>
      </c>
      <c r="J44" s="885">
        <f>IFERROR(IF(AND(INDEX('Facility Master'!X:X,MATCH(YBL_TL_SNo,'Facility Master'!A:A,0))&gt;B43,INDEX('Facility Master'!X:X,MATCH(YBL_TL_SNo,'Facility Master'!A:A,0))&lt;=B44),INDEX('Facility Master'!K:K,MATCH(YBL_TL_SNo,'Facility Master'!A:A,0)),0),0)</f>
        <v>0</v>
      </c>
      <c r="K44" s="885">
        <v>7.7430000000000003</v>
      </c>
      <c r="L44" s="885">
        <f>IFERROR((I44+J44-K44/2)*INDEX('Facility Master'!R:R,MATCH(YBL_TL_SNo,'Facility Master'!A:A,0))*IF(B44&lt;INDEX('Facility Master'!X:X,MATCH(YBL_TL_SNo,'Facility Master'!A:A,0)),0,IF(I44=0,MAX(0,B44-INDEX('Facility Master'!X:X,MATCH(YBL_TL_SNo,'Facility Master'!A:A,0))),B44-B43))/DaysInYear,0)</f>
        <v>1.6451512843835616</v>
      </c>
      <c r="M44" s="914">
        <f t="shared" si="5"/>
        <v>80.894199999999998</v>
      </c>
      <c r="N44" s="906">
        <f t="shared" si="13"/>
        <v>0</v>
      </c>
      <c r="O44" s="885">
        <f>IFERROR(IF(AND(INDEX('Facility Master'!X:X,MATCH(Bajaj_TL_SNo,'Facility Master'!A:A,0))&gt;B43,INDEX('Facility Master'!X:X,MATCH(Bajaj_TL_SNo,'Facility Master'!A:A,0))&lt;=B44),INDEX('Facility Master'!K:K,MATCH(Bajaj_TL_SNo,'Facility Master'!A:A,0)),0),0)</f>
        <v>0</v>
      </c>
      <c r="P44" s="885">
        <v>0</v>
      </c>
      <c r="Q44" s="885">
        <f>IFERROR((N44+O44-P44/2)*INDEX('Facility Master'!R:R,MATCH(Bajaj_TL_SNo,'Facility Master'!A:A,0))*IF(B44&lt;INDEX('Facility Master'!X:X,MATCH(Bajaj_TL_SNo,'Facility Master'!A:A,0)),0,IF(N44=0,MAX(0,B44-INDEX('Facility Master'!X:X,MATCH(Bajaj_TL_SNo,'Facility Master'!A:A,0))),B44-B43))/DaysInYear,0)</f>
        <v>0</v>
      </c>
      <c r="R44" s="914">
        <f t="shared" si="7"/>
        <v>0</v>
      </c>
      <c r="S44" s="917">
        <f t="shared" si="8"/>
        <v>7.7430000000000003</v>
      </c>
      <c r="T44" s="886">
        <f t="shared" si="9"/>
        <v>1.6451512843835616</v>
      </c>
      <c r="U44" s="886">
        <f t="shared" si="10"/>
        <v>9.3881512843835626</v>
      </c>
      <c r="V44" s="887">
        <f t="shared" si="11"/>
        <v>80.894199999999998</v>
      </c>
    </row>
    <row r="45" spans="1:22" ht="15" customHeight="1" x14ac:dyDescent="0.3">
      <c r="A45" s="883">
        <v>41</v>
      </c>
      <c r="B45" s="895">
        <v>49034</v>
      </c>
      <c r="C45" s="903" t="s">
        <v>553</v>
      </c>
      <c r="D45" s="899">
        <v>0</v>
      </c>
      <c r="E45" s="884">
        <v>0</v>
      </c>
      <c r="F45" s="884">
        <v>0</v>
      </c>
      <c r="G45" s="884">
        <v>0</v>
      </c>
      <c r="H45" s="910">
        <v>0</v>
      </c>
      <c r="I45" s="906">
        <f t="shared" si="12"/>
        <v>80.894199999999998</v>
      </c>
      <c r="J45" s="885">
        <f>IFERROR(IF(AND(INDEX('Facility Master'!X:X,MATCH(YBL_TL_SNo,'Facility Master'!A:A,0))&gt;B44,INDEX('Facility Master'!X:X,MATCH(YBL_TL_SNo,'Facility Master'!A:A,0))&lt;=B45),INDEX('Facility Master'!K:K,MATCH(YBL_TL_SNo,'Facility Master'!A:A,0)),0),0)</f>
        <v>0</v>
      </c>
      <c r="K45" s="885">
        <v>7.7430000000000003</v>
      </c>
      <c r="L45" s="885">
        <f>IFERROR((I45+J45-K45/2)*INDEX('Facility Master'!R:R,MATCH(YBL_TL_SNo,'Facility Master'!A:A,0))*IF(B45&lt;INDEX('Facility Master'!X:X,MATCH(YBL_TL_SNo,'Facility Master'!A:A,0)),0,IF(I45=0,MAX(0,B45-INDEX('Facility Master'!X:X,MATCH(YBL_TL_SNo,'Facility Master'!A:A,0))),B45-B44))/DaysInYear,0)</f>
        <v>1.462376194520548</v>
      </c>
      <c r="M45" s="914">
        <f t="shared" si="5"/>
        <v>73.151200000000003</v>
      </c>
      <c r="N45" s="906">
        <f t="shared" si="13"/>
        <v>0</v>
      </c>
      <c r="O45" s="885">
        <f>IFERROR(IF(AND(INDEX('Facility Master'!X:X,MATCH(Bajaj_TL_SNo,'Facility Master'!A:A,0))&gt;B44,INDEX('Facility Master'!X:X,MATCH(Bajaj_TL_SNo,'Facility Master'!A:A,0))&lt;=B45),INDEX('Facility Master'!K:K,MATCH(Bajaj_TL_SNo,'Facility Master'!A:A,0)),0),0)</f>
        <v>0</v>
      </c>
      <c r="P45" s="885">
        <v>0</v>
      </c>
      <c r="Q45" s="885">
        <f>IFERROR((N45+O45-P45/2)*INDEX('Facility Master'!R:R,MATCH(Bajaj_TL_SNo,'Facility Master'!A:A,0))*IF(B45&lt;INDEX('Facility Master'!X:X,MATCH(Bajaj_TL_SNo,'Facility Master'!A:A,0)),0,IF(N45=0,MAX(0,B45-INDEX('Facility Master'!X:X,MATCH(Bajaj_TL_SNo,'Facility Master'!A:A,0))),B45-B44))/DaysInYear,0)</f>
        <v>0</v>
      </c>
      <c r="R45" s="914">
        <f t="shared" si="7"/>
        <v>0</v>
      </c>
      <c r="S45" s="917">
        <f t="shared" si="8"/>
        <v>7.7430000000000003</v>
      </c>
      <c r="T45" s="886">
        <f t="shared" si="9"/>
        <v>1.462376194520548</v>
      </c>
      <c r="U45" s="886">
        <f t="shared" si="10"/>
        <v>9.2053761945205483</v>
      </c>
      <c r="V45" s="887">
        <f t="shared" si="11"/>
        <v>73.151200000000003</v>
      </c>
    </row>
    <row r="46" spans="1:22" ht="15" customHeight="1" x14ac:dyDescent="0.3">
      <c r="A46" s="883">
        <v>42</v>
      </c>
      <c r="B46" s="895">
        <v>49125</v>
      </c>
      <c r="C46" s="903" t="s">
        <v>554</v>
      </c>
      <c r="D46" s="899">
        <v>0</v>
      </c>
      <c r="E46" s="884">
        <v>0</v>
      </c>
      <c r="F46" s="884">
        <v>0</v>
      </c>
      <c r="G46" s="884">
        <v>0</v>
      </c>
      <c r="H46" s="910">
        <v>0</v>
      </c>
      <c r="I46" s="906">
        <f t="shared" si="12"/>
        <v>73.151200000000003</v>
      </c>
      <c r="J46" s="885">
        <f>IFERROR(IF(AND(INDEX('Facility Master'!X:X,MATCH(YBL_TL_SNo,'Facility Master'!A:A,0))&gt;B45,INDEX('Facility Master'!X:X,MATCH(YBL_TL_SNo,'Facility Master'!A:A,0))&lt;=B46),INDEX('Facility Master'!K:K,MATCH(YBL_TL_SNo,'Facility Master'!A:A,0)),0),0)</f>
        <v>0</v>
      </c>
      <c r="K46" s="885">
        <v>8.0556999999999999</v>
      </c>
      <c r="L46" s="885">
        <f>IFERROR((I46+J46-K46/2)*INDEX('Facility Master'!R:R,MATCH(YBL_TL_SNo,'Facility Master'!A:A,0))*IF(B46&lt;INDEX('Facility Master'!X:X,MATCH(YBL_TL_SNo,'Facility Master'!A:A,0)),0,IF(I46=0,MAX(0,B46-INDEX('Facility Master'!X:X,MATCH(YBL_TL_SNo,'Facility Master'!A:A,0))),B46-B45))/DaysInYear,0)</f>
        <v>1.3269789409589041</v>
      </c>
      <c r="M46" s="914">
        <f t="shared" si="5"/>
        <v>65.095500000000001</v>
      </c>
      <c r="N46" s="906">
        <f t="shared" si="13"/>
        <v>0</v>
      </c>
      <c r="O46" s="885">
        <f>IFERROR(IF(AND(INDEX('Facility Master'!X:X,MATCH(Bajaj_TL_SNo,'Facility Master'!A:A,0))&gt;B45,INDEX('Facility Master'!X:X,MATCH(Bajaj_TL_SNo,'Facility Master'!A:A,0))&lt;=B46),INDEX('Facility Master'!K:K,MATCH(Bajaj_TL_SNo,'Facility Master'!A:A,0)),0),0)</f>
        <v>0</v>
      </c>
      <c r="P46" s="885">
        <v>0</v>
      </c>
      <c r="Q46" s="885">
        <f>IFERROR((N46+O46-P46/2)*INDEX('Facility Master'!R:R,MATCH(Bajaj_TL_SNo,'Facility Master'!A:A,0))*IF(B46&lt;INDEX('Facility Master'!X:X,MATCH(Bajaj_TL_SNo,'Facility Master'!A:A,0)),0,IF(N46=0,MAX(0,B46-INDEX('Facility Master'!X:X,MATCH(Bajaj_TL_SNo,'Facility Master'!A:A,0))),B46-B45))/DaysInYear,0)</f>
        <v>0</v>
      </c>
      <c r="R46" s="914">
        <f t="shared" si="7"/>
        <v>0</v>
      </c>
      <c r="S46" s="917">
        <f t="shared" si="8"/>
        <v>8.0556999999999999</v>
      </c>
      <c r="T46" s="886">
        <f t="shared" si="9"/>
        <v>1.3269789409589041</v>
      </c>
      <c r="U46" s="886">
        <f t="shared" si="10"/>
        <v>9.382678940958904</v>
      </c>
      <c r="V46" s="887">
        <f t="shared" si="11"/>
        <v>65.095500000000001</v>
      </c>
    </row>
    <row r="47" spans="1:22" ht="15" customHeight="1" x14ac:dyDescent="0.3">
      <c r="A47" s="883">
        <v>43</v>
      </c>
      <c r="B47" s="895">
        <v>49217</v>
      </c>
      <c r="C47" s="903" t="s">
        <v>555</v>
      </c>
      <c r="D47" s="899">
        <v>0</v>
      </c>
      <c r="E47" s="884">
        <v>0</v>
      </c>
      <c r="F47" s="884">
        <v>0</v>
      </c>
      <c r="G47" s="884">
        <v>0</v>
      </c>
      <c r="H47" s="910">
        <v>0</v>
      </c>
      <c r="I47" s="906">
        <f t="shared" si="12"/>
        <v>65.095500000000001</v>
      </c>
      <c r="J47" s="885">
        <f>IFERROR(IF(AND(INDEX('Facility Master'!X:X,MATCH(YBL_TL_SNo,'Facility Master'!A:A,0))&gt;B46,INDEX('Facility Master'!X:X,MATCH(YBL_TL_SNo,'Facility Master'!A:A,0))&lt;=B47),INDEX('Facility Master'!K:K,MATCH(YBL_TL_SNo,'Facility Master'!A:A,0)),0),0)</f>
        <v>0</v>
      </c>
      <c r="K47" s="885">
        <v>8.0556999999999999</v>
      </c>
      <c r="L47" s="885">
        <f>IFERROR((I47+J47-K47/2)*INDEX('Facility Master'!R:R,MATCH(YBL_TL_SNo,'Facility Master'!A:A,0))*IF(B47&lt;INDEX('Facility Master'!X:X,MATCH(YBL_TL_SNo,'Facility Master'!A:A,0)),0,IF(I47=0,MAX(0,B47-INDEX('Facility Master'!X:X,MATCH(YBL_TL_SNo,'Facility Master'!A:A,0))),B47-B46))/DaysInYear,0)</f>
        <v>1.1852143358904108</v>
      </c>
      <c r="M47" s="914">
        <f t="shared" si="5"/>
        <v>57.0398</v>
      </c>
      <c r="N47" s="906">
        <f t="shared" si="13"/>
        <v>0</v>
      </c>
      <c r="O47" s="885">
        <f>IFERROR(IF(AND(INDEX('Facility Master'!X:X,MATCH(Bajaj_TL_SNo,'Facility Master'!A:A,0))&gt;B46,INDEX('Facility Master'!X:X,MATCH(Bajaj_TL_SNo,'Facility Master'!A:A,0))&lt;=B47),INDEX('Facility Master'!K:K,MATCH(Bajaj_TL_SNo,'Facility Master'!A:A,0)),0),0)</f>
        <v>0</v>
      </c>
      <c r="P47" s="885">
        <v>0</v>
      </c>
      <c r="Q47" s="885">
        <f>IFERROR((N47+O47-P47/2)*INDEX('Facility Master'!R:R,MATCH(Bajaj_TL_SNo,'Facility Master'!A:A,0))*IF(B47&lt;INDEX('Facility Master'!X:X,MATCH(Bajaj_TL_SNo,'Facility Master'!A:A,0)),0,IF(N47=0,MAX(0,B47-INDEX('Facility Master'!X:X,MATCH(Bajaj_TL_SNo,'Facility Master'!A:A,0))),B47-B46))/DaysInYear,0)</f>
        <v>0</v>
      </c>
      <c r="R47" s="914">
        <f t="shared" si="7"/>
        <v>0</v>
      </c>
      <c r="S47" s="917">
        <f t="shared" si="8"/>
        <v>8.0556999999999999</v>
      </c>
      <c r="T47" s="886">
        <f t="shared" si="9"/>
        <v>1.1852143358904108</v>
      </c>
      <c r="U47" s="886">
        <f t="shared" si="10"/>
        <v>9.2409143358904107</v>
      </c>
      <c r="V47" s="887">
        <f t="shared" si="11"/>
        <v>57.0398</v>
      </c>
    </row>
    <row r="48" spans="1:22" ht="15" customHeight="1" x14ac:dyDescent="0.3">
      <c r="A48" s="883">
        <v>44</v>
      </c>
      <c r="B48" s="895">
        <v>49309</v>
      </c>
      <c r="C48" s="903" t="s">
        <v>556</v>
      </c>
      <c r="D48" s="899">
        <v>0</v>
      </c>
      <c r="E48" s="884">
        <v>0</v>
      </c>
      <c r="F48" s="884">
        <v>0</v>
      </c>
      <c r="G48" s="884">
        <v>0</v>
      </c>
      <c r="H48" s="910">
        <v>0</v>
      </c>
      <c r="I48" s="906">
        <f t="shared" si="12"/>
        <v>57.0398</v>
      </c>
      <c r="J48" s="885">
        <f>IFERROR(IF(AND(INDEX('Facility Master'!X:X,MATCH(YBL_TL_SNo,'Facility Master'!A:A,0))&gt;B47,INDEX('Facility Master'!X:X,MATCH(YBL_TL_SNo,'Facility Master'!A:A,0))&lt;=B48),INDEX('Facility Master'!K:K,MATCH(YBL_TL_SNo,'Facility Master'!A:A,0)),0),0)</f>
        <v>0</v>
      </c>
      <c r="K48" s="885">
        <v>8.0556999999999999</v>
      </c>
      <c r="L48" s="885">
        <f>IFERROR((I48+J48-K48/2)*INDEX('Facility Master'!R:R,MATCH(YBL_TL_SNo,'Facility Master'!A:A,0))*IF(B48&lt;INDEX('Facility Master'!X:X,MATCH(YBL_TL_SNo,'Facility Master'!A:A,0)),0,IF(I48=0,MAX(0,B48-INDEX('Facility Master'!X:X,MATCH(YBL_TL_SNo,'Facility Master'!A:A,0))),B48-B47))/DaysInYear,0)</f>
        <v>1.0288675446575344</v>
      </c>
      <c r="M48" s="914">
        <f t="shared" si="5"/>
        <v>48.984099999999998</v>
      </c>
      <c r="N48" s="906">
        <f t="shared" si="13"/>
        <v>0</v>
      </c>
      <c r="O48" s="885">
        <f>IFERROR(IF(AND(INDEX('Facility Master'!X:X,MATCH(Bajaj_TL_SNo,'Facility Master'!A:A,0))&gt;B47,INDEX('Facility Master'!X:X,MATCH(Bajaj_TL_SNo,'Facility Master'!A:A,0))&lt;=B48),INDEX('Facility Master'!K:K,MATCH(Bajaj_TL_SNo,'Facility Master'!A:A,0)),0),0)</f>
        <v>0</v>
      </c>
      <c r="P48" s="885">
        <v>0</v>
      </c>
      <c r="Q48" s="885">
        <f>IFERROR((N48+O48-P48/2)*INDEX('Facility Master'!R:R,MATCH(Bajaj_TL_SNo,'Facility Master'!A:A,0))*IF(B48&lt;INDEX('Facility Master'!X:X,MATCH(Bajaj_TL_SNo,'Facility Master'!A:A,0)),0,IF(N48=0,MAX(0,B48-INDEX('Facility Master'!X:X,MATCH(Bajaj_TL_SNo,'Facility Master'!A:A,0))),B48-B47))/DaysInYear,0)</f>
        <v>0</v>
      </c>
      <c r="R48" s="914">
        <f t="shared" si="7"/>
        <v>0</v>
      </c>
      <c r="S48" s="917">
        <f t="shared" si="8"/>
        <v>8.0556999999999999</v>
      </c>
      <c r="T48" s="886">
        <f t="shared" si="9"/>
        <v>1.0288675446575344</v>
      </c>
      <c r="U48" s="886">
        <f t="shared" si="10"/>
        <v>9.0845675446575349</v>
      </c>
      <c r="V48" s="887">
        <f t="shared" si="11"/>
        <v>48.984099999999998</v>
      </c>
    </row>
    <row r="49" spans="1:22" ht="15" customHeight="1" x14ac:dyDescent="0.3">
      <c r="A49" s="883">
        <v>45</v>
      </c>
      <c r="B49" s="895">
        <v>49399</v>
      </c>
      <c r="C49" s="903" t="s">
        <v>557</v>
      </c>
      <c r="D49" s="899">
        <v>0</v>
      </c>
      <c r="E49" s="884">
        <v>0</v>
      </c>
      <c r="F49" s="884">
        <v>0</v>
      </c>
      <c r="G49" s="884">
        <v>0</v>
      </c>
      <c r="H49" s="910">
        <v>0</v>
      </c>
      <c r="I49" s="906">
        <f t="shared" si="12"/>
        <v>48.984099999999998</v>
      </c>
      <c r="J49" s="885">
        <f>IFERROR(IF(AND(INDEX('Facility Master'!X:X,MATCH(YBL_TL_SNo,'Facility Master'!A:A,0))&gt;B48,INDEX('Facility Master'!X:X,MATCH(YBL_TL_SNo,'Facility Master'!A:A,0))&lt;=B49),INDEX('Facility Master'!K:K,MATCH(YBL_TL_SNo,'Facility Master'!A:A,0)),0),0)</f>
        <v>0</v>
      </c>
      <c r="K49" s="885">
        <v>8.0556999999999999</v>
      </c>
      <c r="L49" s="885">
        <f>IFERROR((I49+J49-K49/2)*INDEX('Facility Master'!R:R,MATCH(YBL_TL_SNo,'Facility Master'!A:A,0))*IF(B49&lt;INDEX('Facility Master'!X:X,MATCH(YBL_TL_SNo,'Facility Master'!A:A,0)),0,IF(I49=0,MAX(0,B49-INDEX('Facility Master'!X:X,MATCH(YBL_TL_SNo,'Facility Master'!A:A,0))),B49-B48))/DaysInYear,0)</f>
        <v>0.85355291095890407</v>
      </c>
      <c r="M49" s="914">
        <f t="shared" si="5"/>
        <v>40.928400000000003</v>
      </c>
      <c r="N49" s="906">
        <f t="shared" si="13"/>
        <v>0</v>
      </c>
      <c r="O49" s="885">
        <f>IFERROR(IF(AND(INDEX('Facility Master'!X:X,MATCH(Bajaj_TL_SNo,'Facility Master'!A:A,0))&gt;B48,INDEX('Facility Master'!X:X,MATCH(Bajaj_TL_SNo,'Facility Master'!A:A,0))&lt;=B49),INDEX('Facility Master'!K:K,MATCH(Bajaj_TL_SNo,'Facility Master'!A:A,0)),0),0)</f>
        <v>0</v>
      </c>
      <c r="P49" s="885">
        <v>0</v>
      </c>
      <c r="Q49" s="885">
        <f>IFERROR((N49+O49-P49/2)*INDEX('Facility Master'!R:R,MATCH(Bajaj_TL_SNo,'Facility Master'!A:A,0))*IF(B49&lt;INDEX('Facility Master'!X:X,MATCH(Bajaj_TL_SNo,'Facility Master'!A:A,0)),0,IF(N49=0,MAX(0,B49-INDEX('Facility Master'!X:X,MATCH(Bajaj_TL_SNo,'Facility Master'!A:A,0))),B49-B48))/DaysInYear,0)</f>
        <v>0</v>
      </c>
      <c r="R49" s="914">
        <f t="shared" si="7"/>
        <v>0</v>
      </c>
      <c r="S49" s="917">
        <f t="shared" si="8"/>
        <v>8.0556999999999999</v>
      </c>
      <c r="T49" s="886">
        <f t="shared" si="9"/>
        <v>0.85355291095890407</v>
      </c>
      <c r="U49" s="886">
        <f t="shared" si="10"/>
        <v>8.9092529109589034</v>
      </c>
      <c r="V49" s="887">
        <f t="shared" si="11"/>
        <v>40.928400000000003</v>
      </c>
    </row>
    <row r="50" spans="1:22" ht="15" customHeight="1" x14ac:dyDescent="0.3">
      <c r="A50" s="883">
        <v>46</v>
      </c>
      <c r="B50" s="895">
        <v>49490</v>
      </c>
      <c r="C50" s="903" t="s">
        <v>558</v>
      </c>
      <c r="D50" s="899">
        <v>0</v>
      </c>
      <c r="E50" s="884">
        <v>0</v>
      </c>
      <c r="F50" s="884">
        <v>0</v>
      </c>
      <c r="G50" s="884">
        <v>0</v>
      </c>
      <c r="H50" s="910">
        <v>0</v>
      </c>
      <c r="I50" s="906">
        <f t="shared" si="12"/>
        <v>40.928400000000003</v>
      </c>
      <c r="J50" s="885">
        <f>IFERROR(IF(AND(INDEX('Facility Master'!X:X,MATCH(YBL_TL_SNo,'Facility Master'!A:A,0))&gt;B49,INDEX('Facility Master'!X:X,MATCH(YBL_TL_SNo,'Facility Master'!A:A,0))&lt;=B50),INDEX('Facility Master'!K:K,MATCH(YBL_TL_SNo,'Facility Master'!A:A,0)),0),0)</f>
        <v>0</v>
      </c>
      <c r="K50" s="885">
        <v>9.0280000000000005</v>
      </c>
      <c r="L50" s="885">
        <f>IFERROR((I50+J50-K50/2)*INDEX('Facility Master'!R:R,MATCH(YBL_TL_SNo,'Facility Master'!A:A,0))*IF(B50&lt;INDEX('Facility Master'!X:X,MATCH(YBL_TL_SNo,'Facility Master'!A:A,0)),0,IF(I50=0,MAX(0,B50-INDEX('Facility Master'!X:X,MATCH(YBL_TL_SNo,'Facility Master'!A:A,0))),B50-B49))/DaysInYear,0)</f>
        <v>0.69905671452054785</v>
      </c>
      <c r="M50" s="914">
        <f t="shared" si="5"/>
        <v>31.900400000000001</v>
      </c>
      <c r="N50" s="906">
        <f t="shared" si="13"/>
        <v>0</v>
      </c>
      <c r="O50" s="885">
        <f>IFERROR(IF(AND(INDEX('Facility Master'!X:X,MATCH(Bajaj_TL_SNo,'Facility Master'!A:A,0))&gt;B49,INDEX('Facility Master'!X:X,MATCH(Bajaj_TL_SNo,'Facility Master'!A:A,0))&lt;=B50),INDEX('Facility Master'!K:K,MATCH(Bajaj_TL_SNo,'Facility Master'!A:A,0)),0),0)</f>
        <v>0</v>
      </c>
      <c r="P50" s="885">
        <v>0</v>
      </c>
      <c r="Q50" s="885">
        <f>IFERROR((N50+O50-P50/2)*INDEX('Facility Master'!R:R,MATCH(Bajaj_TL_SNo,'Facility Master'!A:A,0))*IF(B50&lt;INDEX('Facility Master'!X:X,MATCH(Bajaj_TL_SNo,'Facility Master'!A:A,0)),0,IF(N50=0,MAX(0,B50-INDEX('Facility Master'!X:X,MATCH(Bajaj_TL_SNo,'Facility Master'!A:A,0))),B50-B49))/DaysInYear,0)</f>
        <v>0</v>
      </c>
      <c r="R50" s="914">
        <f t="shared" si="7"/>
        <v>0</v>
      </c>
      <c r="S50" s="917">
        <f t="shared" si="8"/>
        <v>9.0280000000000005</v>
      </c>
      <c r="T50" s="886">
        <f t="shared" si="9"/>
        <v>0.69905671452054785</v>
      </c>
      <c r="U50" s="886">
        <f t="shared" si="10"/>
        <v>9.7270567145205487</v>
      </c>
      <c r="V50" s="887">
        <f t="shared" si="11"/>
        <v>31.900400000000001</v>
      </c>
    </row>
    <row r="51" spans="1:22" ht="15" customHeight="1" x14ac:dyDescent="0.3">
      <c r="A51" s="883">
        <v>47</v>
      </c>
      <c r="B51" s="895">
        <v>49582</v>
      </c>
      <c r="C51" s="903" t="s">
        <v>559</v>
      </c>
      <c r="D51" s="899">
        <v>0</v>
      </c>
      <c r="E51" s="884">
        <v>0</v>
      </c>
      <c r="F51" s="884">
        <v>0</v>
      </c>
      <c r="G51" s="884">
        <v>0</v>
      </c>
      <c r="H51" s="910">
        <v>0</v>
      </c>
      <c r="I51" s="906">
        <f t="shared" si="12"/>
        <v>31.900400000000001</v>
      </c>
      <c r="J51" s="885">
        <f>IFERROR(IF(AND(INDEX('Facility Master'!X:X,MATCH(YBL_TL_SNo,'Facility Master'!A:A,0))&gt;B50,INDEX('Facility Master'!X:X,MATCH(YBL_TL_SNo,'Facility Master'!A:A,0))&lt;=B51),INDEX('Facility Master'!K:K,MATCH(YBL_TL_SNo,'Facility Master'!A:A,0)),0),0)</f>
        <v>0</v>
      </c>
      <c r="K51" s="885">
        <v>9.0280000000000005</v>
      </c>
      <c r="L51" s="885">
        <f>IFERROR((I51+J51-K51/2)*INDEX('Facility Master'!R:R,MATCH(YBL_TL_SNo,'Facility Master'!A:A,0))*IF(B51&lt;INDEX('Facility Master'!X:X,MATCH(YBL_TL_SNo,'Facility Master'!A:A,0)),0,IF(I51=0,MAX(0,B51-INDEX('Facility Master'!X:X,MATCH(YBL_TL_SNo,'Facility Master'!A:A,0))),B51-B50))/DaysInYear,0)</f>
        <v>0.53152125369863013</v>
      </c>
      <c r="M51" s="914">
        <f t="shared" si="5"/>
        <v>22.872399999999999</v>
      </c>
      <c r="N51" s="906">
        <f t="shared" si="13"/>
        <v>0</v>
      </c>
      <c r="O51" s="885">
        <f>IFERROR(IF(AND(INDEX('Facility Master'!X:X,MATCH(Bajaj_TL_SNo,'Facility Master'!A:A,0))&gt;B50,INDEX('Facility Master'!X:X,MATCH(Bajaj_TL_SNo,'Facility Master'!A:A,0))&lt;=B51),INDEX('Facility Master'!K:K,MATCH(Bajaj_TL_SNo,'Facility Master'!A:A,0)),0),0)</f>
        <v>0</v>
      </c>
      <c r="P51" s="885">
        <v>0</v>
      </c>
      <c r="Q51" s="885">
        <f>IFERROR((N51+O51-P51/2)*INDEX('Facility Master'!R:R,MATCH(Bajaj_TL_SNo,'Facility Master'!A:A,0))*IF(B51&lt;INDEX('Facility Master'!X:X,MATCH(Bajaj_TL_SNo,'Facility Master'!A:A,0)),0,IF(N51=0,MAX(0,B51-INDEX('Facility Master'!X:X,MATCH(Bajaj_TL_SNo,'Facility Master'!A:A,0))),B51-B50))/DaysInYear,0)</f>
        <v>0</v>
      </c>
      <c r="R51" s="914">
        <f t="shared" si="7"/>
        <v>0</v>
      </c>
      <c r="S51" s="917">
        <f t="shared" si="8"/>
        <v>9.0280000000000005</v>
      </c>
      <c r="T51" s="886">
        <f t="shared" si="9"/>
        <v>0.53152125369863013</v>
      </c>
      <c r="U51" s="886">
        <f t="shared" si="10"/>
        <v>9.5595212536986303</v>
      </c>
      <c r="V51" s="887">
        <f t="shared" si="11"/>
        <v>22.872399999999999</v>
      </c>
    </row>
    <row r="52" spans="1:22" ht="15" customHeight="1" x14ac:dyDescent="0.3">
      <c r="A52" s="883">
        <v>48</v>
      </c>
      <c r="B52" s="895">
        <v>49674</v>
      </c>
      <c r="C52" s="903" t="s">
        <v>560</v>
      </c>
      <c r="D52" s="899">
        <v>0</v>
      </c>
      <c r="E52" s="884">
        <v>0</v>
      </c>
      <c r="F52" s="884">
        <v>0</v>
      </c>
      <c r="G52" s="884">
        <v>0</v>
      </c>
      <c r="H52" s="910">
        <v>0</v>
      </c>
      <c r="I52" s="906">
        <f t="shared" si="12"/>
        <v>22.872399999999999</v>
      </c>
      <c r="J52" s="885">
        <f>IFERROR(IF(AND(INDEX('Facility Master'!X:X,MATCH(YBL_TL_SNo,'Facility Master'!A:A,0))&gt;B51,INDEX('Facility Master'!X:X,MATCH(YBL_TL_SNo,'Facility Master'!A:A,0))&lt;=B52),INDEX('Facility Master'!K:K,MATCH(YBL_TL_SNo,'Facility Master'!A:A,0)),0),0)</f>
        <v>0</v>
      </c>
      <c r="K52" s="885">
        <v>9.0280000000000005</v>
      </c>
      <c r="L52" s="885">
        <f>IFERROR((I52+J52-K52/2)*INDEX('Facility Master'!R:R,MATCH(YBL_TL_SNo,'Facility Master'!A:A,0))*IF(B52&lt;INDEX('Facility Master'!X:X,MATCH(YBL_TL_SNo,'Facility Master'!A:A,0)),0,IF(I52=0,MAX(0,B52-INDEX('Facility Master'!X:X,MATCH(YBL_TL_SNo,'Facility Master'!A:A,0))),B52-B51))/DaysInYear,0)</f>
        <v>0.3563038509589041</v>
      </c>
      <c r="M52" s="914">
        <f t="shared" si="5"/>
        <v>13.8444</v>
      </c>
      <c r="N52" s="906">
        <f t="shared" si="13"/>
        <v>0</v>
      </c>
      <c r="O52" s="885">
        <f>IFERROR(IF(AND(INDEX('Facility Master'!X:X,MATCH(Bajaj_TL_SNo,'Facility Master'!A:A,0))&gt;B51,INDEX('Facility Master'!X:X,MATCH(Bajaj_TL_SNo,'Facility Master'!A:A,0))&lt;=B52),INDEX('Facility Master'!K:K,MATCH(Bajaj_TL_SNo,'Facility Master'!A:A,0)),0),0)</f>
        <v>0</v>
      </c>
      <c r="P52" s="885">
        <v>0</v>
      </c>
      <c r="Q52" s="885">
        <f>IFERROR((N52+O52-P52/2)*INDEX('Facility Master'!R:R,MATCH(Bajaj_TL_SNo,'Facility Master'!A:A,0))*IF(B52&lt;INDEX('Facility Master'!X:X,MATCH(Bajaj_TL_SNo,'Facility Master'!A:A,0)),0,IF(N52=0,MAX(0,B52-INDEX('Facility Master'!X:X,MATCH(Bajaj_TL_SNo,'Facility Master'!A:A,0))),B52-B51))/DaysInYear,0)</f>
        <v>0</v>
      </c>
      <c r="R52" s="914">
        <f t="shared" si="7"/>
        <v>0</v>
      </c>
      <c r="S52" s="917">
        <f t="shared" si="8"/>
        <v>9.0280000000000005</v>
      </c>
      <c r="T52" s="886">
        <f t="shared" si="9"/>
        <v>0.3563038509589041</v>
      </c>
      <c r="U52" s="886">
        <f t="shared" si="10"/>
        <v>9.3843038509589043</v>
      </c>
      <c r="V52" s="887">
        <f t="shared" si="11"/>
        <v>13.8444</v>
      </c>
    </row>
    <row r="53" spans="1:22" ht="15" customHeight="1" x14ac:dyDescent="0.3">
      <c r="A53" s="883">
        <v>49</v>
      </c>
      <c r="B53" s="895">
        <v>49765</v>
      </c>
      <c r="C53" s="903" t="s">
        <v>561</v>
      </c>
      <c r="D53" s="899">
        <v>0</v>
      </c>
      <c r="E53" s="884">
        <v>0</v>
      </c>
      <c r="F53" s="884">
        <v>0</v>
      </c>
      <c r="G53" s="884">
        <v>0</v>
      </c>
      <c r="H53" s="910">
        <v>0</v>
      </c>
      <c r="I53" s="906">
        <f t="shared" si="12"/>
        <v>13.8444</v>
      </c>
      <c r="J53" s="885">
        <f>IFERROR(IF(AND(INDEX('Facility Master'!X:X,MATCH(YBL_TL_SNo,'Facility Master'!A:A,0))&gt;B52,INDEX('Facility Master'!X:X,MATCH(YBL_TL_SNo,'Facility Master'!A:A,0))&lt;=B53),INDEX('Facility Master'!K:K,MATCH(YBL_TL_SNo,'Facility Master'!A:A,0)),0),0)</f>
        <v>0</v>
      </c>
      <c r="K53" s="885">
        <v>9.0280000000000005</v>
      </c>
      <c r="L53" s="885">
        <f>IFERROR((I53+J53-K53/2)*INDEX('Facility Master'!R:R,MATCH(YBL_TL_SNo,'Facility Master'!A:A,0))*IF(B53&lt;INDEX('Facility Master'!X:X,MATCH(YBL_TL_SNo,'Facility Master'!A:A,0)),0,IF(I53=0,MAX(0,B53-INDEX('Facility Master'!X:X,MATCH(YBL_TL_SNo,'Facility Master'!A:A,0))),B53-B52))/DaysInYear,0)</f>
        <v>0.17911811726027399</v>
      </c>
      <c r="M53" s="914">
        <f t="shared" si="5"/>
        <v>4.8163999999999998</v>
      </c>
      <c r="N53" s="906">
        <f t="shared" si="13"/>
        <v>0</v>
      </c>
      <c r="O53" s="885">
        <f>IFERROR(IF(AND(INDEX('Facility Master'!X:X,MATCH(Bajaj_TL_SNo,'Facility Master'!A:A,0))&gt;B52,INDEX('Facility Master'!X:X,MATCH(Bajaj_TL_SNo,'Facility Master'!A:A,0))&lt;=B53),INDEX('Facility Master'!K:K,MATCH(Bajaj_TL_SNo,'Facility Master'!A:A,0)),0),0)</f>
        <v>0</v>
      </c>
      <c r="P53" s="885">
        <v>0</v>
      </c>
      <c r="Q53" s="885">
        <f>IFERROR((N53+O53-P53/2)*INDEX('Facility Master'!R:R,MATCH(Bajaj_TL_SNo,'Facility Master'!A:A,0))*IF(B53&lt;INDEX('Facility Master'!X:X,MATCH(Bajaj_TL_SNo,'Facility Master'!A:A,0)),0,IF(N53=0,MAX(0,B53-INDEX('Facility Master'!X:X,MATCH(Bajaj_TL_SNo,'Facility Master'!A:A,0))),B53-B52))/DaysInYear,0)</f>
        <v>0</v>
      </c>
      <c r="R53" s="914">
        <f t="shared" si="7"/>
        <v>0</v>
      </c>
      <c r="S53" s="917">
        <f t="shared" si="8"/>
        <v>9.0280000000000005</v>
      </c>
      <c r="T53" s="886">
        <f t="shared" si="9"/>
        <v>0.17911811726027399</v>
      </c>
      <c r="U53" s="886">
        <f t="shared" si="10"/>
        <v>9.2071181172602738</v>
      </c>
      <c r="V53" s="887">
        <f t="shared" si="11"/>
        <v>4.8163999999999998</v>
      </c>
    </row>
    <row r="54" spans="1:22" ht="15" customHeight="1" x14ac:dyDescent="0.3">
      <c r="A54" s="883">
        <v>50</v>
      </c>
      <c r="B54" s="895">
        <v>49856</v>
      </c>
      <c r="C54" s="903" t="s">
        <v>562</v>
      </c>
      <c r="D54" s="899">
        <v>0</v>
      </c>
      <c r="E54" s="884">
        <v>0</v>
      </c>
      <c r="F54" s="884">
        <v>0</v>
      </c>
      <c r="G54" s="884">
        <v>0</v>
      </c>
      <c r="H54" s="910">
        <v>0</v>
      </c>
      <c r="I54" s="906">
        <f t="shared" si="12"/>
        <v>4.8163999999999998</v>
      </c>
      <c r="J54" s="885">
        <f>IFERROR(IF(AND(INDEX('Facility Master'!X:X,MATCH(YBL_TL_SNo,'Facility Master'!A:A,0))&gt;B53,INDEX('Facility Master'!X:X,MATCH(YBL_TL_SNo,'Facility Master'!A:A,0))&lt;=B54),INDEX('Facility Master'!K:K,MATCH(YBL_TL_SNo,'Facility Master'!A:A,0)),0),0)</f>
        <v>0</v>
      </c>
      <c r="K54" s="885">
        <v>2.4306000000000001</v>
      </c>
      <c r="L54" s="885">
        <f>IFERROR((I54+J54-K54/2)*INDEX('Facility Master'!R:R,MATCH(YBL_TL_SNo,'Facility Master'!A:A,0))*IF(B54&lt;INDEX('Facility Master'!X:X,MATCH(YBL_TL_SNo,'Facility Master'!A:A,0)),0,IF(I54=0,MAX(0,B54-INDEX('Facility Master'!X:X,MATCH(YBL_TL_SNo,'Facility Master'!A:A,0))),B54-B53))/DaysInYear,0)</f>
        <v>6.9131253972602738E-2</v>
      </c>
      <c r="M54" s="914">
        <f t="shared" si="5"/>
        <v>2.3858000000000001</v>
      </c>
      <c r="N54" s="906">
        <f t="shared" si="13"/>
        <v>0</v>
      </c>
      <c r="O54" s="885">
        <f>IFERROR(IF(AND(INDEX('Facility Master'!X:X,MATCH(Bajaj_TL_SNo,'Facility Master'!A:A,0))&gt;B53,INDEX('Facility Master'!X:X,MATCH(Bajaj_TL_SNo,'Facility Master'!A:A,0))&lt;=B54),INDEX('Facility Master'!K:K,MATCH(Bajaj_TL_SNo,'Facility Master'!A:A,0)),0),0)</f>
        <v>0</v>
      </c>
      <c r="P54" s="885">
        <v>0</v>
      </c>
      <c r="Q54" s="885">
        <f>IFERROR((N54+O54-P54/2)*INDEX('Facility Master'!R:R,MATCH(Bajaj_TL_SNo,'Facility Master'!A:A,0))*IF(B54&lt;INDEX('Facility Master'!X:X,MATCH(Bajaj_TL_SNo,'Facility Master'!A:A,0)),0,IF(N54=0,MAX(0,B54-INDEX('Facility Master'!X:X,MATCH(Bajaj_TL_SNo,'Facility Master'!A:A,0))),B54-B53))/DaysInYear,0)</f>
        <v>0</v>
      </c>
      <c r="R54" s="914">
        <f t="shared" si="7"/>
        <v>0</v>
      </c>
      <c r="S54" s="917">
        <f t="shared" si="8"/>
        <v>2.4306000000000001</v>
      </c>
      <c r="T54" s="886">
        <f t="shared" si="9"/>
        <v>6.9131253972602738E-2</v>
      </c>
      <c r="U54" s="886">
        <f t="shared" si="10"/>
        <v>2.4997312539726027</v>
      </c>
      <c r="V54" s="887">
        <f t="shared" si="11"/>
        <v>2.3858000000000001</v>
      </c>
    </row>
    <row r="55" spans="1:22" ht="15" customHeight="1" x14ac:dyDescent="0.3">
      <c r="A55" s="883">
        <v>51</v>
      </c>
      <c r="B55" s="895">
        <v>49948</v>
      </c>
      <c r="C55" s="903" t="s">
        <v>563</v>
      </c>
      <c r="D55" s="899">
        <v>0</v>
      </c>
      <c r="E55" s="884">
        <v>0</v>
      </c>
      <c r="F55" s="884">
        <v>0</v>
      </c>
      <c r="G55" s="884">
        <v>0</v>
      </c>
      <c r="H55" s="910">
        <v>0</v>
      </c>
      <c r="I55" s="906">
        <f t="shared" si="12"/>
        <v>2.3858000000000001</v>
      </c>
      <c r="J55" s="885">
        <f>IFERROR(IF(AND(INDEX('Facility Master'!X:X,MATCH(YBL_TL_SNo,'Facility Master'!A:A,0))&gt;B54,INDEX('Facility Master'!X:X,MATCH(YBL_TL_SNo,'Facility Master'!A:A,0))&lt;=B55),INDEX('Facility Master'!K:K,MATCH(YBL_TL_SNo,'Facility Master'!A:A,0)),0),0)</f>
        <v>0</v>
      </c>
      <c r="K55" s="885">
        <v>2.3858000000000001</v>
      </c>
      <c r="L55" s="885">
        <f>IFERROR((I55+J55-K55/2)*INDEX('Facility Master'!R:R,MATCH(YBL_TL_SNo,'Facility Master'!A:A,0))*IF(B55&lt;INDEX('Facility Master'!X:X,MATCH(YBL_TL_SNo,'Facility Master'!A:A,0)),0,IF(I55=0,MAX(0,B55-INDEX('Facility Master'!X:X,MATCH(YBL_TL_SNo,'Facility Master'!A:A,0))),B55-B54))/DaysInYear,0)</f>
        <v>2.3152064657534246E-2</v>
      </c>
      <c r="M55" s="914">
        <f t="shared" si="5"/>
        <v>0</v>
      </c>
      <c r="N55" s="906">
        <f t="shared" si="13"/>
        <v>0</v>
      </c>
      <c r="O55" s="885">
        <f>IFERROR(IF(AND(INDEX('Facility Master'!X:X,MATCH(Bajaj_TL_SNo,'Facility Master'!A:A,0))&gt;B54,INDEX('Facility Master'!X:X,MATCH(Bajaj_TL_SNo,'Facility Master'!A:A,0))&lt;=B55),INDEX('Facility Master'!K:K,MATCH(Bajaj_TL_SNo,'Facility Master'!A:A,0)),0),0)</f>
        <v>0</v>
      </c>
      <c r="P55" s="885">
        <v>0</v>
      </c>
      <c r="Q55" s="885">
        <f>IFERROR((N55+O55-P55/2)*INDEX('Facility Master'!R:R,MATCH(Bajaj_TL_SNo,'Facility Master'!A:A,0))*IF(B55&lt;INDEX('Facility Master'!X:X,MATCH(Bajaj_TL_SNo,'Facility Master'!A:A,0)),0,IF(N55=0,MAX(0,B55-INDEX('Facility Master'!X:X,MATCH(Bajaj_TL_SNo,'Facility Master'!A:A,0))),B55-B54))/DaysInYear,0)</f>
        <v>0</v>
      </c>
      <c r="R55" s="914">
        <f t="shared" si="7"/>
        <v>0</v>
      </c>
      <c r="S55" s="917">
        <f t="shared" si="8"/>
        <v>2.3858000000000001</v>
      </c>
      <c r="T55" s="886">
        <f t="shared" si="9"/>
        <v>2.3152064657534246E-2</v>
      </c>
      <c r="U55" s="886">
        <f t="shared" si="10"/>
        <v>2.4089520646575342</v>
      </c>
      <c r="V55" s="887">
        <f t="shared" si="11"/>
        <v>0</v>
      </c>
    </row>
    <row r="56" spans="1:22" ht="15" customHeight="1" x14ac:dyDescent="0.3">
      <c r="A56" s="883">
        <v>52</v>
      </c>
      <c r="B56" s="895">
        <v>50040</v>
      </c>
      <c r="C56" s="903" t="s">
        <v>564</v>
      </c>
      <c r="D56" s="899">
        <v>0</v>
      </c>
      <c r="E56" s="884">
        <v>0</v>
      </c>
      <c r="F56" s="884">
        <v>0</v>
      </c>
      <c r="G56" s="884">
        <v>0</v>
      </c>
      <c r="H56" s="910">
        <v>0</v>
      </c>
      <c r="I56" s="906">
        <f t="shared" si="12"/>
        <v>0</v>
      </c>
      <c r="J56" s="885">
        <f>IFERROR(IF(AND(INDEX('Facility Master'!X:X,MATCH(YBL_TL_SNo,'Facility Master'!A:A,0))&gt;B55,INDEX('Facility Master'!X:X,MATCH(YBL_TL_SNo,'Facility Master'!A:A,0))&lt;=B56),INDEX('Facility Master'!K:K,MATCH(YBL_TL_SNo,'Facility Master'!A:A,0)),0),0)</f>
        <v>0</v>
      </c>
      <c r="K56" s="885">
        <v>0</v>
      </c>
      <c r="L56" s="885">
        <f>IFERROR((I56+J56-K56/2)*INDEX('Facility Master'!R:R,MATCH(YBL_TL_SNo,'Facility Master'!A:A,0))*IF(B56&lt;INDEX('Facility Master'!X:X,MATCH(YBL_TL_SNo,'Facility Master'!A:A,0)),0,IF(I56=0,MAX(0,B56-INDEX('Facility Master'!X:X,MATCH(YBL_TL_SNo,'Facility Master'!A:A,0))),B56-B55))/DaysInYear,0)</f>
        <v>0</v>
      </c>
      <c r="M56" s="914">
        <f t="shared" si="5"/>
        <v>0</v>
      </c>
      <c r="N56" s="906">
        <f t="shared" si="13"/>
        <v>0</v>
      </c>
      <c r="O56" s="885">
        <f>IFERROR(IF(AND(INDEX('Facility Master'!X:X,MATCH(Bajaj_TL_SNo,'Facility Master'!A:A,0))&gt;B55,INDEX('Facility Master'!X:X,MATCH(Bajaj_TL_SNo,'Facility Master'!A:A,0))&lt;=B56),INDEX('Facility Master'!K:K,MATCH(Bajaj_TL_SNo,'Facility Master'!A:A,0)),0),0)</f>
        <v>0</v>
      </c>
      <c r="P56" s="885">
        <v>0</v>
      </c>
      <c r="Q56" s="885">
        <f>IFERROR((N56+O56-P56/2)*INDEX('Facility Master'!R:R,MATCH(Bajaj_TL_SNo,'Facility Master'!A:A,0))*IF(B56&lt;INDEX('Facility Master'!X:X,MATCH(Bajaj_TL_SNo,'Facility Master'!A:A,0)),0,IF(N56=0,MAX(0,B56-INDEX('Facility Master'!X:X,MATCH(Bajaj_TL_SNo,'Facility Master'!A:A,0))),B56-B55))/DaysInYear,0)</f>
        <v>0</v>
      </c>
      <c r="R56" s="914">
        <f t="shared" si="7"/>
        <v>0</v>
      </c>
      <c r="S56" s="917">
        <f t="shared" si="8"/>
        <v>0</v>
      </c>
      <c r="T56" s="886">
        <f t="shared" si="9"/>
        <v>0</v>
      </c>
      <c r="U56" s="886">
        <f t="shared" si="10"/>
        <v>0</v>
      </c>
      <c r="V56" s="887">
        <f t="shared" si="11"/>
        <v>0</v>
      </c>
    </row>
    <row r="57" spans="1:22" ht="15" customHeight="1" x14ac:dyDescent="0.3">
      <c r="A57" s="888">
        <v>53</v>
      </c>
      <c r="B57" s="896">
        <v>50130</v>
      </c>
      <c r="C57" s="904" t="s">
        <v>565</v>
      </c>
      <c r="D57" s="900">
        <v>0</v>
      </c>
      <c r="E57" s="889">
        <v>0</v>
      </c>
      <c r="F57" s="889">
        <v>0</v>
      </c>
      <c r="G57" s="889">
        <v>0</v>
      </c>
      <c r="H57" s="911">
        <v>0</v>
      </c>
      <c r="I57" s="907">
        <f t="shared" si="12"/>
        <v>0</v>
      </c>
      <c r="J57" s="890">
        <f>IFERROR(IF(AND(INDEX('Facility Master'!X:X,MATCH(YBL_TL_SNo,'Facility Master'!A:A,0))&gt;B56,INDEX('Facility Master'!X:X,MATCH(YBL_TL_SNo,'Facility Master'!A:A,0))&lt;=B57),INDEX('Facility Master'!K:K,MATCH(YBL_TL_SNo,'Facility Master'!A:A,0)),0),0)</f>
        <v>0</v>
      </c>
      <c r="K57" s="890">
        <v>0</v>
      </c>
      <c r="L57" s="890">
        <f>IFERROR((I57+J57-K57/2)*INDEX('Facility Master'!R:R,MATCH(YBL_TL_SNo,'Facility Master'!A:A,0))*IF(B57&lt;INDEX('Facility Master'!X:X,MATCH(YBL_TL_SNo,'Facility Master'!A:A,0)),0,IF(I57=0,MAX(0,B57-INDEX('Facility Master'!X:X,MATCH(YBL_TL_SNo,'Facility Master'!A:A,0))),B57-B56))/DaysInYear,0)</f>
        <v>0</v>
      </c>
      <c r="M57" s="915">
        <f t="shared" si="5"/>
        <v>0</v>
      </c>
      <c r="N57" s="907">
        <f t="shared" si="13"/>
        <v>0</v>
      </c>
      <c r="O57" s="890">
        <f>IFERROR(IF(AND(INDEX('Facility Master'!X:X,MATCH(Bajaj_TL_SNo,'Facility Master'!A:A,0))&gt;B56,INDEX('Facility Master'!X:X,MATCH(Bajaj_TL_SNo,'Facility Master'!A:A,0))&lt;=B57),INDEX('Facility Master'!K:K,MATCH(Bajaj_TL_SNo,'Facility Master'!A:A,0)),0),0)</f>
        <v>0</v>
      </c>
      <c r="P57" s="890">
        <v>0</v>
      </c>
      <c r="Q57" s="890">
        <f>IFERROR((N57+O57-P57/2)*INDEX('Facility Master'!R:R,MATCH(Bajaj_TL_SNo,'Facility Master'!A:A,0))*IF(B57&lt;INDEX('Facility Master'!X:X,MATCH(Bajaj_TL_SNo,'Facility Master'!A:A,0)),0,IF(N57=0,MAX(0,B57-INDEX('Facility Master'!X:X,MATCH(Bajaj_TL_SNo,'Facility Master'!A:A,0))),B57-B56))/DaysInYear,0)</f>
        <v>0</v>
      </c>
      <c r="R57" s="915">
        <f t="shared" si="7"/>
        <v>0</v>
      </c>
      <c r="S57" s="918">
        <f t="shared" si="8"/>
        <v>0</v>
      </c>
      <c r="T57" s="891">
        <f t="shared" si="9"/>
        <v>0</v>
      </c>
      <c r="U57" s="891">
        <f t="shared" si="10"/>
        <v>0</v>
      </c>
      <c r="V57" s="892">
        <f t="shared" si="11"/>
        <v>0</v>
      </c>
    </row>
    <row r="58" spans="1:22" ht="7.95" customHeight="1" x14ac:dyDescent="0.3">
      <c r="A58" s="872"/>
      <c r="B58" s="872"/>
      <c r="C58" s="872"/>
      <c r="D58" s="872"/>
      <c r="E58" s="872"/>
      <c r="F58" s="872"/>
      <c r="G58" s="872"/>
      <c r="H58" s="872"/>
      <c r="I58" s="872"/>
      <c r="J58" s="872"/>
      <c r="K58" s="872"/>
      <c r="L58" s="872"/>
      <c r="M58" s="872"/>
      <c r="N58" s="872"/>
      <c r="O58" s="872"/>
      <c r="P58" s="872"/>
      <c r="Q58" s="872"/>
      <c r="R58" s="872"/>
      <c r="S58" s="872"/>
      <c r="T58" s="872"/>
      <c r="U58" s="872"/>
      <c r="V58" s="872"/>
    </row>
    <row r="59" spans="1:22" ht="19.95" customHeight="1" x14ac:dyDescent="0.3">
      <c r="A59" s="763" t="s">
        <v>566</v>
      </c>
      <c r="B59" s="764"/>
      <c r="C59" s="764"/>
      <c r="D59" s="764"/>
      <c r="E59" s="764"/>
      <c r="F59" s="765"/>
      <c r="G59" s="715"/>
      <c r="H59" s="715"/>
      <c r="I59" s="715"/>
      <c r="J59" s="715"/>
      <c r="K59" s="715"/>
      <c r="L59" s="715"/>
      <c r="M59" s="715"/>
      <c r="N59" s="715"/>
      <c r="O59" s="715"/>
      <c r="P59" s="715"/>
      <c r="Q59" s="715"/>
      <c r="R59" s="715"/>
      <c r="S59" s="715"/>
      <c r="T59" s="715"/>
      <c r="U59" s="715"/>
      <c r="V59" s="715"/>
    </row>
    <row r="60" spans="1:22" ht="18" customHeight="1" x14ac:dyDescent="0.3">
      <c r="A60" s="920" t="s">
        <v>122</v>
      </c>
      <c r="B60" s="921" t="s">
        <v>567</v>
      </c>
      <c r="C60" s="921" t="s">
        <v>568</v>
      </c>
      <c r="D60" s="921" t="s">
        <v>569</v>
      </c>
      <c r="E60" s="921" t="s">
        <v>570</v>
      </c>
      <c r="F60" s="922" t="s">
        <v>571</v>
      </c>
      <c r="G60" s="871"/>
      <c r="H60" s="871"/>
      <c r="I60" s="871"/>
      <c r="J60" s="871"/>
      <c r="K60" s="871"/>
      <c r="L60" s="871"/>
      <c r="M60" s="871"/>
      <c r="N60" s="871"/>
      <c r="O60" s="871"/>
      <c r="P60" s="871"/>
      <c r="Q60" s="871"/>
      <c r="R60" s="871"/>
      <c r="S60" s="871"/>
      <c r="T60" s="871"/>
      <c r="U60" s="871"/>
      <c r="V60" s="871"/>
    </row>
    <row r="61" spans="1:22" ht="18" customHeight="1" x14ac:dyDescent="0.3">
      <c r="A61" s="923" t="s">
        <v>572</v>
      </c>
      <c r="B61" s="924">
        <v>0</v>
      </c>
      <c r="C61" s="924">
        <v>0</v>
      </c>
      <c r="D61" s="924">
        <v>0</v>
      </c>
      <c r="E61" s="924">
        <v>0</v>
      </c>
      <c r="F61" s="925">
        <v>0</v>
      </c>
      <c r="G61" s="871"/>
      <c r="H61" s="871"/>
      <c r="I61" s="871"/>
      <c r="J61" s="871"/>
      <c r="K61" s="871"/>
      <c r="L61" s="871"/>
      <c r="M61" s="871"/>
      <c r="N61" s="871"/>
      <c r="O61" s="871"/>
      <c r="P61" s="871"/>
      <c r="Q61" s="871"/>
      <c r="R61" s="871"/>
      <c r="S61" s="871"/>
      <c r="T61" s="871"/>
      <c r="U61" s="871"/>
      <c r="V61" s="871"/>
    </row>
    <row r="62" spans="1:22" ht="18" customHeight="1" x14ac:dyDescent="0.3">
      <c r="A62" s="926" t="s">
        <v>124</v>
      </c>
      <c r="B62" s="927">
        <f>IFERROR(INDEX('Facility Master'!K:K,MATCH(YBL_TL_SNo,'Facility Master'!A:A,0)),0)</f>
        <v>320.7</v>
      </c>
      <c r="C62" s="927">
        <f>IFERROR(SUMIFS(K5:K57,B5:B57,"&lt;="&amp;AsOfDate),0)</f>
        <v>24.738800000000001</v>
      </c>
      <c r="D62" s="927">
        <f>B62-C62</f>
        <v>295.96119999999996</v>
      </c>
      <c r="E62" s="927">
        <f>IFERROR(SUMIFS(L5:L57,B5:B57,"&lt;="&amp;AsOfDate),0)</f>
        <v>30.847137933835612</v>
      </c>
      <c r="F62" s="928">
        <f>IFERROR(INDEX('Facility Master'!R:R,MATCH(YBL_TL_SNo,'Facility Master'!A:A,0)),0)</f>
        <v>7.6999999999999999E-2</v>
      </c>
      <c r="G62" s="871"/>
      <c r="H62" s="871"/>
      <c r="I62" s="871"/>
      <c r="J62" s="871"/>
      <c r="K62" s="871"/>
      <c r="L62" s="871"/>
      <c r="M62" s="871"/>
      <c r="N62" s="871"/>
      <c r="O62" s="871"/>
      <c r="P62" s="871"/>
      <c r="Q62" s="871"/>
      <c r="R62" s="871"/>
      <c r="S62" s="871"/>
      <c r="T62" s="871"/>
      <c r="U62" s="871"/>
      <c r="V62" s="871"/>
    </row>
    <row r="63" spans="1:22" ht="18" customHeight="1" x14ac:dyDescent="0.3">
      <c r="A63" s="929" t="s">
        <v>127</v>
      </c>
      <c r="B63" s="930">
        <f>IFERROR(INDEX('Facility Master'!K:K,MATCH(Bajaj_TL_SNo,'Facility Master'!A:A,0)),0)</f>
        <v>150</v>
      </c>
      <c r="C63" s="930">
        <f>IFERROR(SUMIFS(P5:P57,B5:B57,"&lt;="&amp;AsOfDate),0)</f>
        <v>0</v>
      </c>
      <c r="D63" s="930">
        <f>B63-C63</f>
        <v>150</v>
      </c>
      <c r="E63" s="930">
        <f>IFERROR(SUMIFS(Q5:Q57,B5:B57,"&lt;="&amp;AsOfDate),0)</f>
        <v>7.7046575342465751</v>
      </c>
      <c r="F63" s="931">
        <f>IFERROR(INDEX('Facility Master'!R:R,MATCH(Bajaj_TL_SNo,'Facility Master'!A:A,0)),0)</f>
        <v>8.6000000000000007E-2</v>
      </c>
      <c r="G63" s="871"/>
      <c r="H63" s="871"/>
      <c r="I63" s="871"/>
      <c r="J63" s="871"/>
      <c r="K63" s="871"/>
      <c r="L63" s="871"/>
      <c r="M63" s="871"/>
      <c r="N63" s="871"/>
      <c r="O63" s="871"/>
      <c r="P63" s="871"/>
      <c r="Q63" s="871"/>
      <c r="R63" s="871"/>
      <c r="S63" s="871"/>
      <c r="T63" s="871"/>
      <c r="U63" s="871"/>
      <c r="V63" s="871"/>
    </row>
    <row r="64" spans="1:22" ht="18" customHeight="1" x14ac:dyDescent="0.3">
      <c r="A64" s="932" t="s">
        <v>115</v>
      </c>
      <c r="B64" s="933">
        <f>SUM(B61:B63)</f>
        <v>470.7</v>
      </c>
      <c r="C64" s="933">
        <f>SUM(C61:C63)</f>
        <v>24.738800000000001</v>
      </c>
      <c r="D64" s="933">
        <f>SUM(D61:D63)</f>
        <v>445.96119999999996</v>
      </c>
      <c r="E64" s="933">
        <f>SUM(E61:E63)</f>
        <v>38.55179546808219</v>
      </c>
      <c r="F64" s="934"/>
      <c r="G64" s="871"/>
      <c r="H64" s="871"/>
      <c r="I64" s="871"/>
      <c r="J64" s="871"/>
      <c r="K64" s="871"/>
      <c r="L64" s="871"/>
      <c r="M64" s="871"/>
      <c r="N64" s="871"/>
      <c r="O64" s="871"/>
      <c r="P64" s="871"/>
      <c r="Q64" s="871"/>
      <c r="R64" s="871"/>
      <c r="S64" s="871"/>
      <c r="T64" s="871"/>
      <c r="U64" s="871"/>
      <c r="V64" s="871"/>
    </row>
    <row r="65" spans="1:22" ht="15" customHeight="1" x14ac:dyDescent="0.3">
      <c r="A65" s="871"/>
      <c r="B65" s="871"/>
      <c r="C65" s="871"/>
      <c r="D65" s="871"/>
      <c r="E65" s="871"/>
      <c r="F65" s="871"/>
      <c r="G65" s="871"/>
      <c r="H65" s="871"/>
      <c r="I65" s="871"/>
      <c r="J65" s="871"/>
      <c r="K65" s="871"/>
      <c r="L65" s="871"/>
      <c r="M65" s="871"/>
      <c r="N65" s="871"/>
      <c r="O65" s="871"/>
      <c r="P65" s="871"/>
      <c r="Q65" s="871"/>
      <c r="R65" s="871"/>
      <c r="S65" s="871"/>
      <c r="T65" s="871"/>
      <c r="U65" s="871"/>
      <c r="V65" s="871"/>
    </row>
    <row r="66" spans="1:22" s="1" customFormat="1" ht="15" customHeight="1" x14ac:dyDescent="0.3">
      <c r="A66" s="871"/>
      <c r="B66" s="871"/>
      <c r="C66" s="871"/>
      <c r="D66" s="871"/>
      <c r="E66" s="871"/>
      <c r="F66" s="871"/>
      <c r="G66" s="871"/>
      <c r="H66" s="871"/>
      <c r="I66" s="871"/>
      <c r="J66" s="871"/>
      <c r="K66" s="871"/>
      <c r="L66" s="871"/>
      <c r="M66" s="871"/>
      <c r="N66" s="871"/>
      <c r="O66" s="871"/>
      <c r="P66" s="871"/>
      <c r="Q66" s="871"/>
      <c r="R66" s="871"/>
      <c r="S66" s="871"/>
      <c r="T66" s="871"/>
      <c r="U66" s="871"/>
      <c r="V66" s="871"/>
    </row>
    <row r="67" spans="1:22" ht="15" customHeight="1" x14ac:dyDescent="0.3">
      <c r="A67" s="871"/>
      <c r="B67" s="871"/>
      <c r="C67" s="871"/>
      <c r="D67" s="871"/>
      <c r="E67" s="871"/>
      <c r="F67" s="871"/>
      <c r="G67" s="871"/>
      <c r="H67" s="871"/>
      <c r="I67" s="871"/>
      <c r="J67" s="871"/>
      <c r="K67" s="871"/>
      <c r="L67" s="871"/>
      <c r="M67" s="871"/>
      <c r="N67" s="871"/>
      <c r="O67" s="871"/>
      <c r="P67" s="871"/>
      <c r="Q67" s="871"/>
      <c r="R67" s="871"/>
      <c r="S67" s="871"/>
      <c r="T67" s="871"/>
      <c r="U67" s="871"/>
      <c r="V67" s="871"/>
    </row>
    <row r="68" spans="1:22" ht="15" customHeight="1" x14ac:dyDescent="0.3">
      <c r="A68" s="871"/>
      <c r="B68" s="871"/>
      <c r="C68" s="871"/>
      <c r="D68" s="871"/>
      <c r="E68" s="871"/>
      <c r="F68" s="871"/>
      <c r="G68" s="871"/>
      <c r="H68" s="871"/>
      <c r="I68" s="871"/>
      <c r="J68" s="871"/>
      <c r="K68" s="871"/>
      <c r="L68" s="871"/>
      <c r="M68" s="871"/>
      <c r="N68" s="871"/>
      <c r="O68" s="871"/>
      <c r="P68" s="871"/>
      <c r="Q68" s="871"/>
      <c r="R68" s="871"/>
      <c r="S68" s="871"/>
      <c r="T68" s="871"/>
      <c r="U68" s="871"/>
      <c r="V68" s="871"/>
    </row>
    <row r="69" spans="1:22" ht="15" customHeight="1" x14ac:dyDescent="0.3">
      <c r="A69" s="871"/>
      <c r="B69" s="871"/>
      <c r="C69" s="871"/>
      <c r="D69" s="871"/>
      <c r="E69" s="871"/>
      <c r="F69" s="871"/>
      <c r="G69" s="871"/>
      <c r="H69" s="871"/>
      <c r="I69" s="871"/>
      <c r="J69" s="871"/>
      <c r="K69" s="871"/>
      <c r="L69" s="871"/>
      <c r="M69" s="871"/>
      <c r="N69" s="871"/>
      <c r="O69" s="871"/>
      <c r="P69" s="871"/>
      <c r="Q69" s="871"/>
      <c r="R69" s="871"/>
      <c r="S69" s="871"/>
      <c r="T69" s="871"/>
      <c r="U69" s="871"/>
      <c r="V69" s="871"/>
    </row>
    <row r="70" spans="1:22" ht="15" customHeight="1" x14ac:dyDescent="0.3">
      <c r="A70" s="871"/>
      <c r="B70" s="871"/>
      <c r="C70" s="871"/>
      <c r="D70" s="871"/>
      <c r="E70" s="871"/>
      <c r="F70" s="871"/>
      <c r="G70" s="871"/>
      <c r="H70" s="871"/>
      <c r="I70" s="871"/>
      <c r="J70" s="871"/>
      <c r="K70" s="871"/>
      <c r="L70" s="871"/>
      <c r="M70" s="871"/>
      <c r="N70" s="871"/>
      <c r="O70" s="871"/>
      <c r="P70" s="871"/>
      <c r="Q70" s="871"/>
      <c r="R70" s="871"/>
      <c r="S70" s="871"/>
      <c r="T70" s="871"/>
      <c r="U70" s="871"/>
      <c r="V70" s="871"/>
    </row>
    <row r="71" spans="1:22" ht="15" customHeight="1" x14ac:dyDescent="0.3">
      <c r="A71" s="313"/>
      <c r="B71" s="314"/>
      <c r="C71" s="314"/>
      <c r="D71" s="315"/>
      <c r="E71" s="315"/>
      <c r="F71" s="315"/>
      <c r="G71" s="315"/>
      <c r="H71" s="315"/>
      <c r="I71" s="314"/>
      <c r="J71" s="314"/>
      <c r="K71" s="314"/>
      <c r="L71" s="314"/>
      <c r="M71" s="314"/>
      <c r="N71" s="314"/>
      <c r="O71" s="314"/>
      <c r="P71" s="314"/>
      <c r="Q71" s="314"/>
      <c r="R71" s="314"/>
      <c r="S71" s="316"/>
      <c r="T71" s="316"/>
      <c r="U71" s="316"/>
      <c r="V71" s="317"/>
    </row>
    <row r="72" spans="1:22" ht="15" customHeight="1" x14ac:dyDescent="0.3">
      <c r="A72" s="313"/>
      <c r="B72" s="314"/>
      <c r="C72" s="314"/>
      <c r="D72" s="315"/>
      <c r="E72" s="315"/>
      <c r="F72" s="315"/>
      <c r="G72" s="315"/>
      <c r="H72" s="315"/>
      <c r="I72" s="314"/>
      <c r="J72" s="314"/>
      <c r="K72" s="314"/>
      <c r="L72" s="314"/>
      <c r="M72" s="314"/>
      <c r="N72" s="314"/>
      <c r="O72" s="314"/>
      <c r="P72" s="314"/>
      <c r="Q72" s="314"/>
      <c r="R72" s="314"/>
      <c r="S72" s="316"/>
      <c r="T72" s="316"/>
      <c r="U72" s="316"/>
      <c r="V72" s="317"/>
    </row>
    <row r="73" spans="1:22" ht="15" customHeight="1" x14ac:dyDescent="0.3">
      <c r="A73" s="313"/>
      <c r="B73" s="314"/>
      <c r="C73" s="314"/>
      <c r="D73" s="315"/>
      <c r="E73" s="315"/>
      <c r="F73" s="315"/>
      <c r="G73" s="315"/>
      <c r="H73" s="315"/>
      <c r="I73" s="314"/>
      <c r="J73" s="314"/>
      <c r="K73" s="314"/>
      <c r="L73" s="314"/>
      <c r="M73" s="314"/>
      <c r="N73" s="314"/>
      <c r="O73" s="314"/>
      <c r="P73" s="314"/>
      <c r="Q73" s="314"/>
      <c r="R73" s="314"/>
      <c r="S73" s="316"/>
      <c r="T73" s="316"/>
      <c r="U73" s="316"/>
      <c r="V73" s="317"/>
    </row>
    <row r="74" spans="1:22" ht="15" customHeight="1" x14ac:dyDescent="0.3">
      <c r="A74" s="313"/>
      <c r="B74" s="314"/>
      <c r="C74" s="314"/>
      <c r="D74" s="315"/>
      <c r="E74" s="315"/>
      <c r="F74" s="315"/>
      <c r="G74" s="315"/>
      <c r="H74" s="315"/>
      <c r="I74" s="314"/>
      <c r="J74" s="314"/>
      <c r="K74" s="314"/>
      <c r="L74" s="314"/>
      <c r="M74" s="314"/>
      <c r="N74" s="314"/>
      <c r="O74" s="314"/>
      <c r="P74" s="314"/>
      <c r="Q74" s="314"/>
      <c r="R74" s="314"/>
      <c r="S74" s="316"/>
      <c r="T74" s="316"/>
      <c r="U74" s="316"/>
      <c r="V74" s="317"/>
    </row>
    <row r="75" spans="1:22" ht="15" customHeight="1" x14ac:dyDescent="0.3">
      <c r="A75" s="313"/>
      <c r="B75" s="314"/>
      <c r="C75" s="314"/>
      <c r="D75" s="315"/>
      <c r="E75" s="315"/>
      <c r="F75" s="315"/>
      <c r="G75" s="315"/>
      <c r="H75" s="315"/>
      <c r="I75" s="314"/>
      <c r="J75" s="314"/>
      <c r="K75" s="314"/>
      <c r="L75" s="314"/>
      <c r="M75" s="314"/>
      <c r="N75" s="314"/>
      <c r="O75" s="314"/>
      <c r="P75" s="314"/>
      <c r="Q75" s="314"/>
      <c r="R75" s="314"/>
      <c r="S75" s="316"/>
      <c r="T75" s="316"/>
      <c r="U75" s="316"/>
      <c r="V75" s="317"/>
    </row>
    <row r="76" spans="1:22" ht="15" customHeight="1" x14ac:dyDescent="0.3">
      <c r="A76" s="313"/>
      <c r="B76" s="314"/>
      <c r="C76" s="314"/>
      <c r="D76" s="315"/>
      <c r="E76" s="315"/>
      <c r="F76" s="315"/>
      <c r="G76" s="315"/>
      <c r="H76" s="315"/>
      <c r="I76" s="314"/>
      <c r="J76" s="314"/>
      <c r="K76" s="314"/>
      <c r="L76" s="314"/>
      <c r="M76" s="314"/>
      <c r="N76" s="314"/>
      <c r="O76" s="314"/>
      <c r="P76" s="314"/>
      <c r="Q76" s="314"/>
      <c r="R76" s="314"/>
      <c r="S76" s="316"/>
      <c r="T76" s="316"/>
      <c r="U76" s="316"/>
      <c r="V76" s="317"/>
    </row>
    <row r="77" spans="1:22" ht="15" customHeight="1" x14ac:dyDescent="0.3">
      <c r="A77" s="313"/>
      <c r="B77" s="314"/>
      <c r="C77" s="314"/>
      <c r="D77" s="315"/>
      <c r="E77" s="315"/>
      <c r="F77" s="315"/>
      <c r="G77" s="315"/>
      <c r="H77" s="315"/>
      <c r="I77" s="314"/>
      <c r="J77" s="314"/>
      <c r="K77" s="314"/>
      <c r="L77" s="314"/>
      <c r="M77" s="314"/>
      <c r="N77" s="314"/>
      <c r="O77" s="314"/>
      <c r="P77" s="314"/>
      <c r="Q77" s="314"/>
      <c r="R77" s="314"/>
      <c r="S77" s="316"/>
      <c r="T77" s="316"/>
      <c r="U77" s="316"/>
      <c r="V77" s="317"/>
    </row>
    <row r="78" spans="1:22" ht="15" customHeight="1" x14ac:dyDescent="0.3">
      <c r="A78" s="313"/>
      <c r="B78" s="314"/>
      <c r="C78" s="314"/>
      <c r="D78" s="315"/>
      <c r="E78" s="315"/>
      <c r="F78" s="315"/>
      <c r="G78" s="315"/>
      <c r="H78" s="315"/>
      <c r="I78" s="314"/>
      <c r="J78" s="314"/>
      <c r="K78" s="314"/>
      <c r="L78" s="314"/>
      <c r="M78" s="314"/>
      <c r="N78" s="314"/>
      <c r="O78" s="314"/>
      <c r="P78" s="314"/>
      <c r="Q78" s="314"/>
      <c r="R78" s="314"/>
      <c r="S78" s="316"/>
      <c r="T78" s="316"/>
      <c r="U78" s="316"/>
      <c r="V78" s="317"/>
    </row>
    <row r="79" spans="1:22" ht="15" customHeight="1" x14ac:dyDescent="0.3">
      <c r="A79" s="313"/>
      <c r="B79" s="314"/>
      <c r="C79" s="314"/>
      <c r="D79" s="315"/>
      <c r="E79" s="315"/>
      <c r="F79" s="315"/>
      <c r="G79" s="315"/>
      <c r="H79" s="315"/>
      <c r="I79" s="314"/>
      <c r="J79" s="314"/>
      <c r="K79" s="314"/>
      <c r="L79" s="314"/>
      <c r="M79" s="314"/>
      <c r="N79" s="314"/>
      <c r="O79" s="314"/>
      <c r="P79" s="314"/>
      <c r="Q79" s="314"/>
      <c r="R79" s="314"/>
      <c r="S79" s="316"/>
      <c r="T79" s="316"/>
      <c r="U79" s="316"/>
      <c r="V79" s="317"/>
    </row>
    <row r="80" spans="1:22" ht="15" customHeight="1" x14ac:dyDescent="0.3">
      <c r="A80" s="313"/>
      <c r="B80" s="314"/>
      <c r="C80" s="314"/>
      <c r="D80" s="315"/>
      <c r="E80" s="315"/>
      <c r="F80" s="315"/>
      <c r="G80" s="315"/>
      <c r="H80" s="315"/>
      <c r="I80" s="314"/>
      <c r="J80" s="314"/>
      <c r="K80" s="314"/>
      <c r="L80" s="314"/>
      <c r="M80" s="314"/>
      <c r="N80" s="314"/>
      <c r="O80" s="314"/>
      <c r="P80" s="314"/>
      <c r="Q80" s="314"/>
      <c r="R80" s="314"/>
      <c r="S80" s="316"/>
      <c r="T80" s="316"/>
      <c r="U80" s="316"/>
      <c r="V80" s="317"/>
    </row>
    <row r="81" spans="1:22" ht="15" customHeight="1" x14ac:dyDescent="0.3">
      <c r="A81" s="313"/>
      <c r="B81" s="314"/>
      <c r="C81" s="314"/>
      <c r="D81" s="315"/>
      <c r="E81" s="315"/>
      <c r="F81" s="315"/>
      <c r="G81" s="315"/>
      <c r="H81" s="315"/>
      <c r="I81" s="314"/>
      <c r="J81" s="314"/>
      <c r="K81" s="314"/>
      <c r="L81" s="314"/>
      <c r="M81" s="314"/>
      <c r="N81" s="314"/>
      <c r="O81" s="314"/>
      <c r="P81" s="314"/>
      <c r="Q81" s="314"/>
      <c r="R81" s="314"/>
      <c r="S81" s="316"/>
      <c r="T81" s="316"/>
      <c r="U81" s="316"/>
      <c r="V81" s="317"/>
    </row>
    <row r="82" spans="1:22" ht="15" customHeight="1" x14ac:dyDescent="0.3">
      <c r="A82" s="313"/>
      <c r="B82" s="314"/>
      <c r="C82" s="314"/>
      <c r="D82" s="315"/>
      <c r="E82" s="315"/>
      <c r="F82" s="315"/>
      <c r="G82" s="315"/>
      <c r="H82" s="315"/>
      <c r="I82" s="314"/>
      <c r="J82" s="314"/>
      <c r="K82" s="314"/>
      <c r="L82" s="314"/>
      <c r="M82" s="314"/>
      <c r="N82" s="314"/>
      <c r="O82" s="314"/>
      <c r="P82" s="314"/>
      <c r="Q82" s="314"/>
      <c r="R82" s="314"/>
      <c r="S82" s="316"/>
      <c r="T82" s="316"/>
      <c r="U82" s="316"/>
      <c r="V82" s="317"/>
    </row>
    <row r="83" spans="1:22" ht="15" customHeight="1" x14ac:dyDescent="0.3">
      <c r="A83" s="313"/>
      <c r="B83" s="314"/>
      <c r="C83" s="314"/>
      <c r="D83" s="315"/>
      <c r="E83" s="315"/>
      <c r="F83" s="315"/>
      <c r="G83" s="315"/>
      <c r="H83" s="315"/>
      <c r="I83" s="314"/>
      <c r="J83" s="314"/>
      <c r="K83" s="314"/>
      <c r="L83" s="314"/>
      <c r="M83" s="314"/>
      <c r="N83" s="314"/>
      <c r="O83" s="314"/>
      <c r="P83" s="314"/>
      <c r="Q83" s="314"/>
      <c r="R83" s="314"/>
      <c r="S83" s="316"/>
      <c r="T83" s="316"/>
      <c r="U83" s="316"/>
      <c r="V83" s="317"/>
    </row>
    <row r="84" spans="1:22" ht="15" customHeight="1" x14ac:dyDescent="0.3">
      <c r="A84" s="313"/>
      <c r="B84" s="314"/>
      <c r="C84" s="314"/>
      <c r="D84" s="315"/>
      <c r="E84" s="315"/>
      <c r="F84" s="315"/>
      <c r="G84" s="315"/>
      <c r="H84" s="315"/>
      <c r="I84" s="314"/>
      <c r="J84" s="314"/>
      <c r="K84" s="314"/>
      <c r="L84" s="314"/>
      <c r="M84" s="314"/>
      <c r="N84" s="314"/>
      <c r="O84" s="314"/>
      <c r="P84" s="314"/>
      <c r="Q84" s="314"/>
      <c r="R84" s="314"/>
      <c r="S84" s="316"/>
      <c r="T84" s="316"/>
      <c r="U84" s="316"/>
      <c r="V84" s="317"/>
    </row>
    <row r="85" spans="1:22" ht="15" customHeight="1" x14ac:dyDescent="0.3">
      <c r="A85" s="313"/>
      <c r="B85" s="314"/>
      <c r="C85" s="314"/>
      <c r="D85" s="315"/>
      <c r="E85" s="315"/>
      <c r="F85" s="315"/>
      <c r="G85" s="315"/>
      <c r="H85" s="315"/>
      <c r="I85" s="314"/>
      <c r="J85" s="314"/>
      <c r="K85" s="314"/>
      <c r="L85" s="314"/>
      <c r="M85" s="314"/>
      <c r="N85" s="314"/>
      <c r="O85" s="314"/>
      <c r="P85" s="314"/>
      <c r="Q85" s="314"/>
      <c r="R85" s="314"/>
      <c r="S85" s="316"/>
      <c r="T85" s="316"/>
      <c r="U85" s="316"/>
      <c r="V85" s="317"/>
    </row>
    <row r="86" spans="1:22" ht="15" customHeight="1" x14ac:dyDescent="0.3">
      <c r="A86" s="313"/>
      <c r="B86" s="314"/>
      <c r="C86" s="314"/>
      <c r="D86" s="315"/>
      <c r="E86" s="315"/>
      <c r="F86" s="315"/>
      <c r="G86" s="315"/>
      <c r="H86" s="315"/>
      <c r="I86" s="314"/>
      <c r="J86" s="314"/>
      <c r="K86" s="314"/>
      <c r="L86" s="314"/>
      <c r="M86" s="314"/>
      <c r="N86" s="314"/>
      <c r="O86" s="314"/>
      <c r="P86" s="314"/>
      <c r="Q86" s="314"/>
      <c r="R86" s="314"/>
      <c r="S86" s="316"/>
      <c r="T86" s="316"/>
      <c r="U86" s="316"/>
      <c r="V86" s="317"/>
    </row>
    <row r="87" spans="1:22" ht="15" customHeight="1" x14ac:dyDescent="0.3">
      <c r="A87" s="313"/>
      <c r="B87" s="314"/>
      <c r="C87" s="314"/>
      <c r="D87" s="315"/>
      <c r="E87" s="315"/>
      <c r="F87" s="315"/>
      <c r="G87" s="315"/>
      <c r="H87" s="315"/>
      <c r="I87" s="314"/>
      <c r="J87" s="314"/>
      <c r="K87" s="314"/>
      <c r="L87" s="314"/>
      <c r="M87" s="314"/>
      <c r="N87" s="314"/>
      <c r="O87" s="314"/>
      <c r="P87" s="314"/>
      <c r="Q87" s="314"/>
      <c r="R87" s="314"/>
      <c r="S87" s="316"/>
      <c r="T87" s="316"/>
      <c r="U87" s="316"/>
      <c r="V87" s="317"/>
    </row>
    <row r="88" spans="1:22" ht="15" customHeight="1" x14ac:dyDescent="0.3">
      <c r="A88" s="313"/>
      <c r="B88" s="314"/>
      <c r="C88" s="314"/>
      <c r="D88" s="315"/>
      <c r="E88" s="315"/>
      <c r="F88" s="315"/>
      <c r="G88" s="315"/>
      <c r="H88" s="315"/>
      <c r="I88" s="314"/>
      <c r="J88" s="314"/>
      <c r="K88" s="314"/>
      <c r="L88" s="314"/>
      <c r="M88" s="314"/>
      <c r="N88" s="314"/>
      <c r="O88" s="314"/>
      <c r="P88" s="314"/>
      <c r="Q88" s="314"/>
      <c r="R88" s="314"/>
      <c r="S88" s="316"/>
      <c r="T88" s="316"/>
      <c r="U88" s="316"/>
      <c r="V88" s="317"/>
    </row>
    <row r="89" spans="1:22" ht="15" customHeight="1" x14ac:dyDescent="0.3">
      <c r="A89" s="313"/>
      <c r="B89" s="314"/>
      <c r="C89" s="314"/>
      <c r="D89" s="315"/>
      <c r="E89" s="315"/>
      <c r="F89" s="315"/>
      <c r="G89" s="315"/>
      <c r="H89" s="315"/>
      <c r="I89" s="314"/>
      <c r="J89" s="314"/>
      <c r="K89" s="314"/>
      <c r="L89" s="314"/>
      <c r="M89" s="314"/>
      <c r="N89" s="314"/>
      <c r="O89" s="314"/>
      <c r="P89" s="314"/>
      <c r="Q89" s="314"/>
      <c r="R89" s="314"/>
      <c r="S89" s="316"/>
      <c r="T89" s="316"/>
      <c r="U89" s="316"/>
      <c r="V89" s="317"/>
    </row>
    <row r="90" spans="1:22" ht="15" customHeight="1" x14ac:dyDescent="0.3">
      <c r="A90" s="313"/>
      <c r="B90" s="314"/>
      <c r="C90" s="314"/>
      <c r="D90" s="315"/>
      <c r="E90" s="315"/>
      <c r="F90" s="315"/>
      <c r="G90" s="315"/>
      <c r="H90" s="315"/>
      <c r="I90" s="314"/>
      <c r="J90" s="314"/>
      <c r="K90" s="314"/>
      <c r="L90" s="314"/>
      <c r="M90" s="314"/>
      <c r="N90" s="314"/>
      <c r="O90" s="314"/>
      <c r="P90" s="314"/>
      <c r="Q90" s="314"/>
      <c r="R90" s="314"/>
      <c r="S90" s="316"/>
      <c r="T90" s="316"/>
      <c r="U90" s="316"/>
      <c r="V90" s="317"/>
    </row>
    <row r="91" spans="1:22" ht="15" customHeight="1" x14ac:dyDescent="0.3">
      <c r="A91" s="313"/>
      <c r="B91" s="314"/>
      <c r="C91" s="314"/>
      <c r="D91" s="315"/>
      <c r="E91" s="315"/>
      <c r="F91" s="315"/>
      <c r="G91" s="315"/>
      <c r="H91" s="315"/>
      <c r="I91" s="314"/>
      <c r="J91" s="314"/>
      <c r="K91" s="314"/>
      <c r="L91" s="314"/>
      <c r="M91" s="314"/>
      <c r="N91" s="314"/>
      <c r="O91" s="314"/>
      <c r="P91" s="314"/>
      <c r="Q91" s="314"/>
      <c r="R91" s="314"/>
      <c r="S91" s="316"/>
      <c r="T91" s="316"/>
      <c r="U91" s="316"/>
      <c r="V91" s="317"/>
    </row>
    <row r="92" spans="1:22" ht="15" customHeight="1" x14ac:dyDescent="0.3">
      <c r="A92" s="313"/>
      <c r="B92" s="314"/>
      <c r="C92" s="314"/>
      <c r="D92" s="315"/>
      <c r="E92" s="315"/>
      <c r="F92" s="315"/>
      <c r="G92" s="315"/>
      <c r="H92" s="315"/>
      <c r="I92" s="314"/>
      <c r="J92" s="314"/>
      <c r="K92" s="314"/>
      <c r="L92" s="314"/>
      <c r="M92" s="314"/>
      <c r="N92" s="314"/>
      <c r="O92" s="314"/>
      <c r="P92" s="314"/>
      <c r="Q92" s="314"/>
      <c r="R92" s="314"/>
      <c r="S92" s="316"/>
      <c r="T92" s="316"/>
      <c r="U92" s="316"/>
      <c r="V92" s="317"/>
    </row>
    <row r="93" spans="1:22" ht="15" customHeight="1" x14ac:dyDescent="0.3">
      <c r="A93" s="313"/>
      <c r="B93" s="314"/>
      <c r="C93" s="314"/>
      <c r="D93" s="315"/>
      <c r="E93" s="315"/>
      <c r="F93" s="315"/>
      <c r="G93" s="315"/>
      <c r="H93" s="315"/>
      <c r="I93" s="314"/>
      <c r="J93" s="314"/>
      <c r="K93" s="314"/>
      <c r="L93" s="314"/>
      <c r="M93" s="314"/>
      <c r="N93" s="314"/>
      <c r="O93" s="314"/>
      <c r="P93" s="314"/>
      <c r="Q93" s="314"/>
      <c r="R93" s="314"/>
      <c r="S93" s="316"/>
      <c r="T93" s="316"/>
      <c r="U93" s="316"/>
      <c r="V93" s="317"/>
    </row>
    <row r="94" spans="1:22" ht="15" customHeight="1" x14ac:dyDescent="0.3">
      <c r="A94" s="313"/>
      <c r="B94" s="314"/>
      <c r="C94" s="314"/>
      <c r="D94" s="315"/>
      <c r="E94" s="315"/>
      <c r="F94" s="315"/>
      <c r="G94" s="315"/>
      <c r="H94" s="315"/>
      <c r="I94" s="314"/>
      <c r="J94" s="314"/>
      <c r="K94" s="314"/>
      <c r="L94" s="314"/>
      <c r="M94" s="314"/>
      <c r="N94" s="314"/>
      <c r="O94" s="314"/>
      <c r="P94" s="314"/>
      <c r="Q94" s="314"/>
      <c r="R94" s="314"/>
      <c r="S94" s="316"/>
      <c r="T94" s="316"/>
      <c r="U94" s="316"/>
      <c r="V94" s="317"/>
    </row>
    <row r="95" spans="1:22" ht="15" customHeight="1" x14ac:dyDescent="0.3">
      <c r="A95" s="313"/>
      <c r="B95" s="314"/>
      <c r="C95" s="314"/>
      <c r="D95" s="315"/>
      <c r="E95" s="315"/>
      <c r="F95" s="315"/>
      <c r="G95" s="315"/>
      <c r="H95" s="315"/>
      <c r="I95" s="314"/>
      <c r="J95" s="314"/>
      <c r="K95" s="314"/>
      <c r="L95" s="314"/>
      <c r="M95" s="314"/>
      <c r="N95" s="314"/>
      <c r="O95" s="314"/>
      <c r="P95" s="314"/>
      <c r="Q95" s="314"/>
      <c r="R95" s="314"/>
      <c r="S95" s="316"/>
      <c r="T95" s="316"/>
      <c r="U95" s="316"/>
      <c r="V95" s="317"/>
    </row>
    <row r="96" spans="1:22" ht="15" customHeight="1" x14ac:dyDescent="0.3">
      <c r="A96" s="313"/>
      <c r="B96" s="314"/>
      <c r="C96" s="314"/>
      <c r="D96" s="315"/>
      <c r="E96" s="315"/>
      <c r="F96" s="315"/>
      <c r="G96" s="315"/>
      <c r="H96" s="315"/>
      <c r="I96" s="314"/>
      <c r="J96" s="314"/>
      <c r="K96" s="314"/>
      <c r="L96" s="314"/>
      <c r="M96" s="314"/>
      <c r="N96" s="314"/>
      <c r="O96" s="314"/>
      <c r="P96" s="314"/>
      <c r="Q96" s="314"/>
      <c r="R96" s="314"/>
      <c r="S96" s="316"/>
      <c r="T96" s="316"/>
      <c r="U96" s="316"/>
      <c r="V96" s="317"/>
    </row>
    <row r="97" spans="1:22" ht="15" customHeight="1" x14ac:dyDescent="0.3">
      <c r="A97" s="313"/>
      <c r="B97" s="314"/>
      <c r="C97" s="314"/>
      <c r="D97" s="315"/>
      <c r="E97" s="315"/>
      <c r="F97" s="315"/>
      <c r="G97" s="315"/>
      <c r="H97" s="315"/>
      <c r="I97" s="314"/>
      <c r="J97" s="314"/>
      <c r="K97" s="314"/>
      <c r="L97" s="314"/>
      <c r="M97" s="314"/>
      <c r="N97" s="314"/>
      <c r="O97" s="314"/>
      <c r="P97" s="314"/>
      <c r="Q97" s="314"/>
      <c r="R97" s="314"/>
      <c r="S97" s="316"/>
      <c r="T97" s="316"/>
      <c r="U97" s="316"/>
      <c r="V97" s="317"/>
    </row>
    <row r="98" spans="1:22" ht="15" customHeight="1" x14ac:dyDescent="0.3">
      <c r="A98" s="313"/>
      <c r="B98" s="314"/>
      <c r="C98" s="314"/>
      <c r="D98" s="315"/>
      <c r="E98" s="315"/>
      <c r="F98" s="315"/>
      <c r="G98" s="315"/>
      <c r="H98" s="315"/>
      <c r="I98" s="314"/>
      <c r="J98" s="314"/>
      <c r="K98" s="314"/>
      <c r="L98" s="314"/>
      <c r="M98" s="314"/>
      <c r="N98" s="314"/>
      <c r="O98" s="314"/>
      <c r="P98" s="314"/>
      <c r="Q98" s="314"/>
      <c r="R98" s="314"/>
      <c r="S98" s="316"/>
      <c r="T98" s="316"/>
      <c r="U98" s="316"/>
      <c r="V98" s="317"/>
    </row>
    <row r="99" spans="1:22" ht="15" customHeight="1" x14ac:dyDescent="0.3">
      <c r="A99" s="313"/>
      <c r="B99" s="314"/>
      <c r="C99" s="314"/>
      <c r="D99" s="315"/>
      <c r="E99" s="315"/>
      <c r="F99" s="315"/>
      <c r="G99" s="315"/>
      <c r="H99" s="315"/>
      <c r="I99" s="314"/>
      <c r="J99" s="314"/>
      <c r="K99" s="314"/>
      <c r="L99" s="314"/>
      <c r="M99" s="314"/>
      <c r="N99" s="314"/>
      <c r="O99" s="314"/>
      <c r="P99" s="314"/>
      <c r="Q99" s="314"/>
      <c r="R99" s="314"/>
      <c r="S99" s="316"/>
      <c r="T99" s="316"/>
      <c r="U99" s="316"/>
      <c r="V99" s="317"/>
    </row>
    <row r="100" spans="1:22" ht="15" customHeight="1" x14ac:dyDescent="0.3">
      <c r="A100" s="313"/>
      <c r="B100" s="314"/>
      <c r="C100" s="314"/>
      <c r="D100" s="315"/>
      <c r="E100" s="315"/>
      <c r="F100" s="315"/>
      <c r="G100" s="315"/>
      <c r="H100" s="315"/>
      <c r="I100" s="314"/>
      <c r="J100" s="314"/>
      <c r="K100" s="314"/>
      <c r="L100" s="314"/>
      <c r="M100" s="314"/>
      <c r="N100" s="314"/>
      <c r="O100" s="314"/>
      <c r="P100" s="314"/>
      <c r="Q100" s="314"/>
      <c r="R100" s="314"/>
      <c r="S100" s="316"/>
      <c r="T100" s="316"/>
      <c r="U100" s="316"/>
      <c r="V100" s="317"/>
    </row>
    <row r="101" spans="1:22" ht="15" customHeight="1" x14ac:dyDescent="0.3">
      <c r="A101" s="313"/>
      <c r="B101" s="314"/>
      <c r="C101" s="314"/>
      <c r="D101" s="315"/>
      <c r="E101" s="315"/>
      <c r="F101" s="315"/>
      <c r="G101" s="315"/>
      <c r="H101" s="315"/>
      <c r="I101" s="314"/>
      <c r="J101" s="314"/>
      <c r="K101" s="314"/>
      <c r="L101" s="314"/>
      <c r="M101" s="314"/>
      <c r="N101" s="314"/>
      <c r="O101" s="314"/>
      <c r="P101" s="314"/>
      <c r="Q101" s="314"/>
      <c r="R101" s="314"/>
      <c r="S101" s="316"/>
      <c r="T101" s="316"/>
      <c r="U101" s="316"/>
      <c r="V101" s="317"/>
    </row>
    <row r="102" spans="1:22" ht="15" customHeight="1" x14ac:dyDescent="0.3">
      <c r="A102" s="313"/>
      <c r="B102" s="314"/>
      <c r="C102" s="314"/>
      <c r="D102" s="315"/>
      <c r="E102" s="315"/>
      <c r="F102" s="315"/>
      <c r="G102" s="315"/>
      <c r="H102" s="315"/>
      <c r="I102" s="314"/>
      <c r="J102" s="314"/>
      <c r="K102" s="314"/>
      <c r="L102" s="314"/>
      <c r="M102" s="314"/>
      <c r="N102" s="314"/>
      <c r="O102" s="314"/>
      <c r="P102" s="314"/>
      <c r="Q102" s="314"/>
      <c r="R102" s="314"/>
      <c r="S102" s="316"/>
      <c r="T102" s="316"/>
      <c r="U102" s="316"/>
      <c r="V102" s="317"/>
    </row>
    <row r="103" spans="1:22" ht="15" customHeight="1" x14ac:dyDescent="0.3">
      <c r="A103" s="313"/>
      <c r="B103" s="314"/>
      <c r="C103" s="314"/>
      <c r="D103" s="315"/>
      <c r="E103" s="315"/>
      <c r="F103" s="315"/>
      <c r="G103" s="315"/>
      <c r="H103" s="315"/>
      <c r="I103" s="314"/>
      <c r="J103" s="314"/>
      <c r="K103" s="314"/>
      <c r="L103" s="314"/>
      <c r="M103" s="314"/>
      <c r="N103" s="314"/>
      <c r="O103" s="314"/>
      <c r="P103" s="314"/>
      <c r="Q103" s="314"/>
      <c r="R103" s="314"/>
      <c r="S103" s="316"/>
      <c r="T103" s="316"/>
      <c r="U103" s="316"/>
      <c r="V103" s="317"/>
    </row>
    <row r="104" spans="1:22" ht="15" customHeight="1" x14ac:dyDescent="0.3">
      <c r="A104" s="313"/>
      <c r="B104" s="314"/>
      <c r="C104" s="314"/>
      <c r="D104" s="315"/>
      <c r="E104" s="315"/>
      <c r="F104" s="315"/>
      <c r="G104" s="315"/>
      <c r="H104" s="315"/>
      <c r="I104" s="314"/>
      <c r="J104" s="314"/>
      <c r="K104" s="314"/>
      <c r="L104" s="314"/>
      <c r="M104" s="314"/>
      <c r="N104" s="314"/>
      <c r="O104" s="314"/>
      <c r="P104" s="314"/>
      <c r="Q104" s="314"/>
      <c r="R104" s="314"/>
      <c r="S104" s="316"/>
      <c r="T104" s="316"/>
      <c r="U104" s="316"/>
      <c r="V104" s="317"/>
    </row>
    <row r="105" spans="1:22" ht="15" customHeight="1" x14ac:dyDescent="0.3">
      <c r="A105" s="313"/>
      <c r="B105" s="314"/>
      <c r="C105" s="314"/>
      <c r="D105" s="315"/>
      <c r="E105" s="315"/>
      <c r="F105" s="315"/>
      <c r="G105" s="315"/>
      <c r="H105" s="315"/>
      <c r="I105" s="314"/>
      <c r="J105" s="314"/>
      <c r="K105" s="314"/>
      <c r="L105" s="314"/>
      <c r="M105" s="314"/>
      <c r="N105" s="314"/>
      <c r="O105" s="314"/>
      <c r="P105" s="314"/>
      <c r="Q105" s="314"/>
      <c r="R105" s="314"/>
      <c r="S105" s="316"/>
      <c r="T105" s="316"/>
      <c r="U105" s="316"/>
      <c r="V105" s="317"/>
    </row>
    <row r="106" spans="1:22" ht="15" customHeight="1" x14ac:dyDescent="0.3">
      <c r="A106" s="313"/>
      <c r="B106" s="314"/>
      <c r="C106" s="314"/>
      <c r="D106" s="315"/>
      <c r="E106" s="315"/>
      <c r="F106" s="315"/>
      <c r="G106" s="315"/>
      <c r="H106" s="315"/>
      <c r="I106" s="314"/>
      <c r="J106" s="314"/>
      <c r="K106" s="314"/>
      <c r="L106" s="314"/>
      <c r="M106" s="314"/>
      <c r="N106" s="314"/>
      <c r="O106" s="314"/>
      <c r="P106" s="314"/>
      <c r="Q106" s="314"/>
      <c r="R106" s="314"/>
      <c r="S106" s="316"/>
      <c r="T106" s="316"/>
      <c r="U106" s="316"/>
      <c r="V106" s="317"/>
    </row>
    <row r="107" spans="1:22" ht="15" customHeight="1" x14ac:dyDescent="0.3">
      <c r="A107" s="313"/>
      <c r="B107" s="314"/>
      <c r="C107" s="314"/>
      <c r="D107" s="315"/>
      <c r="E107" s="315"/>
      <c r="F107" s="315"/>
      <c r="G107" s="315"/>
      <c r="H107" s="315"/>
      <c r="I107" s="314"/>
      <c r="J107" s="314"/>
      <c r="K107" s="314"/>
      <c r="L107" s="314"/>
      <c r="M107" s="314"/>
      <c r="N107" s="314"/>
      <c r="O107" s="314"/>
      <c r="P107" s="314"/>
      <c r="Q107" s="314"/>
      <c r="R107" s="314"/>
      <c r="S107" s="316"/>
      <c r="T107" s="316"/>
      <c r="U107" s="316"/>
      <c r="V107" s="317"/>
    </row>
    <row r="108" spans="1:22" ht="15" customHeight="1" x14ac:dyDescent="0.3">
      <c r="A108" s="313"/>
      <c r="B108" s="314"/>
      <c r="C108" s="314"/>
      <c r="D108" s="315"/>
      <c r="E108" s="315"/>
      <c r="F108" s="315"/>
      <c r="G108" s="315"/>
      <c r="H108" s="315"/>
      <c r="I108" s="314"/>
      <c r="J108" s="314"/>
      <c r="K108" s="314"/>
      <c r="L108" s="314"/>
      <c r="M108" s="314"/>
      <c r="N108" s="314"/>
      <c r="O108" s="314"/>
      <c r="P108" s="314"/>
      <c r="Q108" s="314"/>
      <c r="R108" s="314"/>
      <c r="S108" s="316"/>
      <c r="T108" s="316"/>
      <c r="U108" s="316"/>
      <c r="V108" s="317"/>
    </row>
    <row r="109" spans="1:22" ht="15" customHeight="1" x14ac:dyDescent="0.3">
      <c r="A109" s="313"/>
      <c r="B109" s="314"/>
      <c r="C109" s="314"/>
      <c r="D109" s="315"/>
      <c r="E109" s="315"/>
      <c r="F109" s="315"/>
      <c r="G109" s="315"/>
      <c r="H109" s="315"/>
      <c r="I109" s="314"/>
      <c r="J109" s="314"/>
      <c r="K109" s="314"/>
      <c r="L109" s="314"/>
      <c r="M109" s="314"/>
      <c r="N109" s="314"/>
      <c r="O109" s="314"/>
      <c r="P109" s="314"/>
      <c r="Q109" s="314"/>
      <c r="R109" s="314"/>
      <c r="S109" s="316"/>
      <c r="T109" s="316"/>
      <c r="U109" s="316"/>
      <c r="V109" s="317"/>
    </row>
    <row r="110" spans="1:22" ht="15" customHeight="1" x14ac:dyDescent="0.3">
      <c r="A110" s="313"/>
      <c r="B110" s="314"/>
      <c r="C110" s="314"/>
      <c r="D110" s="315"/>
      <c r="E110" s="315"/>
      <c r="F110" s="315"/>
      <c r="G110" s="315"/>
      <c r="H110" s="315"/>
      <c r="I110" s="314"/>
      <c r="J110" s="314"/>
      <c r="K110" s="314"/>
      <c r="L110" s="314"/>
      <c r="M110" s="314"/>
      <c r="N110" s="314"/>
      <c r="O110" s="314"/>
      <c r="P110" s="314"/>
      <c r="Q110" s="314"/>
      <c r="R110" s="314"/>
      <c r="S110" s="316"/>
      <c r="T110" s="316"/>
      <c r="U110" s="316"/>
      <c r="V110" s="317"/>
    </row>
    <row r="111" spans="1:22" ht="15" customHeight="1" x14ac:dyDescent="0.3">
      <c r="A111" s="313"/>
      <c r="B111" s="314"/>
      <c r="C111" s="314"/>
      <c r="D111" s="315"/>
      <c r="E111" s="315"/>
      <c r="F111" s="315"/>
      <c r="G111" s="315"/>
      <c r="H111" s="315"/>
      <c r="I111" s="314"/>
      <c r="J111" s="314"/>
      <c r="K111" s="314"/>
      <c r="L111" s="314"/>
      <c r="M111" s="314"/>
      <c r="N111" s="314"/>
      <c r="O111" s="314"/>
      <c r="P111" s="314"/>
      <c r="Q111" s="314"/>
      <c r="R111" s="314"/>
      <c r="S111" s="316"/>
      <c r="T111" s="316"/>
      <c r="U111" s="316"/>
      <c r="V111" s="317"/>
    </row>
    <row r="112" spans="1:22" ht="15" customHeight="1" x14ac:dyDescent="0.3">
      <c r="A112" s="313"/>
      <c r="B112" s="314"/>
      <c r="C112" s="314"/>
      <c r="D112" s="315"/>
      <c r="E112" s="315"/>
      <c r="F112" s="315"/>
      <c r="G112" s="315"/>
      <c r="H112" s="315"/>
      <c r="I112" s="314"/>
      <c r="J112" s="314"/>
      <c r="K112" s="314"/>
      <c r="L112" s="314"/>
      <c r="M112" s="314"/>
      <c r="N112" s="314"/>
      <c r="O112" s="314"/>
      <c r="P112" s="314"/>
      <c r="Q112" s="314"/>
      <c r="R112" s="314"/>
      <c r="S112" s="316"/>
      <c r="T112" s="316"/>
      <c r="U112" s="316"/>
      <c r="V112" s="317"/>
    </row>
    <row r="113" spans="1:22" ht="15" customHeight="1" x14ac:dyDescent="0.3">
      <c r="A113" s="313"/>
      <c r="B113" s="314"/>
      <c r="C113" s="314"/>
      <c r="D113" s="315"/>
      <c r="E113" s="315"/>
      <c r="F113" s="315"/>
      <c r="G113" s="315"/>
      <c r="H113" s="315"/>
      <c r="I113" s="314"/>
      <c r="J113" s="314"/>
      <c r="K113" s="314"/>
      <c r="L113" s="314"/>
      <c r="M113" s="314"/>
      <c r="N113" s="314"/>
      <c r="O113" s="314"/>
      <c r="P113" s="314"/>
      <c r="Q113" s="314"/>
      <c r="R113" s="314"/>
      <c r="S113" s="316"/>
      <c r="T113" s="316"/>
      <c r="U113" s="316"/>
      <c r="V113" s="317"/>
    </row>
    <row r="114" spans="1:22" ht="15" customHeight="1" x14ac:dyDescent="0.3">
      <c r="A114" s="313"/>
      <c r="B114" s="314"/>
      <c r="C114" s="314"/>
      <c r="D114" s="315"/>
      <c r="E114" s="315"/>
      <c r="F114" s="315"/>
      <c r="G114" s="315"/>
      <c r="H114" s="315"/>
      <c r="I114" s="314"/>
      <c r="J114" s="314"/>
      <c r="K114" s="314"/>
      <c r="L114" s="314"/>
      <c r="M114" s="314"/>
      <c r="N114" s="314"/>
      <c r="O114" s="314"/>
      <c r="P114" s="314"/>
      <c r="Q114" s="314"/>
      <c r="R114" s="314"/>
      <c r="S114" s="316"/>
      <c r="T114" s="316"/>
      <c r="U114" s="316"/>
      <c r="V114" s="317"/>
    </row>
    <row r="115" spans="1:22" ht="15" customHeight="1" x14ac:dyDescent="0.3">
      <c r="A115" s="313"/>
      <c r="B115" s="314"/>
      <c r="C115" s="314"/>
      <c r="D115" s="315"/>
      <c r="E115" s="315"/>
      <c r="F115" s="315"/>
      <c r="G115" s="315"/>
      <c r="H115" s="315"/>
      <c r="I115" s="314"/>
      <c r="J115" s="314"/>
      <c r="K115" s="314"/>
      <c r="L115" s="314"/>
      <c r="M115" s="314"/>
      <c r="N115" s="314"/>
      <c r="O115" s="314"/>
      <c r="P115" s="314"/>
      <c r="Q115" s="314"/>
      <c r="R115" s="314"/>
      <c r="S115" s="316"/>
      <c r="T115" s="316"/>
      <c r="U115" s="316"/>
      <c r="V115" s="317"/>
    </row>
    <row r="116" spans="1:22" ht="15" customHeight="1" x14ac:dyDescent="0.3">
      <c r="A116" s="313"/>
      <c r="B116" s="314"/>
      <c r="C116" s="314"/>
      <c r="D116" s="315"/>
      <c r="E116" s="315"/>
      <c r="F116" s="315"/>
      <c r="G116" s="315"/>
      <c r="H116" s="315"/>
      <c r="I116" s="314"/>
      <c r="J116" s="314"/>
      <c r="K116" s="314"/>
      <c r="L116" s="314"/>
      <c r="M116" s="314"/>
      <c r="N116" s="314"/>
      <c r="O116" s="314"/>
      <c r="P116" s="314"/>
      <c r="Q116" s="314"/>
      <c r="R116" s="314"/>
      <c r="S116" s="316"/>
      <c r="T116" s="316"/>
      <c r="U116" s="316"/>
      <c r="V116" s="317"/>
    </row>
    <row r="117" spans="1:22" ht="15" customHeight="1" x14ac:dyDescent="0.3">
      <c r="A117" s="313"/>
      <c r="B117" s="314"/>
      <c r="C117" s="314"/>
      <c r="D117" s="315"/>
      <c r="E117" s="315"/>
      <c r="F117" s="315"/>
      <c r="G117" s="315"/>
      <c r="H117" s="315"/>
      <c r="I117" s="314"/>
      <c r="J117" s="314"/>
      <c r="K117" s="314"/>
      <c r="L117" s="314"/>
      <c r="M117" s="314"/>
      <c r="N117" s="314"/>
      <c r="O117" s="314"/>
      <c r="P117" s="314"/>
      <c r="Q117" s="314"/>
      <c r="R117" s="314"/>
      <c r="S117" s="316"/>
      <c r="T117" s="316"/>
      <c r="U117" s="316"/>
      <c r="V117" s="317"/>
    </row>
    <row r="118" spans="1:22" ht="15" customHeight="1" x14ac:dyDescent="0.3">
      <c r="A118" s="313"/>
      <c r="B118" s="314"/>
      <c r="C118" s="314"/>
      <c r="D118" s="315"/>
      <c r="E118" s="315"/>
      <c r="F118" s="315"/>
      <c r="G118" s="315"/>
      <c r="H118" s="315"/>
      <c r="I118" s="314"/>
      <c r="J118" s="314"/>
      <c r="K118" s="314"/>
      <c r="L118" s="314"/>
      <c r="M118" s="314"/>
      <c r="N118" s="314"/>
      <c r="O118" s="314"/>
      <c r="P118" s="314"/>
      <c r="Q118" s="314"/>
      <c r="R118" s="314"/>
      <c r="S118" s="316"/>
      <c r="T118" s="316"/>
      <c r="U118" s="316"/>
      <c r="V118" s="317"/>
    </row>
    <row r="119" spans="1:22" ht="15" customHeight="1" x14ac:dyDescent="0.3">
      <c r="A119" s="313"/>
      <c r="B119" s="314"/>
      <c r="C119" s="314"/>
      <c r="D119" s="315"/>
      <c r="E119" s="315"/>
      <c r="F119" s="315"/>
      <c r="G119" s="315"/>
      <c r="H119" s="315"/>
      <c r="I119" s="314"/>
      <c r="J119" s="314"/>
      <c r="K119" s="314"/>
      <c r="L119" s="314"/>
      <c r="M119" s="314"/>
      <c r="N119" s="314"/>
      <c r="O119" s="314"/>
      <c r="P119" s="314"/>
      <c r="Q119" s="314"/>
      <c r="R119" s="314"/>
      <c r="S119" s="316"/>
      <c r="T119" s="316"/>
      <c r="U119" s="316"/>
      <c r="V119" s="317"/>
    </row>
    <row r="120" spans="1:22" ht="15" customHeight="1" x14ac:dyDescent="0.3">
      <c r="A120" s="313"/>
      <c r="B120" s="314"/>
      <c r="C120" s="314"/>
      <c r="D120" s="315"/>
      <c r="E120" s="315"/>
      <c r="F120" s="315"/>
      <c r="G120" s="315"/>
      <c r="H120" s="315"/>
      <c r="I120" s="314"/>
      <c r="J120" s="314"/>
      <c r="K120" s="314"/>
      <c r="L120" s="314"/>
      <c r="M120" s="314"/>
      <c r="N120" s="314"/>
      <c r="O120" s="314"/>
      <c r="P120" s="314"/>
      <c r="Q120" s="314"/>
      <c r="R120" s="314"/>
      <c r="S120" s="316"/>
      <c r="T120" s="316"/>
      <c r="U120" s="316"/>
      <c r="V120" s="317"/>
    </row>
    <row r="121" spans="1:22" ht="15" customHeight="1" x14ac:dyDescent="0.3">
      <c r="A121" s="313"/>
      <c r="B121" s="314"/>
      <c r="C121" s="314"/>
      <c r="D121" s="315"/>
      <c r="E121" s="315"/>
      <c r="F121" s="315"/>
      <c r="G121" s="315"/>
      <c r="H121" s="315"/>
      <c r="I121" s="314"/>
      <c r="J121" s="314"/>
      <c r="K121" s="314"/>
      <c r="L121" s="314"/>
      <c r="M121" s="314"/>
      <c r="N121" s="314"/>
      <c r="O121" s="314"/>
      <c r="P121" s="314"/>
      <c r="Q121" s="314"/>
      <c r="R121" s="314"/>
      <c r="S121" s="316"/>
      <c r="T121" s="316"/>
      <c r="U121" s="316"/>
      <c r="V121" s="317"/>
    </row>
    <row r="122" spans="1:22" ht="15" customHeight="1" x14ac:dyDescent="0.3">
      <c r="A122" s="313"/>
      <c r="B122" s="314"/>
      <c r="C122" s="314"/>
      <c r="D122" s="315"/>
      <c r="E122" s="315"/>
      <c r="F122" s="315"/>
      <c r="G122" s="315"/>
      <c r="H122" s="315"/>
      <c r="I122" s="314"/>
      <c r="J122" s="314"/>
      <c r="K122" s="314"/>
      <c r="L122" s="314"/>
      <c r="M122" s="314"/>
      <c r="N122" s="314"/>
      <c r="O122" s="314"/>
      <c r="P122" s="314"/>
      <c r="Q122" s="314"/>
      <c r="R122" s="314"/>
      <c r="S122" s="316"/>
      <c r="T122" s="316"/>
      <c r="U122" s="316"/>
      <c r="V122" s="317"/>
    </row>
    <row r="123" spans="1:22" ht="15" customHeight="1" x14ac:dyDescent="0.3">
      <c r="A123" s="313"/>
      <c r="B123" s="314"/>
      <c r="C123" s="314"/>
      <c r="D123" s="315"/>
      <c r="E123" s="315"/>
      <c r="F123" s="315"/>
      <c r="G123" s="315"/>
      <c r="H123" s="315"/>
      <c r="I123" s="314"/>
      <c r="J123" s="314"/>
      <c r="K123" s="314"/>
      <c r="L123" s="314"/>
      <c r="M123" s="314"/>
      <c r="N123" s="314"/>
      <c r="O123" s="314"/>
      <c r="P123" s="314"/>
      <c r="Q123" s="314"/>
      <c r="R123" s="314"/>
      <c r="S123" s="316"/>
      <c r="T123" s="316"/>
      <c r="U123" s="316"/>
      <c r="V123" s="317"/>
    </row>
    <row r="124" spans="1:22" ht="15" customHeight="1" x14ac:dyDescent="0.3">
      <c r="A124" s="313"/>
      <c r="B124" s="314"/>
      <c r="C124" s="314"/>
      <c r="D124" s="315"/>
      <c r="E124" s="315"/>
      <c r="F124" s="315"/>
      <c r="G124" s="315"/>
      <c r="H124" s="315"/>
      <c r="I124" s="314"/>
      <c r="J124" s="314"/>
      <c r="K124" s="314"/>
      <c r="L124" s="314"/>
      <c r="M124" s="314"/>
      <c r="N124" s="314"/>
      <c r="O124" s="314"/>
      <c r="P124" s="314"/>
      <c r="Q124" s="314"/>
      <c r="R124" s="314"/>
      <c r="S124" s="316"/>
      <c r="T124" s="316"/>
      <c r="U124" s="316"/>
      <c r="V124" s="317"/>
    </row>
    <row r="125" spans="1:22" ht="15" customHeight="1" x14ac:dyDescent="0.3">
      <c r="A125" s="313"/>
      <c r="B125" s="314"/>
      <c r="C125" s="314"/>
      <c r="D125" s="315"/>
      <c r="E125" s="315"/>
      <c r="F125" s="315"/>
      <c r="G125" s="315"/>
      <c r="H125" s="315"/>
      <c r="I125" s="314"/>
      <c r="J125" s="314"/>
      <c r="K125" s="314"/>
      <c r="L125" s="314"/>
      <c r="M125" s="314"/>
      <c r="N125" s="314"/>
      <c r="O125" s="314"/>
      <c r="P125" s="314"/>
      <c r="Q125" s="314"/>
      <c r="R125" s="314"/>
      <c r="S125" s="316"/>
      <c r="T125" s="316"/>
      <c r="U125" s="316"/>
      <c r="V125" s="317"/>
    </row>
    <row r="126" spans="1:22" ht="15" customHeight="1" x14ac:dyDescent="0.3">
      <c r="A126" s="313"/>
      <c r="B126" s="314"/>
      <c r="C126" s="314"/>
      <c r="D126" s="315"/>
      <c r="E126" s="315"/>
      <c r="F126" s="315"/>
      <c r="G126" s="315"/>
      <c r="H126" s="315"/>
      <c r="I126" s="314"/>
      <c r="J126" s="314"/>
      <c r="K126" s="314"/>
      <c r="L126" s="314"/>
      <c r="M126" s="314"/>
      <c r="N126" s="314"/>
      <c r="O126" s="314"/>
      <c r="P126" s="314"/>
      <c r="Q126" s="314"/>
      <c r="R126" s="314"/>
      <c r="S126" s="316"/>
      <c r="T126" s="316"/>
      <c r="U126" s="316"/>
      <c r="V126" s="317"/>
    </row>
    <row r="127" spans="1:22" ht="15" customHeight="1" x14ac:dyDescent="0.3">
      <c r="A127" s="313"/>
      <c r="B127" s="314"/>
      <c r="C127" s="314"/>
      <c r="D127" s="315"/>
      <c r="E127" s="315"/>
      <c r="F127" s="315"/>
      <c r="G127" s="315"/>
      <c r="H127" s="315"/>
      <c r="I127" s="314"/>
      <c r="J127" s="314"/>
      <c r="K127" s="314"/>
      <c r="L127" s="314"/>
      <c r="M127" s="314"/>
      <c r="N127" s="314"/>
      <c r="O127" s="314"/>
      <c r="P127" s="314"/>
      <c r="Q127" s="314"/>
      <c r="R127" s="314"/>
      <c r="S127" s="316"/>
      <c r="T127" s="316"/>
      <c r="U127" s="316"/>
      <c r="V127" s="317"/>
    </row>
    <row r="128" spans="1:22" s="1" customFormat="1" ht="15" customHeight="1" x14ac:dyDescent="0.3">
      <c r="A128" s="313"/>
      <c r="B128" s="314"/>
      <c r="C128" s="314"/>
      <c r="D128" s="315"/>
      <c r="E128" s="315"/>
      <c r="F128" s="315"/>
      <c r="G128" s="315"/>
      <c r="H128" s="315"/>
      <c r="I128" s="314"/>
      <c r="J128" s="314"/>
      <c r="K128" s="314"/>
      <c r="L128" s="314"/>
      <c r="M128" s="314"/>
      <c r="N128" s="314"/>
      <c r="O128" s="314"/>
      <c r="P128" s="314"/>
      <c r="Q128" s="314"/>
      <c r="R128" s="314"/>
      <c r="S128" s="316"/>
      <c r="T128" s="316"/>
      <c r="U128" s="316"/>
      <c r="V128" s="317"/>
    </row>
    <row r="129" spans="1:22" ht="15" customHeight="1" x14ac:dyDescent="0.3">
      <c r="A129" s="313"/>
      <c r="B129" s="314"/>
      <c r="C129" s="314"/>
      <c r="D129" s="315"/>
      <c r="E129" s="315"/>
      <c r="F129" s="315"/>
      <c r="G129" s="315"/>
      <c r="H129" s="315"/>
      <c r="I129" s="314"/>
      <c r="J129" s="314"/>
      <c r="K129" s="314"/>
      <c r="L129" s="314"/>
      <c r="M129" s="314"/>
      <c r="N129" s="314"/>
      <c r="O129" s="314"/>
      <c r="P129" s="314"/>
      <c r="Q129" s="314"/>
      <c r="R129" s="314"/>
      <c r="S129" s="316"/>
      <c r="T129" s="316"/>
      <c r="U129" s="316"/>
      <c r="V129" s="317"/>
    </row>
    <row r="130" spans="1:22" ht="15" customHeight="1" x14ac:dyDescent="0.3">
      <c r="A130" s="313"/>
      <c r="B130" s="314"/>
      <c r="C130" s="314"/>
      <c r="D130" s="315"/>
      <c r="E130" s="315"/>
      <c r="F130" s="315"/>
      <c r="G130" s="315"/>
      <c r="H130" s="315"/>
      <c r="I130" s="314"/>
      <c r="J130" s="314"/>
      <c r="K130" s="314"/>
      <c r="L130" s="314"/>
      <c r="M130" s="314"/>
      <c r="N130" s="314"/>
      <c r="O130" s="314"/>
      <c r="P130" s="314"/>
      <c r="Q130" s="314"/>
      <c r="R130" s="314"/>
      <c r="S130" s="316"/>
      <c r="T130" s="316"/>
      <c r="U130" s="316"/>
      <c r="V130" s="317"/>
    </row>
    <row r="131" spans="1:22" ht="15" customHeight="1" x14ac:dyDescent="0.3">
      <c r="A131" s="313"/>
      <c r="B131" s="314"/>
      <c r="C131" s="314"/>
      <c r="D131" s="315"/>
      <c r="E131" s="315"/>
      <c r="F131" s="315"/>
      <c r="G131" s="315"/>
      <c r="H131" s="315"/>
      <c r="I131" s="314"/>
      <c r="J131" s="314"/>
      <c r="K131" s="314"/>
      <c r="L131" s="314"/>
      <c r="M131" s="314"/>
      <c r="N131" s="314"/>
      <c r="O131" s="314"/>
      <c r="P131" s="314"/>
      <c r="Q131" s="314"/>
      <c r="R131" s="314"/>
      <c r="S131" s="316"/>
      <c r="T131" s="316"/>
      <c r="U131" s="316"/>
      <c r="V131" s="317"/>
    </row>
    <row r="132" spans="1:22" ht="15" customHeight="1" x14ac:dyDescent="0.3">
      <c r="A132" s="313"/>
      <c r="B132" s="314"/>
      <c r="C132" s="314"/>
      <c r="D132" s="315"/>
      <c r="E132" s="315"/>
      <c r="F132" s="315"/>
      <c r="G132" s="315"/>
      <c r="H132" s="315"/>
      <c r="I132" s="314"/>
      <c r="J132" s="314"/>
      <c r="K132" s="314"/>
      <c r="L132" s="314"/>
      <c r="M132" s="314"/>
      <c r="N132" s="314"/>
      <c r="O132" s="314"/>
      <c r="P132" s="314"/>
      <c r="Q132" s="314"/>
      <c r="R132" s="314"/>
      <c r="S132" s="316"/>
      <c r="T132" s="316"/>
      <c r="U132" s="316"/>
      <c r="V132" s="317"/>
    </row>
    <row r="133" spans="1:22" ht="15" customHeight="1" x14ac:dyDescent="0.3">
      <c r="A133" s="313"/>
      <c r="B133" s="314"/>
      <c r="C133" s="314"/>
      <c r="D133" s="315"/>
      <c r="E133" s="315"/>
      <c r="F133" s="315"/>
      <c r="G133" s="315"/>
      <c r="H133" s="315"/>
      <c r="I133" s="314"/>
      <c r="J133" s="314"/>
      <c r="K133" s="314"/>
      <c r="L133" s="314"/>
      <c r="M133" s="314"/>
      <c r="N133" s="314"/>
      <c r="O133" s="314"/>
      <c r="P133" s="314"/>
      <c r="Q133" s="314"/>
      <c r="R133" s="314"/>
      <c r="S133" s="316"/>
      <c r="T133" s="316"/>
      <c r="U133" s="316"/>
      <c r="V133" s="317"/>
    </row>
    <row r="134" spans="1:22" ht="15" customHeight="1" x14ac:dyDescent="0.3">
      <c r="A134" s="313"/>
      <c r="B134" s="314"/>
      <c r="C134" s="314"/>
      <c r="D134" s="315"/>
      <c r="E134" s="315"/>
      <c r="F134" s="315"/>
      <c r="G134" s="315"/>
      <c r="H134" s="315"/>
      <c r="I134" s="314"/>
      <c r="J134" s="314"/>
      <c r="K134" s="314"/>
      <c r="L134" s="314"/>
      <c r="M134" s="314"/>
      <c r="N134" s="314"/>
      <c r="O134" s="314"/>
      <c r="P134" s="314"/>
      <c r="Q134" s="314"/>
      <c r="R134" s="314"/>
      <c r="S134" s="316"/>
      <c r="T134" s="316"/>
      <c r="U134" s="316"/>
      <c r="V134" s="317"/>
    </row>
    <row r="135" spans="1:22" ht="15" customHeight="1" x14ac:dyDescent="0.3">
      <c r="A135" s="313"/>
      <c r="B135" s="314"/>
      <c r="C135" s="314"/>
      <c r="D135" s="315"/>
      <c r="E135" s="315"/>
      <c r="F135" s="315"/>
      <c r="G135" s="315"/>
      <c r="H135" s="315"/>
      <c r="I135" s="314"/>
      <c r="J135" s="314"/>
      <c r="K135" s="314"/>
      <c r="L135" s="314"/>
      <c r="M135" s="314"/>
      <c r="N135" s="314"/>
      <c r="O135" s="314"/>
      <c r="P135" s="314"/>
      <c r="Q135" s="314"/>
      <c r="R135" s="314"/>
      <c r="S135" s="316"/>
      <c r="T135" s="316"/>
      <c r="U135" s="316"/>
      <c r="V135" s="317"/>
    </row>
    <row r="136" spans="1:22" ht="15" customHeight="1" x14ac:dyDescent="0.3">
      <c r="A136" s="313"/>
      <c r="B136" s="314"/>
      <c r="C136" s="314"/>
      <c r="D136" s="315"/>
      <c r="E136" s="315"/>
      <c r="F136" s="315"/>
      <c r="G136" s="315"/>
      <c r="H136" s="315"/>
      <c r="I136" s="314"/>
      <c r="J136" s="314"/>
      <c r="K136" s="314"/>
      <c r="L136" s="314"/>
      <c r="M136" s="314"/>
      <c r="N136" s="314"/>
      <c r="O136" s="314"/>
      <c r="P136" s="314"/>
      <c r="Q136" s="314"/>
      <c r="R136" s="314"/>
      <c r="S136" s="316"/>
      <c r="T136" s="316"/>
      <c r="U136" s="316"/>
      <c r="V136" s="317"/>
    </row>
    <row r="137" spans="1:22" ht="15" customHeight="1" x14ac:dyDescent="0.3">
      <c r="A137" s="313"/>
      <c r="B137" s="314"/>
      <c r="C137" s="314"/>
      <c r="D137" s="315"/>
      <c r="E137" s="315"/>
      <c r="F137" s="315"/>
      <c r="G137" s="315"/>
      <c r="H137" s="315"/>
      <c r="I137" s="314"/>
      <c r="J137" s="314"/>
      <c r="K137" s="314"/>
      <c r="L137" s="314"/>
      <c r="M137" s="314"/>
      <c r="N137" s="314"/>
      <c r="O137" s="314"/>
      <c r="P137" s="314"/>
      <c r="Q137" s="314"/>
      <c r="R137" s="314"/>
      <c r="S137" s="316"/>
      <c r="T137" s="316"/>
      <c r="U137" s="316"/>
      <c r="V137" s="317"/>
    </row>
    <row r="138" spans="1:22" ht="15" customHeight="1" x14ac:dyDescent="0.3">
      <c r="A138" s="313"/>
      <c r="B138" s="314"/>
      <c r="C138" s="314"/>
      <c r="D138" s="315"/>
      <c r="E138" s="315"/>
      <c r="F138" s="315"/>
      <c r="G138" s="315"/>
      <c r="H138" s="315"/>
      <c r="I138" s="314"/>
      <c r="J138" s="314"/>
      <c r="K138" s="314"/>
      <c r="L138" s="314"/>
      <c r="M138" s="314"/>
      <c r="N138" s="314"/>
      <c r="O138" s="314"/>
      <c r="P138" s="314"/>
      <c r="Q138" s="314"/>
      <c r="R138" s="314"/>
      <c r="S138" s="316"/>
      <c r="T138" s="316"/>
      <c r="U138" s="316"/>
      <c r="V138" s="317"/>
    </row>
    <row r="139" spans="1:22" ht="15" customHeight="1" x14ac:dyDescent="0.3">
      <c r="A139" s="313"/>
      <c r="B139" s="314"/>
      <c r="C139" s="314"/>
      <c r="D139" s="315"/>
      <c r="E139" s="315"/>
      <c r="F139" s="315"/>
      <c r="G139" s="315"/>
      <c r="H139" s="315"/>
      <c r="I139" s="314"/>
      <c r="J139" s="314"/>
      <c r="K139" s="314"/>
      <c r="L139" s="314"/>
      <c r="M139" s="314"/>
      <c r="N139" s="314"/>
      <c r="O139" s="314"/>
      <c r="P139" s="314"/>
      <c r="Q139" s="314"/>
      <c r="R139" s="314"/>
      <c r="S139" s="316"/>
      <c r="T139" s="316"/>
      <c r="U139" s="316"/>
      <c r="V139" s="317"/>
    </row>
    <row r="140" spans="1:22" ht="15" customHeight="1" x14ac:dyDescent="0.3">
      <c r="A140" s="313"/>
      <c r="B140" s="314"/>
      <c r="C140" s="314"/>
      <c r="D140" s="315"/>
      <c r="E140" s="315"/>
      <c r="F140" s="315"/>
      <c r="G140" s="315"/>
      <c r="H140" s="315"/>
      <c r="I140" s="314"/>
      <c r="J140" s="314"/>
      <c r="K140" s="314"/>
      <c r="L140" s="314"/>
      <c r="M140" s="314"/>
      <c r="N140" s="314"/>
      <c r="O140" s="314"/>
      <c r="P140" s="314"/>
      <c r="Q140" s="314"/>
      <c r="R140" s="314"/>
      <c r="S140" s="316"/>
      <c r="T140" s="316"/>
      <c r="U140" s="316"/>
      <c r="V140" s="317"/>
    </row>
    <row r="141" spans="1:22" ht="15" customHeight="1" x14ac:dyDescent="0.3">
      <c r="A141" s="313"/>
      <c r="B141" s="314"/>
      <c r="C141" s="314"/>
      <c r="D141" s="315"/>
      <c r="E141" s="315"/>
      <c r="F141" s="315"/>
      <c r="G141" s="315"/>
      <c r="H141" s="315"/>
      <c r="I141" s="314"/>
      <c r="J141" s="314"/>
      <c r="K141" s="314"/>
      <c r="L141" s="314"/>
      <c r="M141" s="314"/>
      <c r="N141" s="314"/>
      <c r="O141" s="314"/>
      <c r="P141" s="314"/>
      <c r="Q141" s="314"/>
      <c r="R141" s="314"/>
      <c r="S141" s="316"/>
      <c r="T141" s="316"/>
      <c r="U141" s="316"/>
      <c r="V141" s="317"/>
    </row>
    <row r="142" spans="1:22" ht="15" customHeight="1" x14ac:dyDescent="0.3">
      <c r="A142" s="313"/>
      <c r="B142" s="314"/>
      <c r="C142" s="314"/>
      <c r="D142" s="315"/>
      <c r="E142" s="315"/>
      <c r="F142" s="315"/>
      <c r="G142" s="315"/>
      <c r="H142" s="315"/>
      <c r="I142" s="314"/>
      <c r="J142" s="314"/>
      <c r="K142" s="314"/>
      <c r="L142" s="314"/>
      <c r="M142" s="314"/>
      <c r="N142" s="314"/>
      <c r="O142" s="314"/>
      <c r="P142" s="314"/>
      <c r="Q142" s="314"/>
      <c r="R142" s="314"/>
      <c r="S142" s="316"/>
      <c r="T142" s="316"/>
      <c r="U142" s="316"/>
      <c r="V142" s="317"/>
    </row>
    <row r="143" spans="1:22" ht="15" customHeight="1" x14ac:dyDescent="0.3">
      <c r="A143" s="313"/>
      <c r="B143" s="314"/>
      <c r="C143" s="314"/>
      <c r="D143" s="315"/>
      <c r="E143" s="315"/>
      <c r="F143" s="315"/>
      <c r="G143" s="315"/>
      <c r="H143" s="315"/>
      <c r="I143" s="314"/>
      <c r="J143" s="314"/>
      <c r="K143" s="314"/>
      <c r="L143" s="314"/>
      <c r="M143" s="314"/>
      <c r="N143" s="314"/>
      <c r="O143" s="314"/>
      <c r="P143" s="314"/>
      <c r="Q143" s="314"/>
      <c r="R143" s="314"/>
      <c r="S143" s="316"/>
      <c r="T143" s="316"/>
      <c r="U143" s="316"/>
      <c r="V143" s="317"/>
    </row>
    <row r="144" spans="1:22" ht="15" customHeight="1" x14ac:dyDescent="0.3">
      <c r="A144" s="313"/>
      <c r="B144" s="314"/>
      <c r="C144" s="314"/>
      <c r="D144" s="315"/>
      <c r="E144" s="315"/>
      <c r="F144" s="315"/>
      <c r="G144" s="315"/>
      <c r="H144" s="315"/>
      <c r="I144" s="314"/>
      <c r="J144" s="314"/>
      <c r="K144" s="314"/>
      <c r="L144" s="314"/>
      <c r="M144" s="314"/>
      <c r="N144" s="314"/>
      <c r="O144" s="314"/>
      <c r="P144" s="314"/>
      <c r="Q144" s="314"/>
      <c r="R144" s="314"/>
      <c r="S144" s="316"/>
      <c r="T144" s="316"/>
      <c r="U144" s="316"/>
      <c r="V144" s="317"/>
    </row>
    <row r="145" spans="1:22" ht="15" customHeight="1" x14ac:dyDescent="0.3">
      <c r="A145" s="313"/>
      <c r="B145" s="314"/>
      <c r="C145" s="314"/>
      <c r="D145" s="315"/>
      <c r="E145" s="315"/>
      <c r="F145" s="315"/>
      <c r="G145" s="315"/>
      <c r="H145" s="315"/>
      <c r="I145" s="314"/>
      <c r="J145" s="314"/>
      <c r="K145" s="314"/>
      <c r="L145" s="314"/>
      <c r="M145" s="314"/>
      <c r="N145" s="314"/>
      <c r="O145" s="314"/>
      <c r="P145" s="314"/>
      <c r="Q145" s="314"/>
      <c r="R145" s="314"/>
      <c r="S145" s="316"/>
      <c r="T145" s="316"/>
      <c r="U145" s="316"/>
      <c r="V145" s="317"/>
    </row>
    <row r="146" spans="1:22" ht="15" customHeight="1" x14ac:dyDescent="0.3">
      <c r="A146" s="313"/>
      <c r="B146" s="314"/>
      <c r="C146" s="314"/>
      <c r="D146" s="315"/>
      <c r="E146" s="315"/>
      <c r="F146" s="315"/>
      <c r="G146" s="315"/>
      <c r="H146" s="315"/>
      <c r="I146" s="314"/>
      <c r="J146" s="314"/>
      <c r="K146" s="314"/>
      <c r="L146" s="314"/>
      <c r="M146" s="314"/>
      <c r="N146" s="314"/>
      <c r="O146" s="314"/>
      <c r="P146" s="314"/>
      <c r="Q146" s="314"/>
      <c r="R146" s="314"/>
      <c r="S146" s="316"/>
      <c r="T146" s="316"/>
      <c r="U146" s="316"/>
      <c r="V146" s="317"/>
    </row>
    <row r="147" spans="1:22" ht="15" customHeight="1" x14ac:dyDescent="0.3">
      <c r="A147" s="313"/>
      <c r="B147" s="314"/>
      <c r="C147" s="314"/>
      <c r="D147" s="315"/>
      <c r="E147" s="315"/>
      <c r="F147" s="315"/>
      <c r="G147" s="315"/>
      <c r="H147" s="315"/>
      <c r="I147" s="314"/>
      <c r="J147" s="314"/>
      <c r="K147" s="314"/>
      <c r="L147" s="314"/>
      <c r="M147" s="314"/>
      <c r="N147" s="314"/>
      <c r="O147" s="314"/>
      <c r="P147" s="314"/>
      <c r="Q147" s="314"/>
      <c r="R147" s="314"/>
      <c r="S147" s="316"/>
      <c r="T147" s="316"/>
      <c r="U147" s="316"/>
      <c r="V147" s="317"/>
    </row>
    <row r="148" spans="1:22" ht="15" customHeight="1" x14ac:dyDescent="0.3">
      <c r="A148" s="313"/>
      <c r="B148" s="314"/>
      <c r="C148" s="314"/>
      <c r="D148" s="315"/>
      <c r="E148" s="315"/>
      <c r="F148" s="315"/>
      <c r="G148" s="315"/>
      <c r="H148" s="315"/>
      <c r="I148" s="314"/>
      <c r="J148" s="314"/>
      <c r="K148" s="314"/>
      <c r="L148" s="314"/>
      <c r="M148" s="314"/>
      <c r="N148" s="314"/>
      <c r="O148" s="314"/>
      <c r="P148" s="314"/>
      <c r="Q148" s="314"/>
      <c r="R148" s="314"/>
      <c r="S148" s="316"/>
      <c r="T148" s="316"/>
      <c r="U148" s="316"/>
      <c r="V148" s="317"/>
    </row>
    <row r="149" spans="1:22" ht="15" customHeight="1" x14ac:dyDescent="0.3">
      <c r="A149" s="313"/>
      <c r="B149" s="314"/>
      <c r="C149" s="314"/>
      <c r="D149" s="315"/>
      <c r="E149" s="315"/>
      <c r="F149" s="315"/>
      <c r="G149" s="315"/>
      <c r="H149" s="315"/>
      <c r="I149" s="314"/>
      <c r="J149" s="314"/>
      <c r="K149" s="314"/>
      <c r="L149" s="314"/>
      <c r="M149" s="314"/>
      <c r="N149" s="314"/>
      <c r="O149" s="314"/>
      <c r="P149" s="314"/>
      <c r="Q149" s="314"/>
      <c r="R149" s="314"/>
      <c r="S149" s="316"/>
      <c r="T149" s="316"/>
      <c r="U149" s="316"/>
      <c r="V149" s="317"/>
    </row>
    <row r="150" spans="1:22" ht="15" customHeight="1" x14ac:dyDescent="0.3">
      <c r="A150" s="313"/>
      <c r="B150" s="314"/>
      <c r="C150" s="314"/>
      <c r="D150" s="315"/>
      <c r="E150" s="315"/>
      <c r="F150" s="315"/>
      <c r="G150" s="315"/>
      <c r="H150" s="315"/>
      <c r="I150" s="314"/>
      <c r="J150" s="314"/>
      <c r="K150" s="314"/>
      <c r="L150" s="314"/>
      <c r="M150" s="314"/>
      <c r="N150" s="314"/>
      <c r="O150" s="314"/>
      <c r="P150" s="314"/>
      <c r="Q150" s="314"/>
      <c r="R150" s="314"/>
      <c r="S150" s="316"/>
      <c r="T150" s="316"/>
      <c r="U150" s="316"/>
      <c r="V150" s="317"/>
    </row>
    <row r="151" spans="1:22" ht="15" customHeight="1" x14ac:dyDescent="0.3">
      <c r="A151" s="313"/>
      <c r="B151" s="314"/>
      <c r="C151" s="314"/>
      <c r="D151" s="315"/>
      <c r="E151" s="315"/>
      <c r="F151" s="315"/>
      <c r="G151" s="315"/>
      <c r="H151" s="315"/>
      <c r="I151" s="314"/>
      <c r="J151" s="314"/>
      <c r="K151" s="314"/>
      <c r="L151" s="314"/>
      <c r="M151" s="314"/>
      <c r="N151" s="314"/>
      <c r="O151" s="314"/>
      <c r="P151" s="314"/>
      <c r="Q151" s="314"/>
      <c r="R151" s="314"/>
      <c r="S151" s="316"/>
      <c r="T151" s="316"/>
      <c r="U151" s="316"/>
      <c r="V151" s="317"/>
    </row>
    <row r="152" spans="1:22" ht="15" customHeight="1" x14ac:dyDescent="0.3">
      <c r="A152" s="313"/>
      <c r="B152" s="314"/>
      <c r="C152" s="314"/>
      <c r="D152" s="315"/>
      <c r="E152" s="315"/>
      <c r="F152" s="315"/>
      <c r="G152" s="315"/>
      <c r="H152" s="315"/>
      <c r="I152" s="314"/>
      <c r="J152" s="314"/>
      <c r="K152" s="314"/>
      <c r="L152" s="314"/>
      <c r="M152" s="314"/>
      <c r="N152" s="314"/>
      <c r="O152" s="314"/>
      <c r="P152" s="314"/>
      <c r="Q152" s="314"/>
      <c r="R152" s="314"/>
      <c r="S152" s="316"/>
      <c r="T152" s="316"/>
      <c r="U152" s="316"/>
      <c r="V152" s="317"/>
    </row>
    <row r="153" spans="1:22" ht="15" customHeight="1" x14ac:dyDescent="0.3">
      <c r="A153" s="313"/>
      <c r="B153" s="314"/>
      <c r="C153" s="314"/>
      <c r="D153" s="315"/>
      <c r="E153" s="315"/>
      <c r="F153" s="315"/>
      <c r="G153" s="315"/>
      <c r="H153" s="315"/>
      <c r="I153" s="314"/>
      <c r="J153" s="314"/>
      <c r="K153" s="314"/>
      <c r="L153" s="314"/>
      <c r="M153" s="314"/>
      <c r="N153" s="314"/>
      <c r="O153" s="314"/>
      <c r="P153" s="314"/>
      <c r="Q153" s="314"/>
      <c r="R153" s="314"/>
      <c r="S153" s="316"/>
      <c r="T153" s="316"/>
      <c r="U153" s="316"/>
      <c r="V153" s="317"/>
    </row>
    <row r="154" spans="1:22" ht="15" customHeight="1" x14ac:dyDescent="0.3">
      <c r="A154" s="313"/>
      <c r="B154" s="314"/>
      <c r="C154" s="314"/>
      <c r="D154" s="315"/>
      <c r="E154" s="315"/>
      <c r="F154" s="315"/>
      <c r="G154" s="315"/>
      <c r="H154" s="315"/>
      <c r="I154" s="314"/>
      <c r="J154" s="314"/>
      <c r="K154" s="314"/>
      <c r="L154" s="314"/>
      <c r="M154" s="314"/>
      <c r="N154" s="314"/>
      <c r="O154" s="314"/>
      <c r="P154" s="314"/>
      <c r="Q154" s="314"/>
      <c r="R154" s="314"/>
      <c r="S154" s="316"/>
      <c r="T154" s="316"/>
      <c r="U154" s="316"/>
      <c r="V154" s="317"/>
    </row>
    <row r="155" spans="1:22" ht="15" customHeight="1" x14ac:dyDescent="0.3">
      <c r="A155" s="313"/>
      <c r="B155" s="314"/>
      <c r="C155" s="314"/>
      <c r="D155" s="315"/>
      <c r="E155" s="315"/>
      <c r="F155" s="315"/>
      <c r="G155" s="315"/>
      <c r="H155" s="315"/>
      <c r="I155" s="314"/>
      <c r="J155" s="314"/>
      <c r="K155" s="314"/>
      <c r="L155" s="314"/>
      <c r="M155" s="314"/>
      <c r="N155" s="314"/>
      <c r="O155" s="314"/>
      <c r="P155" s="314"/>
      <c r="Q155" s="314"/>
      <c r="R155" s="314"/>
      <c r="S155" s="316"/>
      <c r="T155" s="316"/>
      <c r="U155" s="316"/>
      <c r="V155" s="317"/>
    </row>
    <row r="156" spans="1:22" ht="15" customHeight="1" x14ac:dyDescent="0.3">
      <c r="A156" s="313"/>
      <c r="B156" s="314"/>
      <c r="C156" s="314"/>
      <c r="D156" s="315"/>
      <c r="E156" s="315"/>
      <c r="F156" s="315"/>
      <c r="G156" s="315"/>
      <c r="H156" s="315"/>
      <c r="I156" s="314"/>
      <c r="J156" s="314"/>
      <c r="K156" s="314"/>
      <c r="L156" s="314"/>
      <c r="M156" s="314"/>
      <c r="N156" s="314"/>
      <c r="O156" s="314"/>
      <c r="P156" s="314"/>
      <c r="Q156" s="314"/>
      <c r="R156" s="314"/>
      <c r="S156" s="316"/>
      <c r="T156" s="316"/>
      <c r="U156" s="316"/>
      <c r="V156" s="317"/>
    </row>
    <row r="157" spans="1:22" ht="15" customHeight="1" x14ac:dyDescent="0.3">
      <c r="A157" s="313"/>
      <c r="B157" s="314"/>
      <c r="C157" s="314"/>
      <c r="D157" s="315"/>
      <c r="E157" s="315"/>
      <c r="F157" s="315"/>
      <c r="G157" s="315"/>
      <c r="H157" s="315"/>
      <c r="I157" s="314"/>
      <c r="J157" s="314"/>
      <c r="K157" s="314"/>
      <c r="L157" s="314"/>
      <c r="M157" s="314"/>
      <c r="N157" s="314"/>
      <c r="O157" s="314"/>
      <c r="P157" s="314"/>
      <c r="Q157" s="314"/>
      <c r="R157" s="314"/>
      <c r="S157" s="316"/>
      <c r="T157" s="316"/>
      <c r="U157" s="316"/>
      <c r="V157" s="317"/>
    </row>
    <row r="158" spans="1:22" ht="15" customHeight="1" x14ac:dyDescent="0.3">
      <c r="A158" s="313"/>
      <c r="B158" s="314"/>
      <c r="C158" s="314"/>
      <c r="D158" s="315"/>
      <c r="E158" s="315"/>
      <c r="F158" s="315"/>
      <c r="G158" s="315"/>
      <c r="H158" s="315"/>
      <c r="I158" s="314"/>
      <c r="J158" s="314"/>
      <c r="K158" s="314"/>
      <c r="L158" s="314"/>
      <c r="M158" s="314"/>
      <c r="N158" s="314"/>
      <c r="O158" s="314"/>
      <c r="P158" s="314"/>
      <c r="Q158" s="314"/>
      <c r="R158" s="314"/>
      <c r="S158" s="316"/>
      <c r="T158" s="316"/>
      <c r="U158" s="316"/>
      <c r="V158" s="317"/>
    </row>
    <row r="159" spans="1:22" ht="15" customHeight="1" x14ac:dyDescent="0.3">
      <c r="A159" s="313"/>
      <c r="B159" s="314"/>
      <c r="C159" s="314"/>
      <c r="D159" s="315"/>
      <c r="E159" s="315"/>
      <c r="F159" s="315"/>
      <c r="G159" s="315"/>
      <c r="H159" s="315"/>
      <c r="I159" s="314"/>
      <c r="J159" s="314"/>
      <c r="K159" s="314"/>
      <c r="L159" s="314"/>
      <c r="M159" s="314"/>
      <c r="N159" s="314"/>
      <c r="O159" s="314"/>
      <c r="P159" s="314"/>
      <c r="Q159" s="314"/>
      <c r="R159" s="314"/>
      <c r="S159" s="316"/>
      <c r="T159" s="316"/>
      <c r="U159" s="316"/>
      <c r="V159" s="317"/>
    </row>
    <row r="160" spans="1:22" ht="15" customHeight="1" x14ac:dyDescent="0.3">
      <c r="A160" s="313"/>
      <c r="B160" s="314"/>
      <c r="C160" s="314"/>
      <c r="D160" s="315"/>
      <c r="E160" s="315"/>
      <c r="F160" s="315"/>
      <c r="G160" s="315"/>
      <c r="H160" s="315"/>
      <c r="I160" s="314"/>
      <c r="J160" s="314"/>
      <c r="K160" s="314"/>
      <c r="L160" s="314"/>
      <c r="M160" s="314"/>
      <c r="N160" s="314"/>
      <c r="O160" s="314"/>
      <c r="P160" s="314"/>
      <c r="Q160" s="314"/>
      <c r="R160" s="314"/>
      <c r="S160" s="316"/>
      <c r="T160" s="316"/>
      <c r="U160" s="316"/>
      <c r="V160" s="317"/>
    </row>
    <row r="161" spans="1:22" ht="15" customHeight="1" x14ac:dyDescent="0.3">
      <c r="A161" s="313"/>
      <c r="B161" s="314"/>
      <c r="C161" s="314"/>
      <c r="D161" s="315"/>
      <c r="E161" s="315"/>
      <c r="F161" s="315"/>
      <c r="G161" s="315"/>
      <c r="H161" s="315"/>
      <c r="I161" s="314"/>
      <c r="J161" s="314"/>
      <c r="K161" s="314"/>
      <c r="L161" s="314"/>
      <c r="M161" s="314"/>
      <c r="N161" s="314"/>
      <c r="O161" s="314"/>
      <c r="P161" s="314"/>
      <c r="Q161" s="314"/>
      <c r="R161" s="314"/>
      <c r="S161" s="316"/>
      <c r="T161" s="316"/>
      <c r="U161" s="316"/>
      <c r="V161" s="317"/>
    </row>
    <row r="162" spans="1:22" ht="15" customHeight="1" x14ac:dyDescent="0.3">
      <c r="A162" s="313"/>
      <c r="B162" s="314"/>
      <c r="C162" s="314"/>
      <c r="D162" s="315"/>
      <c r="E162" s="315"/>
      <c r="F162" s="315"/>
      <c r="G162" s="315"/>
      <c r="H162" s="315"/>
      <c r="I162" s="314"/>
      <c r="J162" s="314"/>
      <c r="K162" s="314"/>
      <c r="L162" s="314"/>
      <c r="M162" s="314"/>
      <c r="N162" s="314"/>
      <c r="O162" s="314"/>
      <c r="P162" s="314"/>
      <c r="Q162" s="314"/>
      <c r="R162" s="314"/>
      <c r="S162" s="316"/>
      <c r="T162" s="316"/>
      <c r="U162" s="316"/>
      <c r="V162" s="317"/>
    </row>
    <row r="163" spans="1:22" ht="15" customHeight="1" x14ac:dyDescent="0.3">
      <c r="A163" s="313"/>
      <c r="B163" s="314"/>
      <c r="C163" s="314"/>
      <c r="D163" s="315"/>
      <c r="E163" s="315"/>
      <c r="F163" s="315"/>
      <c r="G163" s="315"/>
      <c r="H163" s="315"/>
      <c r="I163" s="314"/>
      <c r="J163" s="314"/>
      <c r="K163" s="314"/>
      <c r="L163" s="314"/>
      <c r="M163" s="314"/>
      <c r="N163" s="314"/>
      <c r="O163" s="314"/>
      <c r="P163" s="314"/>
      <c r="Q163" s="314"/>
      <c r="R163" s="314"/>
      <c r="S163" s="316"/>
      <c r="T163" s="316"/>
      <c r="U163" s="316"/>
      <c r="V163" s="317"/>
    </row>
    <row r="164" spans="1:22" ht="15" customHeight="1" x14ac:dyDescent="0.3">
      <c r="A164" s="313"/>
      <c r="B164" s="314"/>
      <c r="C164" s="314"/>
      <c r="D164" s="315"/>
      <c r="E164" s="315"/>
      <c r="F164" s="315"/>
      <c r="G164" s="315"/>
      <c r="H164" s="315"/>
      <c r="I164" s="314"/>
      <c r="J164" s="314"/>
      <c r="K164" s="314"/>
      <c r="L164" s="314"/>
      <c r="M164" s="314"/>
      <c r="N164" s="314"/>
      <c r="O164" s="314"/>
      <c r="P164" s="314"/>
      <c r="Q164" s="314"/>
      <c r="R164" s="314"/>
      <c r="S164" s="316"/>
      <c r="T164" s="316"/>
      <c r="U164" s="316"/>
      <c r="V164" s="317"/>
    </row>
    <row r="165" spans="1:22" ht="15" customHeight="1" x14ac:dyDescent="0.3">
      <c r="A165" s="313"/>
      <c r="B165" s="314"/>
      <c r="C165" s="314"/>
      <c r="D165" s="315"/>
      <c r="E165" s="315"/>
      <c r="F165" s="315"/>
      <c r="G165" s="315"/>
      <c r="H165" s="315"/>
      <c r="I165" s="314"/>
      <c r="J165" s="314"/>
      <c r="K165" s="314"/>
      <c r="L165" s="314"/>
      <c r="M165" s="314"/>
      <c r="N165" s="314"/>
      <c r="O165" s="314"/>
      <c r="P165" s="314"/>
      <c r="Q165" s="314"/>
      <c r="R165" s="314"/>
      <c r="S165" s="316"/>
      <c r="T165" s="316"/>
      <c r="U165" s="316"/>
      <c r="V165" s="317"/>
    </row>
    <row r="166" spans="1:22" ht="15" customHeight="1" x14ac:dyDescent="0.3">
      <c r="A166" s="313"/>
      <c r="B166" s="314"/>
      <c r="C166" s="314"/>
      <c r="D166" s="315"/>
      <c r="E166" s="315"/>
      <c r="F166" s="315"/>
      <c r="G166" s="315"/>
      <c r="H166" s="315"/>
      <c r="I166" s="314"/>
      <c r="J166" s="314"/>
      <c r="K166" s="314"/>
      <c r="L166" s="314"/>
      <c r="M166" s="314"/>
      <c r="N166" s="314"/>
      <c r="O166" s="314"/>
      <c r="P166" s="314"/>
      <c r="Q166" s="314"/>
      <c r="R166" s="314"/>
      <c r="S166" s="316"/>
      <c r="T166" s="316"/>
      <c r="U166" s="316"/>
      <c r="V166" s="317"/>
    </row>
    <row r="167" spans="1:22" ht="15" customHeight="1" x14ac:dyDescent="0.3">
      <c r="A167" s="313"/>
      <c r="B167" s="314"/>
      <c r="C167" s="314"/>
      <c r="D167" s="315"/>
      <c r="E167" s="315"/>
      <c r="F167" s="315"/>
      <c r="G167" s="315"/>
      <c r="H167" s="315"/>
      <c r="I167" s="314"/>
      <c r="J167" s="314"/>
      <c r="K167" s="314"/>
      <c r="L167" s="314"/>
      <c r="M167" s="314"/>
      <c r="N167" s="314"/>
      <c r="O167" s="314"/>
      <c r="P167" s="314"/>
      <c r="Q167" s="314"/>
      <c r="R167" s="314"/>
      <c r="S167" s="316"/>
      <c r="T167" s="316"/>
      <c r="U167" s="316"/>
      <c r="V167" s="317"/>
    </row>
    <row r="168" spans="1:22" ht="15" customHeight="1" x14ac:dyDescent="0.3">
      <c r="A168" s="313"/>
      <c r="B168" s="314"/>
      <c r="C168" s="314"/>
      <c r="D168" s="315"/>
      <c r="E168" s="315"/>
      <c r="F168" s="315"/>
      <c r="G168" s="315"/>
      <c r="H168" s="315"/>
      <c r="I168" s="314"/>
      <c r="J168" s="314"/>
      <c r="K168" s="314"/>
      <c r="L168" s="314"/>
      <c r="M168" s="314"/>
      <c r="N168" s="314"/>
      <c r="O168" s="314"/>
      <c r="P168" s="314"/>
      <c r="Q168" s="314"/>
      <c r="R168" s="314"/>
      <c r="S168" s="316"/>
      <c r="T168" s="316"/>
      <c r="U168" s="316"/>
      <c r="V168" s="317"/>
    </row>
    <row r="169" spans="1:22" ht="15" customHeight="1" x14ac:dyDescent="0.3">
      <c r="A169" s="313"/>
      <c r="B169" s="314"/>
      <c r="C169" s="314"/>
      <c r="D169" s="315"/>
      <c r="E169" s="315"/>
      <c r="F169" s="315"/>
      <c r="G169" s="315"/>
      <c r="H169" s="315"/>
      <c r="I169" s="314"/>
      <c r="J169" s="314"/>
      <c r="K169" s="314"/>
      <c r="L169" s="314"/>
      <c r="M169" s="314"/>
      <c r="N169" s="314"/>
      <c r="O169" s="314"/>
      <c r="P169" s="314"/>
      <c r="Q169" s="314"/>
      <c r="R169" s="314"/>
      <c r="S169" s="316"/>
      <c r="T169" s="316"/>
      <c r="U169" s="316"/>
      <c r="V169" s="317"/>
    </row>
    <row r="170" spans="1:22" ht="15" customHeight="1" x14ac:dyDescent="0.3">
      <c r="A170" s="313"/>
      <c r="B170" s="314"/>
      <c r="C170" s="314"/>
      <c r="D170" s="315"/>
      <c r="E170" s="315"/>
      <c r="F170" s="315"/>
      <c r="G170" s="315"/>
      <c r="H170" s="315"/>
      <c r="I170" s="314"/>
      <c r="J170" s="314"/>
      <c r="K170" s="314"/>
      <c r="L170" s="314"/>
      <c r="M170" s="314"/>
      <c r="N170" s="314"/>
      <c r="O170" s="314"/>
      <c r="P170" s="314"/>
      <c r="Q170" s="314"/>
      <c r="R170" s="314"/>
      <c r="S170" s="316"/>
      <c r="T170" s="316"/>
      <c r="U170" s="316"/>
      <c r="V170" s="317"/>
    </row>
    <row r="171" spans="1:22" ht="15" customHeight="1" x14ac:dyDescent="0.3">
      <c r="A171" s="313"/>
      <c r="B171" s="314"/>
      <c r="C171" s="314"/>
      <c r="D171" s="315"/>
      <c r="E171" s="315"/>
      <c r="F171" s="315"/>
      <c r="G171" s="315"/>
      <c r="H171" s="315"/>
      <c r="I171" s="314"/>
      <c r="J171" s="314"/>
      <c r="K171" s="314"/>
      <c r="L171" s="314"/>
      <c r="M171" s="314"/>
      <c r="N171" s="314"/>
      <c r="O171" s="314"/>
      <c r="P171" s="314"/>
      <c r="Q171" s="314"/>
      <c r="R171" s="314"/>
      <c r="S171" s="316"/>
      <c r="T171" s="316"/>
      <c r="U171" s="316"/>
      <c r="V171" s="317"/>
    </row>
    <row r="172" spans="1:22" ht="15" customHeight="1" x14ac:dyDescent="0.3">
      <c r="A172" s="313"/>
      <c r="B172" s="314"/>
      <c r="C172" s="314"/>
      <c r="D172" s="315"/>
      <c r="E172" s="315"/>
      <c r="F172" s="315"/>
      <c r="G172" s="315"/>
      <c r="H172" s="315"/>
      <c r="I172" s="314"/>
      <c r="J172" s="314"/>
      <c r="K172" s="314"/>
      <c r="L172" s="314"/>
      <c r="M172" s="314"/>
      <c r="N172" s="314"/>
      <c r="O172" s="314"/>
      <c r="P172" s="314"/>
      <c r="Q172" s="314"/>
      <c r="R172" s="314"/>
      <c r="S172" s="316"/>
      <c r="T172" s="316"/>
      <c r="U172" s="316"/>
      <c r="V172" s="317"/>
    </row>
    <row r="173" spans="1:22" ht="15" customHeight="1" x14ac:dyDescent="0.3">
      <c r="A173" s="313"/>
      <c r="B173" s="314"/>
      <c r="C173" s="314"/>
      <c r="D173" s="315"/>
      <c r="E173" s="315"/>
      <c r="F173" s="315"/>
      <c r="G173" s="315"/>
      <c r="H173" s="315"/>
      <c r="I173" s="314"/>
      <c r="J173" s="314"/>
      <c r="K173" s="314"/>
      <c r="L173" s="314"/>
      <c r="M173" s="314"/>
      <c r="N173" s="314"/>
      <c r="O173" s="314"/>
      <c r="P173" s="314"/>
      <c r="Q173" s="314"/>
      <c r="R173" s="314"/>
      <c r="S173" s="316"/>
      <c r="T173" s="316"/>
      <c r="U173" s="316"/>
      <c r="V173" s="317"/>
    </row>
    <row r="174" spans="1:22" ht="15" customHeight="1" x14ac:dyDescent="0.3">
      <c r="A174" s="313"/>
      <c r="B174" s="314"/>
      <c r="C174" s="314"/>
      <c r="D174" s="315"/>
      <c r="E174" s="315"/>
      <c r="F174" s="315"/>
      <c r="G174" s="315"/>
      <c r="H174" s="315"/>
      <c r="I174" s="314"/>
      <c r="J174" s="314"/>
      <c r="K174" s="314"/>
      <c r="L174" s="314"/>
      <c r="M174" s="314"/>
      <c r="N174" s="314"/>
      <c r="O174" s="314"/>
      <c r="P174" s="314"/>
      <c r="Q174" s="314"/>
      <c r="R174" s="314"/>
      <c r="S174" s="316"/>
      <c r="T174" s="316"/>
      <c r="U174" s="316"/>
      <c r="V174" s="317"/>
    </row>
    <row r="175" spans="1:22" ht="15" customHeight="1" x14ac:dyDescent="0.3">
      <c r="A175" s="313"/>
      <c r="B175" s="314"/>
      <c r="C175" s="314"/>
      <c r="D175" s="315"/>
      <c r="E175" s="315"/>
      <c r="F175" s="315"/>
      <c r="G175" s="315"/>
      <c r="H175" s="315"/>
      <c r="I175" s="314"/>
      <c r="J175" s="314"/>
      <c r="K175" s="314"/>
      <c r="L175" s="314"/>
      <c r="M175" s="314"/>
      <c r="N175" s="314"/>
      <c r="O175" s="314"/>
      <c r="P175" s="314"/>
      <c r="Q175" s="314"/>
      <c r="R175" s="314"/>
      <c r="S175" s="316"/>
      <c r="T175" s="316"/>
      <c r="U175" s="316"/>
      <c r="V175" s="317"/>
    </row>
    <row r="176" spans="1:22" ht="15" customHeight="1" x14ac:dyDescent="0.3">
      <c r="A176" s="313"/>
      <c r="B176" s="314"/>
      <c r="C176" s="314"/>
      <c r="D176" s="315"/>
      <c r="E176" s="315"/>
      <c r="F176" s="315"/>
      <c r="G176" s="315"/>
      <c r="H176" s="315"/>
      <c r="I176" s="314"/>
      <c r="J176" s="314"/>
      <c r="K176" s="314"/>
      <c r="L176" s="314"/>
      <c r="M176" s="314"/>
      <c r="N176" s="314"/>
      <c r="O176" s="314"/>
      <c r="P176" s="314"/>
      <c r="Q176" s="314"/>
      <c r="R176" s="314"/>
      <c r="S176" s="316"/>
      <c r="T176" s="316"/>
      <c r="U176" s="316"/>
      <c r="V176" s="317"/>
    </row>
    <row r="177" spans="1:22" ht="15" customHeight="1" x14ac:dyDescent="0.3">
      <c r="A177" s="313"/>
      <c r="B177" s="314"/>
      <c r="C177" s="314"/>
      <c r="D177" s="315"/>
      <c r="E177" s="315"/>
      <c r="F177" s="315"/>
      <c r="G177" s="315"/>
      <c r="H177" s="315"/>
      <c r="I177" s="314"/>
      <c r="J177" s="314"/>
      <c r="K177" s="314"/>
      <c r="L177" s="314"/>
      <c r="M177" s="314"/>
      <c r="N177" s="314"/>
      <c r="O177" s="314"/>
      <c r="P177" s="314"/>
      <c r="Q177" s="314"/>
      <c r="R177" s="314"/>
      <c r="S177" s="316"/>
      <c r="T177" s="316"/>
      <c r="U177" s="316"/>
      <c r="V177" s="317"/>
    </row>
    <row r="178" spans="1:22" ht="15" customHeight="1" x14ac:dyDescent="0.3">
      <c r="A178" s="313"/>
      <c r="B178" s="314"/>
      <c r="C178" s="314"/>
      <c r="D178" s="315"/>
      <c r="E178" s="315"/>
      <c r="F178" s="315"/>
      <c r="G178" s="315"/>
      <c r="H178" s="315"/>
      <c r="I178" s="314"/>
      <c r="J178" s="314"/>
      <c r="K178" s="314"/>
      <c r="L178" s="314"/>
      <c r="M178" s="314"/>
      <c r="N178" s="314"/>
      <c r="O178" s="314"/>
      <c r="P178" s="314"/>
      <c r="Q178" s="314"/>
      <c r="R178" s="314"/>
      <c r="S178" s="316"/>
      <c r="T178" s="316"/>
      <c r="U178" s="316"/>
      <c r="V178" s="317"/>
    </row>
    <row r="179" spans="1:22" ht="15" customHeight="1" x14ac:dyDescent="0.3">
      <c r="A179" s="313"/>
      <c r="B179" s="314"/>
      <c r="C179" s="314"/>
      <c r="D179" s="315"/>
      <c r="E179" s="315"/>
      <c r="F179" s="315"/>
      <c r="G179" s="315"/>
      <c r="H179" s="315"/>
      <c r="I179" s="314"/>
      <c r="J179" s="314"/>
      <c r="K179" s="314"/>
      <c r="L179" s="314"/>
      <c r="M179" s="314"/>
      <c r="N179" s="314"/>
      <c r="O179" s="314"/>
      <c r="P179" s="314"/>
      <c r="Q179" s="314"/>
      <c r="R179" s="314"/>
      <c r="S179" s="316"/>
      <c r="T179" s="316"/>
      <c r="U179" s="316"/>
      <c r="V179" s="317"/>
    </row>
    <row r="180" spans="1:22" ht="15" customHeight="1" x14ac:dyDescent="0.3">
      <c r="A180" s="313"/>
      <c r="B180" s="314"/>
      <c r="C180" s="314"/>
      <c r="D180" s="315"/>
      <c r="E180" s="315"/>
      <c r="F180" s="315"/>
      <c r="G180" s="315"/>
      <c r="H180" s="315"/>
      <c r="I180" s="314"/>
      <c r="J180" s="314"/>
      <c r="K180" s="314"/>
      <c r="L180" s="314"/>
      <c r="M180" s="314"/>
      <c r="N180" s="314"/>
      <c r="O180" s="314"/>
      <c r="P180" s="314"/>
      <c r="Q180" s="314"/>
      <c r="R180" s="314"/>
      <c r="S180" s="316"/>
      <c r="T180" s="316"/>
      <c r="U180" s="316"/>
      <c r="V180" s="317"/>
    </row>
    <row r="181" spans="1:22" ht="15" customHeight="1" x14ac:dyDescent="0.3">
      <c r="A181" s="313"/>
      <c r="B181" s="314"/>
      <c r="C181" s="314"/>
      <c r="D181" s="315"/>
      <c r="E181" s="315"/>
      <c r="F181" s="315"/>
      <c r="G181" s="315"/>
      <c r="H181" s="315"/>
      <c r="I181" s="314"/>
      <c r="J181" s="314"/>
      <c r="K181" s="314"/>
      <c r="L181" s="314"/>
      <c r="M181" s="314"/>
      <c r="N181" s="314"/>
      <c r="O181" s="314"/>
      <c r="P181" s="314"/>
      <c r="Q181" s="314"/>
      <c r="R181" s="314"/>
      <c r="S181" s="316"/>
      <c r="T181" s="316"/>
      <c r="U181" s="316"/>
      <c r="V181" s="317"/>
    </row>
    <row r="182" spans="1:22" ht="15" customHeight="1" x14ac:dyDescent="0.3">
      <c r="A182" s="313"/>
      <c r="B182" s="314"/>
      <c r="C182" s="314"/>
      <c r="D182" s="315"/>
      <c r="E182" s="315"/>
      <c r="F182" s="315"/>
      <c r="G182" s="315"/>
      <c r="H182" s="315"/>
      <c r="I182" s="314"/>
      <c r="J182" s="314"/>
      <c r="K182" s="314"/>
      <c r="L182" s="314"/>
      <c r="M182" s="314"/>
      <c r="N182" s="314"/>
      <c r="O182" s="314"/>
      <c r="P182" s="314"/>
      <c r="Q182" s="314"/>
      <c r="R182" s="314"/>
      <c r="S182" s="316"/>
      <c r="T182" s="316"/>
      <c r="U182" s="316"/>
      <c r="V182" s="317"/>
    </row>
    <row r="183" spans="1:22" ht="15" customHeight="1" x14ac:dyDescent="0.3">
      <c r="A183" s="313"/>
      <c r="B183" s="314"/>
      <c r="C183" s="314"/>
      <c r="D183" s="315"/>
      <c r="E183" s="315"/>
      <c r="F183" s="315"/>
      <c r="G183" s="315"/>
      <c r="H183" s="315"/>
      <c r="I183" s="314"/>
      <c r="J183" s="314"/>
      <c r="K183" s="314"/>
      <c r="L183" s="314"/>
      <c r="M183" s="314"/>
      <c r="N183" s="314"/>
      <c r="O183" s="314"/>
      <c r="P183" s="314"/>
      <c r="Q183" s="314"/>
      <c r="R183" s="314"/>
      <c r="S183" s="316"/>
      <c r="T183" s="316"/>
      <c r="U183" s="316"/>
      <c r="V183" s="317"/>
    </row>
    <row r="184" spans="1:22" ht="15" customHeight="1" x14ac:dyDescent="0.3">
      <c r="A184" s="313"/>
      <c r="B184" s="314"/>
      <c r="C184" s="314"/>
      <c r="D184" s="315"/>
      <c r="E184" s="315"/>
      <c r="F184" s="315"/>
      <c r="G184" s="315"/>
      <c r="H184" s="315"/>
      <c r="I184" s="314"/>
      <c r="J184" s="314"/>
      <c r="K184" s="314"/>
      <c r="L184" s="314"/>
      <c r="M184" s="314"/>
      <c r="N184" s="314"/>
      <c r="O184" s="314"/>
      <c r="P184" s="314"/>
      <c r="Q184" s="314"/>
      <c r="R184" s="314"/>
      <c r="S184" s="316"/>
      <c r="T184" s="316"/>
      <c r="U184" s="316"/>
      <c r="V184" s="317"/>
    </row>
    <row r="185" spans="1:22" ht="15" customHeight="1" x14ac:dyDescent="0.3">
      <c r="A185" s="313"/>
      <c r="B185" s="314"/>
      <c r="C185" s="314"/>
      <c r="D185" s="315"/>
      <c r="E185" s="315"/>
      <c r="F185" s="315"/>
      <c r="G185" s="315"/>
      <c r="H185" s="315"/>
      <c r="I185" s="314"/>
      <c r="J185" s="314"/>
      <c r="K185" s="314"/>
      <c r="L185" s="314"/>
      <c r="M185" s="314"/>
      <c r="N185" s="314"/>
      <c r="O185" s="314"/>
      <c r="P185" s="314"/>
      <c r="Q185" s="314"/>
      <c r="R185" s="314"/>
      <c r="S185" s="316"/>
      <c r="T185" s="316"/>
      <c r="U185" s="316"/>
      <c r="V185" s="317"/>
    </row>
    <row r="186" spans="1:22" ht="15" customHeight="1" x14ac:dyDescent="0.3">
      <c r="A186" s="313"/>
      <c r="B186" s="314"/>
      <c r="C186" s="314"/>
      <c r="D186" s="315"/>
      <c r="E186" s="315"/>
      <c r="F186" s="315"/>
      <c r="G186" s="315"/>
      <c r="H186" s="315"/>
      <c r="I186" s="314"/>
      <c r="J186" s="314"/>
      <c r="K186" s="314"/>
      <c r="L186" s="314"/>
      <c r="M186" s="314"/>
      <c r="N186" s="314"/>
      <c r="O186" s="314"/>
      <c r="P186" s="314"/>
      <c r="Q186" s="314"/>
      <c r="R186" s="314"/>
      <c r="S186" s="316"/>
      <c r="T186" s="316"/>
      <c r="U186" s="316"/>
      <c r="V186" s="317"/>
    </row>
    <row r="187" spans="1:22" ht="15" customHeight="1" x14ac:dyDescent="0.3">
      <c r="A187" s="313"/>
      <c r="B187" s="314"/>
      <c r="C187" s="314"/>
      <c r="D187" s="315"/>
      <c r="E187" s="315"/>
      <c r="F187" s="315"/>
      <c r="G187" s="315"/>
      <c r="H187" s="315"/>
      <c r="I187" s="314"/>
      <c r="J187" s="314"/>
      <c r="K187" s="314"/>
      <c r="L187" s="314"/>
      <c r="M187" s="314"/>
      <c r="N187" s="314"/>
      <c r="O187" s="314"/>
      <c r="P187" s="314"/>
      <c r="Q187" s="314"/>
      <c r="R187" s="314"/>
      <c r="S187" s="316"/>
      <c r="T187" s="316"/>
      <c r="U187" s="316"/>
      <c r="V187" s="317"/>
    </row>
    <row r="188" spans="1:22" ht="15" customHeight="1" x14ac:dyDescent="0.3">
      <c r="A188" s="313"/>
      <c r="B188" s="314"/>
      <c r="C188" s="314"/>
      <c r="D188" s="315"/>
      <c r="E188" s="315"/>
      <c r="F188" s="315"/>
      <c r="G188" s="315"/>
      <c r="H188" s="315"/>
      <c r="I188" s="314"/>
      <c r="J188" s="314"/>
      <c r="K188" s="314"/>
      <c r="L188" s="314"/>
      <c r="M188" s="314"/>
      <c r="N188" s="314"/>
      <c r="O188" s="314"/>
      <c r="P188" s="314"/>
      <c r="Q188" s="314"/>
      <c r="R188" s="314"/>
      <c r="S188" s="316"/>
      <c r="T188" s="316"/>
      <c r="U188" s="316"/>
      <c r="V188" s="317"/>
    </row>
    <row r="189" spans="1:22" ht="15" customHeight="1" x14ac:dyDescent="0.3">
      <c r="A189" s="313"/>
      <c r="B189" s="314"/>
      <c r="C189" s="314"/>
      <c r="D189" s="315"/>
      <c r="E189" s="315"/>
      <c r="F189" s="315"/>
      <c r="G189" s="315"/>
      <c r="H189" s="315"/>
      <c r="I189" s="314"/>
      <c r="J189" s="314"/>
      <c r="K189" s="314"/>
      <c r="L189" s="314"/>
      <c r="M189" s="314"/>
      <c r="N189" s="314"/>
      <c r="O189" s="314"/>
      <c r="P189" s="314"/>
      <c r="Q189" s="314"/>
      <c r="R189" s="314"/>
      <c r="S189" s="316"/>
      <c r="T189" s="316"/>
      <c r="U189" s="316"/>
      <c r="V189" s="317"/>
    </row>
    <row r="190" spans="1:22" ht="15" customHeight="1" x14ac:dyDescent="0.3">
      <c r="A190" s="313"/>
      <c r="B190" s="314"/>
      <c r="C190" s="314"/>
      <c r="D190" s="315"/>
      <c r="E190" s="315"/>
      <c r="F190" s="315"/>
      <c r="G190" s="315"/>
      <c r="H190" s="315"/>
      <c r="I190" s="314"/>
      <c r="J190" s="314"/>
      <c r="K190" s="314"/>
      <c r="L190" s="314"/>
      <c r="M190" s="314"/>
      <c r="N190" s="314"/>
      <c r="O190" s="314"/>
      <c r="P190" s="314"/>
      <c r="Q190" s="314"/>
      <c r="R190" s="314"/>
      <c r="S190" s="316"/>
      <c r="T190" s="316"/>
      <c r="U190" s="316"/>
      <c r="V190" s="317"/>
    </row>
    <row r="191" spans="1:22" ht="15" customHeight="1" x14ac:dyDescent="0.3">
      <c r="A191" s="313"/>
      <c r="B191" s="314"/>
      <c r="C191" s="314"/>
      <c r="D191" s="315"/>
      <c r="E191" s="315"/>
      <c r="F191" s="315"/>
      <c r="G191" s="315"/>
      <c r="H191" s="315"/>
      <c r="I191" s="314"/>
      <c r="J191" s="314"/>
      <c r="K191" s="314"/>
      <c r="L191" s="314"/>
      <c r="M191" s="314"/>
      <c r="N191" s="314"/>
      <c r="O191" s="314"/>
      <c r="P191" s="314"/>
      <c r="Q191" s="314"/>
      <c r="R191" s="314"/>
      <c r="S191" s="316"/>
      <c r="T191" s="316"/>
      <c r="U191" s="316"/>
      <c r="V191" s="317"/>
    </row>
    <row r="192" spans="1:22" ht="15" customHeight="1" x14ac:dyDescent="0.3">
      <c r="A192" s="313"/>
      <c r="B192" s="314"/>
      <c r="C192" s="314"/>
      <c r="D192" s="315"/>
      <c r="E192" s="315"/>
      <c r="F192" s="315"/>
      <c r="G192" s="315"/>
      <c r="H192" s="315"/>
      <c r="I192" s="314"/>
      <c r="J192" s="314"/>
      <c r="K192" s="314"/>
      <c r="L192" s="314"/>
      <c r="M192" s="314"/>
      <c r="N192" s="314"/>
      <c r="O192" s="314"/>
      <c r="P192" s="314"/>
      <c r="Q192" s="314"/>
      <c r="R192" s="314"/>
      <c r="S192" s="316"/>
      <c r="T192" s="316"/>
      <c r="U192" s="316"/>
      <c r="V192" s="317"/>
    </row>
    <row r="193" spans="1:22" ht="15" customHeight="1" x14ac:dyDescent="0.3">
      <c r="A193" s="313"/>
      <c r="B193" s="314"/>
      <c r="C193" s="314"/>
      <c r="D193" s="315"/>
      <c r="E193" s="315"/>
      <c r="F193" s="315"/>
      <c r="G193" s="315"/>
      <c r="H193" s="315"/>
      <c r="I193" s="314"/>
      <c r="J193" s="314"/>
      <c r="K193" s="314"/>
      <c r="L193" s="314"/>
      <c r="M193" s="314"/>
      <c r="N193" s="314"/>
      <c r="O193" s="314"/>
      <c r="P193" s="314"/>
      <c r="Q193" s="314"/>
      <c r="R193" s="314"/>
      <c r="S193" s="316"/>
      <c r="T193" s="316"/>
      <c r="U193" s="316"/>
      <c r="V193" s="317"/>
    </row>
    <row r="194" spans="1:22" ht="15" customHeight="1" x14ac:dyDescent="0.3">
      <c r="A194" s="313"/>
      <c r="B194" s="314"/>
      <c r="C194" s="314"/>
      <c r="D194" s="315"/>
      <c r="E194" s="315"/>
      <c r="F194" s="315"/>
      <c r="G194" s="315"/>
      <c r="H194" s="315"/>
      <c r="I194" s="314"/>
      <c r="J194" s="314"/>
      <c r="K194" s="314"/>
      <c r="L194" s="314"/>
      <c r="M194" s="314"/>
      <c r="N194" s="314"/>
      <c r="O194" s="314"/>
      <c r="P194" s="314"/>
      <c r="Q194" s="314"/>
      <c r="R194" s="314"/>
      <c r="S194" s="316"/>
      <c r="T194" s="316"/>
      <c r="U194" s="316"/>
      <c r="V194" s="317"/>
    </row>
    <row r="195" spans="1:22" ht="15" customHeight="1" x14ac:dyDescent="0.3">
      <c r="A195" s="313"/>
      <c r="B195" s="314"/>
      <c r="C195" s="314"/>
      <c r="D195" s="315"/>
      <c r="E195" s="315"/>
      <c r="F195" s="315"/>
      <c r="G195" s="315"/>
      <c r="H195" s="315"/>
      <c r="I195" s="314"/>
      <c r="J195" s="314"/>
      <c r="K195" s="314"/>
      <c r="L195" s="314"/>
      <c r="M195" s="314"/>
      <c r="N195" s="314"/>
      <c r="O195" s="314"/>
      <c r="P195" s="314"/>
      <c r="Q195" s="314"/>
      <c r="R195" s="314"/>
      <c r="S195" s="316"/>
      <c r="T195" s="316"/>
      <c r="U195" s="316"/>
      <c r="V195" s="317"/>
    </row>
    <row r="196" spans="1:22" ht="15" customHeight="1" x14ac:dyDescent="0.3">
      <c r="A196" s="313"/>
      <c r="B196" s="314"/>
      <c r="C196" s="314"/>
      <c r="D196" s="315"/>
      <c r="E196" s="315"/>
      <c r="F196" s="315"/>
      <c r="G196" s="315"/>
      <c r="H196" s="315"/>
      <c r="I196" s="314"/>
      <c r="J196" s="314"/>
      <c r="K196" s="314"/>
      <c r="L196" s="314"/>
      <c r="M196" s="314"/>
      <c r="N196" s="314"/>
      <c r="O196" s="314"/>
      <c r="P196" s="314"/>
      <c r="Q196" s="314"/>
      <c r="R196" s="314"/>
      <c r="S196" s="316"/>
      <c r="T196" s="316"/>
      <c r="U196" s="316"/>
      <c r="V196" s="317"/>
    </row>
    <row r="197" spans="1:22" ht="15" customHeight="1" x14ac:dyDescent="0.3">
      <c r="A197" s="313"/>
      <c r="B197" s="314"/>
      <c r="C197" s="314"/>
      <c r="D197" s="315"/>
      <c r="E197" s="315"/>
      <c r="F197" s="315"/>
      <c r="G197" s="315"/>
      <c r="H197" s="315"/>
      <c r="I197" s="314"/>
      <c r="J197" s="314"/>
      <c r="K197" s="314"/>
      <c r="L197" s="314"/>
      <c r="M197" s="314"/>
      <c r="N197" s="314"/>
      <c r="O197" s="314"/>
      <c r="P197" s="314"/>
      <c r="Q197" s="314"/>
      <c r="R197" s="314"/>
      <c r="S197" s="316"/>
      <c r="T197" s="316"/>
      <c r="U197" s="316"/>
      <c r="V197" s="317"/>
    </row>
    <row r="198" spans="1:22" ht="15" customHeight="1" x14ac:dyDescent="0.3">
      <c r="A198" s="313"/>
      <c r="B198" s="314"/>
      <c r="C198" s="314"/>
      <c r="D198" s="315"/>
      <c r="E198" s="315"/>
      <c r="F198" s="315"/>
      <c r="G198" s="315"/>
      <c r="H198" s="315"/>
      <c r="I198" s="314"/>
      <c r="J198" s="314"/>
      <c r="K198" s="314"/>
      <c r="L198" s="314"/>
      <c r="M198" s="314"/>
      <c r="N198" s="314"/>
      <c r="O198" s="314"/>
      <c r="P198" s="314"/>
      <c r="Q198" s="314"/>
      <c r="R198" s="314"/>
      <c r="S198" s="316"/>
      <c r="T198" s="316"/>
      <c r="U198" s="316"/>
      <c r="V198" s="317"/>
    </row>
    <row r="199" spans="1:22" ht="15" customHeight="1" x14ac:dyDescent="0.3">
      <c r="A199" s="313"/>
      <c r="B199" s="314"/>
      <c r="C199" s="314"/>
      <c r="D199" s="315"/>
      <c r="E199" s="315"/>
      <c r="F199" s="315"/>
      <c r="G199" s="315"/>
      <c r="H199" s="315"/>
      <c r="I199" s="314"/>
      <c r="J199" s="314"/>
      <c r="K199" s="314"/>
      <c r="L199" s="314"/>
      <c r="M199" s="314"/>
      <c r="N199" s="314"/>
      <c r="O199" s="314"/>
      <c r="P199" s="314"/>
      <c r="Q199" s="314"/>
      <c r="R199" s="314"/>
      <c r="S199" s="316"/>
      <c r="T199" s="316"/>
      <c r="U199" s="316"/>
      <c r="V199" s="317"/>
    </row>
    <row r="200" spans="1:22" ht="15" customHeight="1" x14ac:dyDescent="0.3">
      <c r="A200" s="313"/>
      <c r="B200" s="314"/>
      <c r="C200" s="314"/>
      <c r="D200" s="315"/>
      <c r="E200" s="315"/>
      <c r="F200" s="315"/>
      <c r="G200" s="315"/>
      <c r="H200" s="315"/>
      <c r="I200" s="314"/>
      <c r="J200" s="314"/>
      <c r="K200" s="314"/>
      <c r="L200" s="314"/>
      <c r="M200" s="314"/>
      <c r="N200" s="314"/>
      <c r="O200" s="314"/>
      <c r="P200" s="314"/>
      <c r="Q200" s="314"/>
      <c r="R200" s="314"/>
      <c r="S200" s="316"/>
      <c r="T200" s="316"/>
      <c r="U200" s="316"/>
      <c r="V200" s="317"/>
    </row>
    <row r="201" spans="1:22" ht="15" customHeight="1" x14ac:dyDescent="0.3">
      <c r="A201" s="313"/>
      <c r="B201" s="312"/>
      <c r="C201" s="318"/>
      <c r="D201" s="319"/>
      <c r="E201" s="320"/>
      <c r="F201" s="320"/>
      <c r="G201" s="320"/>
      <c r="H201" s="320"/>
      <c r="I201" s="321"/>
      <c r="J201" s="321"/>
      <c r="K201" s="314"/>
      <c r="L201" s="314"/>
      <c r="M201" s="314"/>
      <c r="N201" s="314"/>
      <c r="O201" s="314"/>
      <c r="P201" s="314"/>
      <c r="Q201" s="314"/>
      <c r="R201" s="314"/>
      <c r="S201" s="316"/>
      <c r="T201" s="316"/>
      <c r="U201" s="316"/>
      <c r="V201" s="317"/>
    </row>
    <row r="202" spans="1:22" ht="15" customHeight="1" x14ac:dyDescent="0.3">
      <c r="A202" s="313"/>
      <c r="B202" s="312"/>
      <c r="C202" s="318"/>
      <c r="D202" s="319"/>
      <c r="E202" s="320"/>
      <c r="F202" s="320"/>
      <c r="G202" s="320"/>
      <c r="H202" s="320"/>
      <c r="I202" s="321"/>
      <c r="J202" s="321"/>
      <c r="K202" s="314"/>
      <c r="L202" s="314"/>
      <c r="M202" s="314"/>
      <c r="N202" s="314"/>
      <c r="O202" s="314"/>
      <c r="P202" s="314"/>
      <c r="Q202" s="314"/>
      <c r="R202" s="314"/>
      <c r="S202" s="316"/>
      <c r="T202" s="316"/>
      <c r="U202" s="316"/>
      <c r="V202" s="317"/>
    </row>
    <row r="203" spans="1:22" ht="15" customHeight="1" x14ac:dyDescent="0.3">
      <c r="A203" s="313"/>
      <c r="B203" s="312"/>
      <c r="C203" s="318"/>
      <c r="D203" s="319"/>
      <c r="E203" s="320"/>
      <c r="F203" s="320"/>
      <c r="G203" s="320"/>
      <c r="H203" s="320"/>
      <c r="I203" s="321"/>
      <c r="J203" s="321"/>
      <c r="K203" s="314"/>
      <c r="L203" s="314"/>
      <c r="M203" s="314"/>
      <c r="N203" s="314"/>
      <c r="O203" s="314"/>
      <c r="P203" s="314"/>
      <c r="Q203" s="314"/>
      <c r="R203" s="314"/>
      <c r="S203" s="316"/>
      <c r="T203" s="316"/>
      <c r="U203" s="316"/>
      <c r="V203" s="317"/>
    </row>
    <row r="204" spans="1:22" ht="15" customHeight="1" x14ac:dyDescent="0.3">
      <c r="A204" s="313"/>
      <c r="B204" s="312"/>
      <c r="C204" s="318"/>
      <c r="D204" s="319"/>
      <c r="E204" s="320"/>
      <c r="F204" s="320"/>
      <c r="G204" s="320"/>
      <c r="H204" s="320"/>
      <c r="I204" s="321"/>
      <c r="J204" s="321"/>
      <c r="K204" s="314"/>
      <c r="L204" s="314"/>
      <c r="M204" s="314"/>
      <c r="N204" s="314"/>
      <c r="O204" s="314"/>
      <c r="P204" s="314"/>
      <c r="Q204" s="314"/>
      <c r="R204" s="314"/>
      <c r="S204" s="316"/>
      <c r="T204" s="316"/>
      <c r="U204" s="316"/>
      <c r="V204" s="317"/>
    </row>
    <row r="205" spans="1:22" ht="15" customHeight="1" x14ac:dyDescent="0.3">
      <c r="A205" s="313"/>
      <c r="B205" s="312"/>
      <c r="C205" s="318"/>
      <c r="D205" s="319"/>
      <c r="E205" s="320"/>
      <c r="F205" s="320"/>
      <c r="G205" s="320"/>
      <c r="H205" s="320"/>
      <c r="I205" s="321"/>
      <c r="J205" s="321"/>
      <c r="K205" s="314"/>
      <c r="L205" s="314"/>
      <c r="M205" s="314"/>
      <c r="N205" s="314"/>
      <c r="O205" s="314"/>
      <c r="P205" s="314"/>
      <c r="Q205" s="314"/>
      <c r="R205" s="314"/>
      <c r="S205" s="316"/>
      <c r="T205" s="316"/>
      <c r="U205" s="316"/>
      <c r="V205" s="317"/>
    </row>
    <row r="206" spans="1:22" ht="15" customHeight="1" x14ac:dyDescent="0.3">
      <c r="A206" s="313"/>
      <c r="B206" s="312"/>
      <c r="C206" s="318"/>
      <c r="D206" s="319"/>
      <c r="E206" s="320"/>
      <c r="F206" s="320"/>
      <c r="G206" s="320"/>
      <c r="H206" s="320"/>
      <c r="I206" s="321"/>
      <c r="J206" s="321"/>
      <c r="K206" s="314"/>
      <c r="L206" s="314"/>
      <c r="M206" s="314"/>
      <c r="N206" s="314"/>
      <c r="O206" s="314"/>
      <c r="P206" s="314"/>
      <c r="Q206" s="314"/>
      <c r="R206" s="314"/>
      <c r="S206" s="316"/>
      <c r="T206" s="316"/>
      <c r="U206" s="316"/>
      <c r="V206" s="317"/>
    </row>
    <row r="207" spans="1:22" ht="15" customHeight="1" x14ac:dyDescent="0.3">
      <c r="A207" s="313"/>
      <c r="B207" s="312"/>
      <c r="C207" s="318"/>
      <c r="D207" s="319"/>
      <c r="E207" s="320"/>
      <c r="F207" s="320"/>
      <c r="G207" s="320"/>
      <c r="H207" s="320"/>
      <c r="I207" s="321"/>
      <c r="J207" s="321"/>
      <c r="K207" s="314"/>
      <c r="L207" s="314"/>
      <c r="M207" s="314"/>
      <c r="N207" s="314"/>
      <c r="O207" s="314"/>
      <c r="P207" s="314"/>
      <c r="Q207" s="314"/>
      <c r="R207" s="314"/>
      <c r="S207" s="316"/>
      <c r="T207" s="316"/>
      <c r="U207" s="316"/>
      <c r="V207" s="317"/>
    </row>
    <row r="208" spans="1:22" ht="15" customHeight="1" x14ac:dyDescent="0.3">
      <c r="A208" s="313"/>
      <c r="B208" s="312"/>
      <c r="C208" s="318"/>
      <c r="D208" s="319"/>
      <c r="E208" s="320"/>
      <c r="F208" s="320"/>
      <c r="G208" s="320"/>
      <c r="H208" s="320"/>
      <c r="I208" s="321"/>
      <c r="J208" s="321"/>
      <c r="K208" s="314"/>
      <c r="L208" s="314"/>
      <c r="M208" s="314"/>
      <c r="N208" s="314"/>
      <c r="O208" s="314"/>
      <c r="P208" s="314"/>
      <c r="Q208" s="314"/>
      <c r="R208" s="314"/>
      <c r="S208" s="316"/>
      <c r="T208" s="316"/>
      <c r="U208" s="316"/>
      <c r="V208" s="317"/>
    </row>
    <row r="209" spans="1:22" ht="15" customHeight="1" x14ac:dyDescent="0.3">
      <c r="A209" s="313"/>
      <c r="B209" s="312"/>
      <c r="C209" s="318"/>
      <c r="D209" s="319"/>
      <c r="E209" s="320"/>
      <c r="F209" s="320"/>
      <c r="G209" s="320"/>
      <c r="H209" s="320"/>
      <c r="I209" s="321"/>
      <c r="J209" s="321"/>
      <c r="K209" s="314"/>
      <c r="L209" s="314"/>
      <c r="M209" s="314"/>
      <c r="N209" s="314"/>
      <c r="O209" s="314"/>
      <c r="P209" s="314"/>
      <c r="Q209" s="314"/>
      <c r="R209" s="314"/>
      <c r="S209" s="316"/>
      <c r="T209" s="316"/>
      <c r="U209" s="316"/>
      <c r="V209" s="317"/>
    </row>
    <row r="210" spans="1:22" ht="15" customHeight="1" x14ac:dyDescent="0.3">
      <c r="A210" s="313"/>
      <c r="B210" s="312"/>
      <c r="C210" s="318"/>
      <c r="D210" s="319"/>
      <c r="E210" s="320"/>
      <c r="F210" s="320"/>
      <c r="G210" s="320"/>
      <c r="H210" s="320"/>
      <c r="I210" s="321"/>
      <c r="J210" s="321"/>
      <c r="K210" s="314"/>
      <c r="L210" s="314"/>
      <c r="M210" s="314"/>
      <c r="N210" s="314"/>
      <c r="O210" s="314"/>
      <c r="P210" s="314"/>
      <c r="Q210" s="314"/>
      <c r="R210" s="314"/>
      <c r="S210" s="316"/>
      <c r="T210" s="316"/>
      <c r="U210" s="316"/>
      <c r="V210" s="317"/>
    </row>
    <row r="211" spans="1:22" ht="15" customHeight="1" x14ac:dyDescent="0.3">
      <c r="A211" s="313"/>
      <c r="B211" s="312"/>
      <c r="C211" s="318"/>
      <c r="D211" s="319"/>
      <c r="E211" s="320"/>
      <c r="F211" s="320"/>
      <c r="G211" s="320"/>
      <c r="H211" s="320"/>
      <c r="I211" s="321"/>
      <c r="J211" s="321"/>
      <c r="K211" s="314"/>
      <c r="L211" s="314"/>
      <c r="M211" s="314"/>
      <c r="N211" s="314"/>
      <c r="O211" s="314"/>
      <c r="P211" s="314"/>
      <c r="Q211" s="314"/>
      <c r="R211" s="314"/>
      <c r="S211" s="316"/>
      <c r="T211" s="316"/>
      <c r="U211" s="316"/>
      <c r="V211" s="317"/>
    </row>
    <row r="212" spans="1:22" ht="15" customHeight="1" x14ac:dyDescent="0.3">
      <c r="A212" s="313"/>
      <c r="B212" s="312"/>
      <c r="C212" s="318"/>
      <c r="D212" s="319"/>
      <c r="E212" s="320"/>
      <c r="F212" s="320"/>
      <c r="G212" s="320"/>
      <c r="H212" s="320"/>
      <c r="I212" s="321"/>
      <c r="J212" s="321"/>
      <c r="K212" s="314"/>
      <c r="L212" s="314"/>
      <c r="M212" s="314"/>
      <c r="N212" s="314"/>
      <c r="O212" s="314"/>
      <c r="P212" s="314"/>
      <c r="Q212" s="314"/>
      <c r="R212" s="314"/>
      <c r="S212" s="316"/>
      <c r="T212" s="316"/>
      <c r="U212" s="316"/>
      <c r="V212" s="317"/>
    </row>
    <row r="213" spans="1:22" ht="15" customHeight="1" x14ac:dyDescent="0.3">
      <c r="A213" s="313"/>
      <c r="B213" s="312"/>
      <c r="C213" s="318"/>
      <c r="D213" s="319"/>
      <c r="E213" s="320"/>
      <c r="F213" s="320"/>
      <c r="G213" s="320"/>
      <c r="H213" s="320"/>
      <c r="I213" s="321"/>
      <c r="J213" s="321"/>
      <c r="K213" s="314"/>
      <c r="L213" s="314"/>
      <c r="M213" s="314"/>
      <c r="N213" s="314"/>
      <c r="O213" s="314"/>
      <c r="P213" s="314"/>
      <c r="Q213" s="314"/>
      <c r="R213" s="314"/>
      <c r="S213" s="316"/>
      <c r="T213" s="316"/>
      <c r="U213" s="316"/>
      <c r="V213" s="317"/>
    </row>
    <row r="214" spans="1:22" ht="15" customHeight="1" x14ac:dyDescent="0.3">
      <c r="A214" s="313"/>
      <c r="B214" s="312"/>
      <c r="C214" s="318"/>
      <c r="D214" s="319"/>
      <c r="E214" s="320"/>
      <c r="F214" s="320"/>
      <c r="G214" s="320"/>
      <c r="H214" s="320"/>
      <c r="I214" s="321"/>
      <c r="J214" s="321"/>
      <c r="K214" s="314"/>
      <c r="L214" s="314"/>
      <c r="M214" s="314"/>
      <c r="N214" s="314"/>
      <c r="O214" s="314"/>
      <c r="P214" s="314"/>
      <c r="Q214" s="314"/>
      <c r="R214" s="314"/>
      <c r="S214" s="316"/>
      <c r="T214" s="316"/>
      <c r="U214" s="316"/>
      <c r="V214" s="317"/>
    </row>
    <row r="215" spans="1:22" ht="15" customHeight="1" x14ac:dyDescent="0.3">
      <c r="A215" s="313"/>
      <c r="B215" s="312"/>
      <c r="C215" s="318"/>
      <c r="D215" s="319"/>
      <c r="E215" s="320"/>
      <c r="F215" s="320"/>
      <c r="G215" s="320"/>
      <c r="H215" s="320"/>
      <c r="I215" s="321"/>
      <c r="J215" s="321"/>
      <c r="K215" s="314"/>
      <c r="L215" s="314"/>
      <c r="M215" s="314"/>
      <c r="N215" s="314"/>
      <c r="O215" s="314"/>
      <c r="P215" s="314"/>
      <c r="Q215" s="314"/>
      <c r="R215" s="314"/>
      <c r="S215" s="316"/>
      <c r="T215" s="316"/>
      <c r="U215" s="316"/>
      <c r="V215" s="317"/>
    </row>
    <row r="216" spans="1:22" ht="15" customHeight="1" x14ac:dyDescent="0.3">
      <c r="A216" s="313"/>
      <c r="B216" s="312"/>
      <c r="C216" s="318"/>
      <c r="D216" s="319"/>
      <c r="E216" s="320"/>
      <c r="F216" s="320"/>
      <c r="G216" s="320"/>
      <c r="H216" s="320"/>
      <c r="I216" s="321"/>
      <c r="J216" s="321"/>
      <c r="K216" s="314"/>
      <c r="L216" s="314"/>
      <c r="M216" s="314"/>
      <c r="N216" s="314"/>
      <c r="O216" s="314"/>
      <c r="P216" s="314"/>
      <c r="Q216" s="314"/>
      <c r="R216" s="314"/>
      <c r="S216" s="316"/>
      <c r="T216" s="316"/>
      <c r="U216" s="316"/>
      <c r="V216" s="317"/>
    </row>
    <row r="217" spans="1:22" ht="15" customHeight="1" x14ac:dyDescent="0.3">
      <c r="A217" s="313"/>
      <c r="B217" s="312"/>
      <c r="C217" s="318"/>
      <c r="D217" s="319"/>
      <c r="E217" s="320"/>
      <c r="F217" s="320"/>
      <c r="G217" s="320"/>
      <c r="H217" s="320"/>
      <c r="I217" s="321"/>
      <c r="J217" s="321"/>
      <c r="K217" s="314"/>
      <c r="L217" s="314"/>
      <c r="M217" s="314"/>
      <c r="N217" s="314"/>
      <c r="O217" s="314"/>
      <c r="P217" s="314"/>
      <c r="Q217" s="314"/>
      <c r="R217" s="314"/>
      <c r="S217" s="316"/>
      <c r="T217" s="316"/>
      <c r="U217" s="316"/>
      <c r="V217" s="317"/>
    </row>
    <row r="218" spans="1:22" ht="15" customHeight="1" x14ac:dyDescent="0.3">
      <c r="A218" s="313"/>
      <c r="B218" s="312"/>
      <c r="C218" s="318"/>
      <c r="D218" s="319"/>
      <c r="E218" s="320"/>
      <c r="F218" s="320"/>
      <c r="G218" s="320"/>
      <c r="H218" s="320"/>
      <c r="I218" s="321"/>
      <c r="J218" s="321"/>
      <c r="K218" s="314"/>
      <c r="L218" s="314"/>
      <c r="M218" s="314"/>
      <c r="N218" s="314"/>
      <c r="O218" s="314"/>
      <c r="P218" s="314"/>
      <c r="Q218" s="314"/>
      <c r="R218" s="314"/>
      <c r="S218" s="316"/>
      <c r="T218" s="316"/>
      <c r="U218" s="316"/>
      <c r="V218" s="317"/>
    </row>
    <row r="219" spans="1:22" ht="15" customHeight="1" x14ac:dyDescent="0.3">
      <c r="A219" s="313"/>
      <c r="B219" s="312"/>
      <c r="C219" s="318"/>
      <c r="D219" s="319"/>
      <c r="E219" s="320"/>
      <c r="F219" s="320"/>
      <c r="G219" s="320"/>
      <c r="H219" s="320"/>
      <c r="I219" s="321"/>
      <c r="J219" s="321"/>
      <c r="K219" s="314"/>
      <c r="L219" s="314"/>
      <c r="M219" s="314"/>
      <c r="N219" s="314"/>
      <c r="O219" s="314"/>
      <c r="P219" s="314"/>
      <c r="Q219" s="314"/>
      <c r="R219" s="314"/>
      <c r="S219" s="316"/>
      <c r="T219" s="316"/>
      <c r="U219" s="316"/>
      <c r="V219" s="317"/>
    </row>
    <row r="220" spans="1:22" ht="15" customHeight="1" x14ac:dyDescent="0.3">
      <c r="A220" s="313"/>
      <c r="B220" s="312"/>
      <c r="C220" s="318"/>
      <c r="D220" s="319"/>
      <c r="E220" s="320"/>
      <c r="F220" s="320"/>
      <c r="G220" s="320"/>
      <c r="H220" s="320"/>
      <c r="I220" s="321"/>
      <c r="J220" s="321"/>
      <c r="K220" s="314"/>
      <c r="L220" s="314"/>
      <c r="M220" s="314"/>
      <c r="N220" s="314"/>
      <c r="O220" s="314"/>
      <c r="P220" s="314"/>
      <c r="Q220" s="314"/>
      <c r="R220" s="314"/>
      <c r="S220" s="316"/>
      <c r="T220" s="316"/>
      <c r="U220" s="316"/>
      <c r="V220" s="317"/>
    </row>
    <row r="221" spans="1:22" ht="15" customHeight="1" x14ac:dyDescent="0.3">
      <c r="A221" s="313"/>
      <c r="B221" s="312"/>
      <c r="C221" s="318"/>
      <c r="D221" s="319"/>
      <c r="E221" s="320"/>
      <c r="F221" s="320"/>
      <c r="G221" s="320"/>
      <c r="H221" s="320"/>
      <c r="I221" s="321"/>
      <c r="J221" s="321"/>
      <c r="K221" s="314"/>
      <c r="L221" s="314"/>
      <c r="M221" s="314"/>
      <c r="N221" s="314"/>
      <c r="O221" s="314"/>
      <c r="P221" s="314"/>
      <c r="Q221" s="314"/>
      <c r="R221" s="314"/>
      <c r="S221" s="316"/>
      <c r="T221" s="316"/>
      <c r="U221" s="316"/>
      <c r="V221" s="317"/>
    </row>
    <row r="222" spans="1:22" ht="15" customHeight="1" x14ac:dyDescent="0.3">
      <c r="A222" s="313"/>
      <c r="B222" s="312"/>
      <c r="C222" s="318"/>
      <c r="D222" s="319"/>
      <c r="E222" s="320"/>
      <c r="F222" s="320"/>
      <c r="G222" s="320"/>
      <c r="H222" s="320"/>
      <c r="I222" s="321"/>
      <c r="J222" s="321"/>
      <c r="K222" s="314"/>
      <c r="L222" s="314"/>
      <c r="M222" s="314"/>
      <c r="N222" s="314"/>
      <c r="O222" s="314"/>
      <c r="P222" s="314"/>
      <c r="Q222" s="314"/>
      <c r="R222" s="314"/>
      <c r="S222" s="316"/>
      <c r="T222" s="316"/>
      <c r="U222" s="316"/>
      <c r="V222" s="317"/>
    </row>
    <row r="223" spans="1:22" ht="15" customHeight="1" x14ac:dyDescent="0.3">
      <c r="A223" s="313"/>
      <c r="B223" s="312"/>
      <c r="C223" s="318"/>
      <c r="D223" s="319"/>
      <c r="E223" s="320"/>
      <c r="F223" s="320"/>
      <c r="G223" s="320"/>
      <c r="H223" s="320"/>
      <c r="I223" s="321"/>
      <c r="J223" s="321"/>
      <c r="K223" s="314"/>
      <c r="L223" s="314"/>
      <c r="M223" s="314"/>
      <c r="N223" s="314"/>
      <c r="O223" s="314"/>
      <c r="P223" s="314"/>
      <c r="Q223" s="314"/>
      <c r="R223" s="314"/>
      <c r="S223" s="316"/>
      <c r="T223" s="316"/>
      <c r="U223" s="316"/>
      <c r="V223" s="317"/>
    </row>
    <row r="224" spans="1:22" ht="15" customHeight="1" x14ac:dyDescent="0.3">
      <c r="A224" s="313"/>
      <c r="B224" s="312"/>
      <c r="C224" s="318"/>
      <c r="D224" s="319"/>
      <c r="E224" s="320"/>
      <c r="F224" s="320"/>
      <c r="G224" s="320"/>
      <c r="H224" s="320"/>
      <c r="I224" s="321"/>
      <c r="J224" s="321"/>
      <c r="K224" s="314"/>
      <c r="L224" s="314"/>
      <c r="M224" s="314"/>
      <c r="N224" s="314"/>
      <c r="O224" s="314"/>
      <c r="P224" s="314"/>
      <c r="Q224" s="314"/>
      <c r="R224" s="314"/>
      <c r="S224" s="316"/>
      <c r="T224" s="316"/>
      <c r="U224" s="316"/>
      <c r="V224" s="317"/>
    </row>
    <row r="225" spans="1:22" ht="15" customHeight="1" x14ac:dyDescent="0.3">
      <c r="A225" s="313"/>
      <c r="B225" s="312"/>
      <c r="C225" s="318"/>
      <c r="D225" s="319"/>
      <c r="E225" s="320"/>
      <c r="F225" s="320"/>
      <c r="G225" s="320"/>
      <c r="H225" s="320"/>
      <c r="I225" s="321"/>
      <c r="J225" s="321"/>
      <c r="K225" s="314"/>
      <c r="L225" s="314"/>
      <c r="M225" s="314"/>
      <c r="N225" s="314"/>
      <c r="O225" s="314"/>
      <c r="P225" s="314"/>
      <c r="Q225" s="314"/>
      <c r="R225" s="314"/>
      <c r="S225" s="316"/>
      <c r="T225" s="316"/>
      <c r="U225" s="316"/>
      <c r="V225" s="317"/>
    </row>
    <row r="226" spans="1:22" ht="15" customHeight="1" x14ac:dyDescent="0.3">
      <c r="A226" s="313"/>
      <c r="B226" s="312"/>
      <c r="C226" s="318"/>
      <c r="D226" s="319"/>
      <c r="E226" s="320"/>
      <c r="F226" s="320"/>
      <c r="G226" s="320"/>
      <c r="H226" s="320"/>
      <c r="I226" s="321"/>
      <c r="J226" s="321"/>
      <c r="K226" s="314"/>
      <c r="L226" s="314"/>
      <c r="M226" s="314"/>
      <c r="N226" s="314"/>
      <c r="O226" s="314"/>
      <c r="P226" s="314"/>
      <c r="Q226" s="314"/>
      <c r="R226" s="314"/>
      <c r="S226" s="316"/>
      <c r="T226" s="316"/>
      <c r="U226" s="316"/>
      <c r="V226" s="317"/>
    </row>
    <row r="227" spans="1:22" ht="15" customHeight="1" x14ac:dyDescent="0.3">
      <c r="A227" s="313"/>
      <c r="B227" s="312"/>
      <c r="C227" s="318"/>
      <c r="D227" s="319"/>
      <c r="E227" s="320"/>
      <c r="F227" s="320"/>
      <c r="G227" s="320"/>
      <c r="H227" s="320"/>
      <c r="I227" s="321"/>
      <c r="J227" s="321"/>
      <c r="K227" s="314"/>
      <c r="L227" s="314"/>
      <c r="M227" s="314"/>
      <c r="N227" s="314"/>
      <c r="O227" s="314"/>
      <c r="P227" s="314"/>
      <c r="Q227" s="314"/>
      <c r="R227" s="314"/>
      <c r="S227" s="316"/>
      <c r="T227" s="316"/>
      <c r="U227" s="316"/>
      <c r="V227" s="317"/>
    </row>
    <row r="228" spans="1:22" ht="15" customHeight="1" x14ac:dyDescent="0.3">
      <c r="A228" s="313"/>
      <c r="B228" s="312"/>
      <c r="C228" s="318"/>
      <c r="D228" s="319"/>
      <c r="E228" s="320"/>
      <c r="F228" s="320"/>
      <c r="G228" s="320"/>
      <c r="H228" s="320"/>
      <c r="I228" s="321"/>
      <c r="J228" s="321"/>
      <c r="K228" s="314"/>
      <c r="L228" s="314"/>
      <c r="M228" s="314"/>
      <c r="N228" s="314"/>
      <c r="O228" s="314"/>
      <c r="P228" s="314"/>
      <c r="Q228" s="314"/>
      <c r="R228" s="314"/>
      <c r="S228" s="316"/>
      <c r="T228" s="316"/>
      <c r="U228" s="316"/>
      <c r="V228" s="317"/>
    </row>
    <row r="229" spans="1:22" ht="15" customHeight="1" x14ac:dyDescent="0.3">
      <c r="A229" s="313"/>
      <c r="B229" s="312"/>
      <c r="C229" s="318"/>
      <c r="D229" s="319"/>
      <c r="E229" s="320"/>
      <c r="F229" s="320"/>
      <c r="G229" s="320"/>
      <c r="H229" s="320"/>
      <c r="I229" s="321"/>
      <c r="J229" s="321"/>
      <c r="K229" s="314"/>
      <c r="L229" s="314"/>
      <c r="M229" s="314"/>
      <c r="N229" s="314"/>
      <c r="O229" s="314"/>
      <c r="P229" s="314"/>
      <c r="Q229" s="314"/>
      <c r="R229" s="314"/>
      <c r="S229" s="316"/>
      <c r="T229" s="316"/>
      <c r="U229" s="316"/>
      <c r="V229" s="317"/>
    </row>
    <row r="230" spans="1:22" ht="15" customHeight="1" x14ac:dyDescent="0.3">
      <c r="A230" s="313"/>
      <c r="B230" s="312"/>
      <c r="C230" s="318"/>
      <c r="D230" s="319"/>
      <c r="E230" s="320"/>
      <c r="F230" s="320"/>
      <c r="G230" s="320"/>
      <c r="H230" s="320"/>
      <c r="I230" s="321"/>
      <c r="J230" s="321"/>
      <c r="K230" s="314"/>
      <c r="L230" s="314"/>
      <c r="M230" s="314"/>
      <c r="N230" s="314"/>
      <c r="O230" s="314"/>
      <c r="P230" s="314"/>
      <c r="Q230" s="314"/>
      <c r="R230" s="314"/>
      <c r="S230" s="316"/>
      <c r="T230" s="316"/>
      <c r="U230" s="316"/>
      <c r="V230" s="317"/>
    </row>
    <row r="231" spans="1:22" ht="15" customHeight="1" x14ac:dyDescent="0.3">
      <c r="A231" s="313"/>
      <c r="B231" s="312"/>
      <c r="C231" s="318"/>
      <c r="D231" s="319"/>
      <c r="E231" s="320"/>
      <c r="F231" s="320"/>
      <c r="G231" s="320"/>
      <c r="H231" s="320"/>
      <c r="I231" s="321"/>
      <c r="J231" s="321"/>
      <c r="K231" s="314"/>
      <c r="L231" s="314"/>
      <c r="M231" s="314"/>
      <c r="N231" s="314"/>
      <c r="O231" s="314"/>
      <c r="P231" s="314"/>
      <c r="Q231" s="314"/>
      <c r="R231" s="314"/>
      <c r="S231" s="316"/>
      <c r="T231" s="316"/>
      <c r="U231" s="316"/>
      <c r="V231" s="317"/>
    </row>
    <row r="232" spans="1:22" ht="15" customHeight="1" x14ac:dyDescent="0.3">
      <c r="A232" s="313"/>
      <c r="B232" s="312"/>
      <c r="C232" s="318"/>
      <c r="D232" s="319"/>
      <c r="E232" s="320"/>
      <c r="F232" s="320"/>
      <c r="G232" s="320"/>
      <c r="H232" s="320"/>
      <c r="I232" s="321"/>
      <c r="J232" s="321"/>
      <c r="K232" s="314"/>
      <c r="L232" s="314"/>
      <c r="M232" s="314"/>
      <c r="N232" s="314"/>
      <c r="O232" s="314"/>
      <c r="P232" s="314"/>
      <c r="Q232" s="314"/>
      <c r="R232" s="314"/>
      <c r="S232" s="316"/>
      <c r="T232" s="316"/>
      <c r="U232" s="316"/>
      <c r="V232" s="317"/>
    </row>
    <row r="233" spans="1:22" ht="15" customHeight="1" x14ac:dyDescent="0.3">
      <c r="A233" s="313"/>
      <c r="B233" s="312"/>
      <c r="C233" s="318"/>
      <c r="D233" s="319"/>
      <c r="E233" s="320"/>
      <c r="F233" s="320"/>
      <c r="G233" s="320"/>
      <c r="H233" s="320"/>
      <c r="I233" s="321"/>
      <c r="J233" s="321"/>
      <c r="K233" s="314"/>
      <c r="L233" s="314"/>
      <c r="M233" s="314"/>
      <c r="N233" s="314"/>
      <c r="O233" s="314"/>
      <c r="P233" s="314"/>
      <c r="Q233" s="314"/>
      <c r="R233" s="314"/>
      <c r="S233" s="316"/>
      <c r="T233" s="316"/>
      <c r="U233" s="316"/>
      <c r="V233" s="317"/>
    </row>
    <row r="234" spans="1:22" ht="15" customHeight="1" x14ac:dyDescent="0.3">
      <c r="A234" s="313"/>
      <c r="B234" s="312"/>
      <c r="C234" s="318"/>
      <c r="D234" s="319"/>
      <c r="E234" s="320"/>
      <c r="F234" s="320"/>
      <c r="G234" s="320"/>
      <c r="H234" s="320"/>
      <c r="I234" s="321"/>
      <c r="J234" s="321"/>
      <c r="K234" s="314"/>
      <c r="L234" s="314"/>
      <c r="M234" s="314"/>
      <c r="N234" s="314"/>
      <c r="O234" s="314"/>
      <c r="P234" s="314"/>
      <c r="Q234" s="314"/>
      <c r="R234" s="314"/>
      <c r="S234" s="316"/>
      <c r="T234" s="316"/>
      <c r="U234" s="316"/>
      <c r="V234" s="317"/>
    </row>
    <row r="235" spans="1:22" ht="15" customHeight="1" x14ac:dyDescent="0.3">
      <c r="A235" s="313"/>
      <c r="B235" s="312"/>
      <c r="C235" s="318"/>
      <c r="D235" s="319"/>
      <c r="E235" s="320"/>
      <c r="F235" s="320"/>
      <c r="G235" s="320"/>
      <c r="H235" s="320"/>
      <c r="I235" s="321"/>
      <c r="J235" s="321"/>
      <c r="K235" s="314"/>
      <c r="L235" s="314"/>
      <c r="M235" s="314"/>
      <c r="N235" s="314"/>
      <c r="O235" s="314"/>
      <c r="P235" s="314"/>
      <c r="Q235" s="314"/>
      <c r="R235" s="314"/>
      <c r="S235" s="316"/>
      <c r="T235" s="316"/>
      <c r="U235" s="316"/>
      <c r="V235" s="317"/>
    </row>
    <row r="236" spans="1:22" ht="15" customHeight="1" x14ac:dyDescent="0.3">
      <c r="A236" s="313"/>
      <c r="B236" s="312"/>
      <c r="C236" s="318"/>
      <c r="D236" s="319"/>
      <c r="E236" s="320"/>
      <c r="F236" s="320"/>
      <c r="G236" s="320"/>
      <c r="H236" s="320"/>
      <c r="I236" s="321"/>
      <c r="J236" s="321"/>
      <c r="K236" s="314"/>
      <c r="L236" s="314"/>
      <c r="M236" s="314"/>
      <c r="N236" s="314"/>
      <c r="O236" s="314"/>
      <c r="P236" s="314"/>
      <c r="Q236" s="314"/>
      <c r="R236" s="314"/>
      <c r="S236" s="316"/>
      <c r="T236" s="316"/>
      <c r="U236" s="316"/>
      <c r="V236" s="317"/>
    </row>
    <row r="237" spans="1:22" ht="15" customHeight="1" x14ac:dyDescent="0.3">
      <c r="A237" s="313"/>
      <c r="B237" s="312"/>
      <c r="C237" s="318"/>
      <c r="D237" s="319"/>
      <c r="E237" s="320"/>
      <c r="F237" s="320"/>
      <c r="G237" s="320"/>
      <c r="H237" s="320"/>
      <c r="I237" s="321"/>
      <c r="J237" s="321"/>
      <c r="K237" s="314"/>
      <c r="L237" s="314"/>
      <c r="M237" s="314"/>
      <c r="N237" s="314"/>
      <c r="O237" s="314"/>
      <c r="P237" s="314"/>
      <c r="Q237" s="314"/>
      <c r="R237" s="314"/>
      <c r="S237" s="316"/>
      <c r="T237" s="316"/>
      <c r="U237" s="316"/>
      <c r="V237" s="317"/>
    </row>
    <row r="238" spans="1:22" ht="15" customHeight="1" x14ac:dyDescent="0.3">
      <c r="A238" s="313"/>
      <c r="B238" s="312"/>
      <c r="C238" s="318"/>
      <c r="D238" s="319"/>
      <c r="E238" s="320"/>
      <c r="F238" s="320"/>
      <c r="G238" s="320"/>
      <c r="H238" s="320"/>
      <c r="I238" s="321"/>
      <c r="J238" s="321"/>
      <c r="K238" s="314"/>
      <c r="L238" s="314"/>
      <c r="M238" s="314"/>
      <c r="N238" s="314"/>
      <c r="O238" s="314"/>
      <c r="P238" s="314"/>
      <c r="Q238" s="314"/>
      <c r="R238" s="314"/>
      <c r="S238" s="316"/>
      <c r="T238" s="316"/>
      <c r="U238" s="316"/>
      <c r="V238" s="317"/>
    </row>
    <row r="239" spans="1:22" ht="15" customHeight="1" x14ac:dyDescent="0.3">
      <c r="A239" s="313"/>
      <c r="B239" s="312"/>
      <c r="C239" s="318"/>
      <c r="D239" s="319"/>
      <c r="E239" s="320"/>
      <c r="F239" s="320"/>
      <c r="G239" s="320"/>
      <c r="H239" s="320"/>
      <c r="I239" s="321"/>
      <c r="J239" s="321"/>
      <c r="K239" s="314"/>
      <c r="L239" s="314"/>
      <c r="M239" s="314"/>
      <c r="N239" s="314"/>
      <c r="O239" s="314"/>
      <c r="P239" s="314"/>
      <c r="Q239" s="314"/>
      <c r="R239" s="314"/>
      <c r="S239" s="316"/>
      <c r="T239" s="316"/>
      <c r="U239" s="316"/>
      <c r="V239" s="317"/>
    </row>
    <row r="240" spans="1:22" ht="15" customHeight="1" x14ac:dyDescent="0.3">
      <c r="A240" s="313"/>
      <c r="B240" s="312"/>
      <c r="C240" s="318"/>
      <c r="D240" s="319"/>
      <c r="E240" s="320"/>
      <c r="F240" s="320"/>
      <c r="G240" s="320"/>
      <c r="H240" s="320"/>
      <c r="I240" s="321"/>
      <c r="J240" s="321"/>
      <c r="K240" s="314"/>
      <c r="L240" s="314"/>
      <c r="M240" s="314"/>
      <c r="N240" s="314"/>
      <c r="O240" s="314"/>
      <c r="P240" s="314"/>
      <c r="Q240" s="314"/>
      <c r="R240" s="314"/>
      <c r="S240" s="316"/>
      <c r="T240" s="316"/>
      <c r="U240" s="316"/>
      <c r="V240" s="317"/>
    </row>
    <row r="241" spans="1:22" ht="15" customHeight="1" x14ac:dyDescent="0.3">
      <c r="A241" s="313"/>
      <c r="B241" s="312"/>
      <c r="C241" s="318"/>
      <c r="D241" s="319"/>
      <c r="E241" s="320"/>
      <c r="F241" s="320"/>
      <c r="G241" s="320"/>
      <c r="H241" s="320"/>
      <c r="I241" s="321"/>
      <c r="J241" s="321"/>
      <c r="K241" s="314"/>
      <c r="L241" s="314"/>
      <c r="M241" s="314"/>
      <c r="N241" s="314"/>
      <c r="O241" s="314"/>
      <c r="P241" s="314"/>
      <c r="Q241" s="314"/>
      <c r="R241" s="314"/>
      <c r="S241" s="316"/>
      <c r="T241" s="316"/>
      <c r="U241" s="316"/>
      <c r="V241" s="317"/>
    </row>
    <row r="242" spans="1:22" ht="15" customHeight="1" x14ac:dyDescent="0.3">
      <c r="A242" s="313"/>
      <c r="B242" s="312"/>
      <c r="C242" s="318"/>
      <c r="D242" s="319"/>
      <c r="E242" s="320"/>
      <c r="F242" s="320"/>
      <c r="G242" s="320"/>
      <c r="H242" s="320"/>
      <c r="I242" s="321"/>
      <c r="J242" s="321"/>
      <c r="K242" s="314"/>
      <c r="L242" s="314"/>
      <c r="M242" s="314"/>
      <c r="N242" s="314"/>
      <c r="O242" s="314"/>
      <c r="P242" s="314"/>
      <c r="Q242" s="314"/>
      <c r="R242" s="314"/>
      <c r="S242" s="316"/>
      <c r="T242" s="316"/>
      <c r="U242" s="316"/>
      <c r="V242" s="317"/>
    </row>
    <row r="243" spans="1:22" ht="15" customHeight="1" x14ac:dyDescent="0.3">
      <c r="A243" s="313"/>
      <c r="B243" s="312"/>
      <c r="C243" s="318"/>
      <c r="D243" s="319"/>
      <c r="E243" s="320"/>
      <c r="F243" s="320"/>
      <c r="G243" s="320"/>
      <c r="H243" s="320"/>
      <c r="I243" s="321"/>
      <c r="J243" s="321"/>
      <c r="K243" s="314"/>
      <c r="L243" s="314"/>
      <c r="M243" s="314"/>
      <c r="N243" s="314"/>
      <c r="O243" s="314"/>
      <c r="P243" s="314"/>
      <c r="Q243" s="314"/>
      <c r="R243" s="314"/>
      <c r="S243" s="316"/>
      <c r="T243" s="316"/>
      <c r="U243" s="316"/>
      <c r="V243" s="317"/>
    </row>
    <row r="244" spans="1:22" ht="15" customHeight="1" x14ac:dyDescent="0.3">
      <c r="A244" s="313"/>
      <c r="B244" s="312"/>
      <c r="C244" s="318"/>
      <c r="D244" s="319"/>
      <c r="E244" s="320"/>
      <c r="F244" s="320"/>
      <c r="G244" s="320"/>
      <c r="H244" s="320"/>
      <c r="I244" s="321"/>
      <c r="J244" s="321"/>
      <c r="K244" s="314"/>
      <c r="L244" s="314"/>
      <c r="M244" s="314"/>
      <c r="N244" s="314"/>
      <c r="O244" s="314"/>
      <c r="P244" s="314"/>
      <c r="Q244" s="314"/>
      <c r="R244" s="314"/>
      <c r="S244" s="316"/>
      <c r="T244" s="316"/>
      <c r="U244" s="316"/>
      <c r="V244" s="317"/>
    </row>
    <row r="245" spans="1:22" ht="15" customHeight="1" x14ac:dyDescent="0.3">
      <c r="A245" s="313"/>
      <c r="B245" s="312"/>
      <c r="C245" s="318"/>
      <c r="D245" s="319"/>
      <c r="E245" s="320"/>
      <c r="F245" s="320"/>
      <c r="G245" s="320"/>
      <c r="H245" s="320"/>
      <c r="I245" s="321"/>
      <c r="J245" s="321"/>
      <c r="K245" s="314"/>
      <c r="L245" s="314"/>
      <c r="M245" s="314"/>
      <c r="N245" s="314"/>
      <c r="O245" s="314"/>
      <c r="P245" s="314"/>
      <c r="Q245" s="314"/>
      <c r="R245" s="314"/>
      <c r="S245" s="316"/>
      <c r="T245" s="316"/>
      <c r="U245" s="316"/>
      <c r="V245" s="317"/>
    </row>
    <row r="246" spans="1:22" ht="15" customHeight="1" x14ac:dyDescent="0.3">
      <c r="A246" s="322"/>
      <c r="B246" s="1234" t="s">
        <v>573</v>
      </c>
      <c r="C246" s="1234"/>
      <c r="D246" s="1235"/>
      <c r="E246" s="323">
        <f>SUM(E193:E245)</f>
        <v>0</v>
      </c>
      <c r="F246" s="323">
        <f>SUM(F193:F245)</f>
        <v>0</v>
      </c>
      <c r="G246" s="323">
        <f>SUM(G193:G245)</f>
        <v>0</v>
      </c>
      <c r="H246" s="324"/>
      <c r="I246" s="325"/>
      <c r="J246" s="325"/>
      <c r="K246" s="325"/>
      <c r="L246" s="325"/>
      <c r="M246" s="325"/>
      <c r="N246" s="325"/>
      <c r="O246" s="325"/>
      <c r="P246" s="325"/>
      <c r="Q246" s="325"/>
      <c r="R246" s="325"/>
      <c r="S246" s="325"/>
      <c r="T246" s="325"/>
      <c r="U246" s="325"/>
      <c r="V246" s="326"/>
    </row>
  </sheetData>
  <mergeCells count="1">
    <mergeCell ref="B246:D246"/>
  </mergeCells>
  <conditionalFormatting sqref="A5:V57">
    <cfRule type="expression" dxfId="48" priority="2">
      <formula>MOD(ROW(),2)=0</formula>
    </cfRule>
    <cfRule type="expression" dxfId="47" priority="3">
      <formula>$B5=AsOfDate</formula>
    </cfRule>
  </conditionalFormatting>
  <conditionalFormatting sqref="A71:V246">
    <cfRule type="expression" dxfId="46" priority="1">
      <formula>MOD(ROW(),2)=0</formula>
    </cfRule>
  </conditionalFormatting>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44546A"/>
  </sheetPr>
  <dimension ref="A1:K52"/>
  <sheetViews>
    <sheetView showGridLines="0" topLeftCell="C1" zoomScaleNormal="100" workbookViewId="0">
      <pane ySplit="3" topLeftCell="A4" activePane="bottomLeft" state="frozen"/>
      <selection pane="bottomLeft" sqref="A1:K1"/>
    </sheetView>
  </sheetViews>
  <sheetFormatPr defaultColWidth="8.6640625" defaultRowHeight="14.4" x14ac:dyDescent="0.3"/>
  <cols>
    <col min="1" max="1" width="7.44140625" customWidth="1"/>
    <col min="2" max="2" width="16.6640625" customWidth="1"/>
    <col min="3" max="3" width="32.44140625" customWidth="1"/>
    <col min="4" max="4" width="11.109375" customWidth="1"/>
    <col min="5" max="5" width="9.21875" customWidth="1"/>
    <col min="6" max="7" width="13.88671875" customWidth="1"/>
    <col min="8" max="8" width="11.109375" customWidth="1"/>
    <col min="9" max="9" width="16.6640625" customWidth="1"/>
    <col min="10" max="10" width="10.21875" customWidth="1"/>
    <col min="11" max="11" width="37" customWidth="1"/>
    <col min="12" max="12" width="14" customWidth="1"/>
    <col min="13" max="13" width="28" customWidth="1"/>
  </cols>
  <sheetData>
    <row r="1" spans="1:11" ht="30" customHeight="1" x14ac:dyDescent="0.35">
      <c r="A1" s="713" t="s">
        <v>574</v>
      </c>
      <c r="B1" s="713"/>
      <c r="C1" s="713"/>
      <c r="D1" s="713"/>
      <c r="E1" s="713"/>
      <c r="F1" s="713"/>
      <c r="G1" s="713"/>
      <c r="H1" s="713"/>
      <c r="I1" s="713"/>
      <c r="J1" s="713"/>
      <c r="K1" s="713"/>
    </row>
    <row r="2" spans="1:11" ht="18" customHeight="1" x14ac:dyDescent="0.3">
      <c r="A2" s="327" t="s">
        <v>802</v>
      </c>
      <c r="B2" s="327"/>
      <c r="C2" s="327"/>
      <c r="D2" s="327"/>
      <c r="E2" s="327"/>
      <c r="F2" s="327"/>
      <c r="G2" s="327"/>
      <c r="H2" s="327"/>
      <c r="I2" s="327"/>
      <c r="J2" s="327"/>
      <c r="K2" s="327"/>
    </row>
    <row r="3" spans="1:11" ht="22.05" customHeight="1" x14ac:dyDescent="0.3">
      <c r="A3" s="718" t="s">
        <v>244</v>
      </c>
      <c r="B3" s="719" t="s">
        <v>122</v>
      </c>
      <c r="C3" s="719" t="s">
        <v>270</v>
      </c>
      <c r="D3" s="720" t="s">
        <v>271</v>
      </c>
      <c r="E3" s="720" t="s">
        <v>150</v>
      </c>
      <c r="F3" s="720" t="s">
        <v>277</v>
      </c>
      <c r="G3" s="720" t="s">
        <v>575</v>
      </c>
      <c r="H3" s="720" t="s">
        <v>465</v>
      </c>
      <c r="I3" s="720" t="s">
        <v>576</v>
      </c>
      <c r="J3" s="720" t="s">
        <v>275</v>
      </c>
      <c r="K3" s="721" t="s">
        <v>298</v>
      </c>
    </row>
    <row r="4" spans="1:11" s="1" customFormat="1" ht="22.05" customHeight="1" x14ac:dyDescent="0.3">
      <c r="A4" s="722">
        <v>1</v>
      </c>
      <c r="B4" s="822" t="str">
        <f>IFERROR('Facility Master'!B5,"")</f>
        <v>RBL Bank</v>
      </c>
      <c r="C4" s="822" t="str">
        <f>IFERROR('Facility Master'!C5,"")</f>
        <v>Letter of Credit - Main Limit</v>
      </c>
      <c r="D4" s="724" t="str">
        <f>IFERROR('Facility Master'!D5,"")</f>
        <v>NFB</v>
      </c>
      <c r="E4" s="936">
        <f>IFERROR('Facility Master'!H5,0)</f>
        <v>2</v>
      </c>
      <c r="F4" s="725">
        <f>IFERROR('Facility Master'!K5,0)</f>
        <v>100</v>
      </c>
      <c r="G4" s="725">
        <f>IFERROR('Facility Master'!M5,0)</f>
        <v>100</v>
      </c>
      <c r="H4" s="727">
        <f>IFERROR('Facility Master'!R5,0)</f>
        <v>0</v>
      </c>
      <c r="I4" s="823">
        <f t="shared" ref="I4:I37" si="0">IFERROR(G4*H4,0)</f>
        <v>0</v>
      </c>
      <c r="J4" s="724" t="str">
        <f>IFERROR('Facility Master'!I5,"")</f>
        <v>INR</v>
      </c>
      <c r="K4" s="937" t="str">
        <f>IFERROR('Facility Master'!AF5,"")</f>
        <v>Pricing 0.45% effective 31-Dec-2025.</v>
      </c>
    </row>
    <row r="5" spans="1:11" ht="22.05" customHeight="1" x14ac:dyDescent="0.3">
      <c r="A5" s="722">
        <v>2</v>
      </c>
      <c r="B5" s="723" t="str">
        <f>IFERROR('Facility Master'!B6,"")</f>
        <v>RBL Bank</v>
      </c>
      <c r="C5" s="723" t="str">
        <f>IFERROR('Facility Master'!C6,"")</f>
        <v>Bank Guarantee</v>
      </c>
      <c r="D5" s="724" t="str">
        <f>IFERROR('Facility Master'!D6,"")</f>
        <v>NFB</v>
      </c>
      <c r="E5" s="936">
        <f>IFERROR('Facility Master'!H6,0)</f>
        <v>0</v>
      </c>
      <c r="F5" s="725">
        <f>IFERROR('Facility Master'!K6,0)</f>
        <v>25</v>
      </c>
      <c r="G5" s="725">
        <f>IFERROR('Facility Master'!M6,0)</f>
        <v>25</v>
      </c>
      <c r="H5" s="727">
        <f>IFERROR('Facility Master'!R6,0)</f>
        <v>0</v>
      </c>
      <c r="I5" s="823">
        <f t="shared" si="0"/>
        <v>0</v>
      </c>
      <c r="J5" s="724" t="str">
        <f>IFERROR('Facility Master'!I6,"")</f>
        <v>INR</v>
      </c>
      <c r="K5" s="937" t="str">
        <f>IFERROR('Facility Master'!AF6,"")</f>
        <v>BG commission 0.50% per 28-Feb-2025 pricing table.</v>
      </c>
    </row>
    <row r="6" spans="1:11" ht="22.05" customHeight="1" x14ac:dyDescent="0.3">
      <c r="A6" s="722">
        <v>3</v>
      </c>
      <c r="B6" s="723" t="str">
        <f>IFERROR('Facility Master'!B7,"")</f>
        <v>RBL Bank</v>
      </c>
      <c r="C6" s="723" t="str">
        <f>IFERROR('Facility Master'!C7,"")</f>
        <v>Invoice Discounting (PID)</v>
      </c>
      <c r="D6" s="724" t="str">
        <f>IFERROR('Facility Master'!D7,"")</f>
        <v>FB</v>
      </c>
      <c r="E6" s="936">
        <f>IFERROR('Facility Master'!H7,0)</f>
        <v>0</v>
      </c>
      <c r="F6" s="725">
        <f>IFERROR('Facility Master'!K7,0)</f>
        <v>100</v>
      </c>
      <c r="G6" s="725">
        <f>IFERROR('Facility Master'!M7,0)</f>
        <v>100</v>
      </c>
      <c r="H6" s="727">
        <f>IFERROR('Facility Master'!R7,0)</f>
        <v>9.5000000000000001E-2</v>
      </c>
      <c r="I6" s="823">
        <f t="shared" si="0"/>
        <v>9.5</v>
      </c>
      <c r="J6" s="724" t="str">
        <f>IFERROR('Facility Master'!I7,"")</f>
        <v>INR</v>
      </c>
      <c r="K6" s="937" t="str">
        <f>IFERROR('Facility Master'!AF7,"")</f>
        <v>Rate set at availment. Spread of 50 bps over 1Y MCLR is illustrative; rate confirmed at each availment per sanction letter.</v>
      </c>
    </row>
    <row r="7" spans="1:11" ht="22.05" customHeight="1" x14ac:dyDescent="0.3">
      <c r="A7" s="722">
        <v>4</v>
      </c>
      <c r="B7" s="723" t="str">
        <f>IFERROR('Facility Master'!B8,"")</f>
        <v>RBL Bank</v>
      </c>
      <c r="C7" s="723" t="str">
        <f>IFERROR('Facility Master'!C8,"")</f>
        <v>SBLC</v>
      </c>
      <c r="D7" s="724" t="str">
        <f>IFERROR('Facility Master'!D8,"")</f>
        <v>NFB</v>
      </c>
      <c r="E7" s="936">
        <f>IFERROR('Facility Master'!H8,0)</f>
        <v>0</v>
      </c>
      <c r="F7" s="725">
        <f>IFERROR('Facility Master'!K8,0)</f>
        <v>100</v>
      </c>
      <c r="G7" s="725">
        <f>IFERROR('Facility Master'!M8,0)</f>
        <v>100</v>
      </c>
      <c r="H7" s="727">
        <f>IFERROR('Facility Master'!R8,0)</f>
        <v>5.0000000000000001E-3</v>
      </c>
      <c r="I7" s="823">
        <f t="shared" si="0"/>
        <v>0.5</v>
      </c>
      <c r="J7" s="724" t="str">
        <f>IFERROR('Facility Master'!I8,"")</f>
        <v>INR</v>
      </c>
      <c r="K7" s="937" t="str">
        <f>IFERROR('Facility Master'!AF8,"")</f>
        <v>Sub-limit of LC (Main).</v>
      </c>
    </row>
    <row r="8" spans="1:11" ht="22.05" customHeight="1" x14ac:dyDescent="0.3">
      <c r="A8" s="722">
        <v>5</v>
      </c>
      <c r="B8" s="723" t="str">
        <f>IFERROR('Facility Master'!B9,"")</f>
        <v>RBL Bank</v>
      </c>
      <c r="C8" s="723" t="str">
        <f>IFERROR('Facility Master'!C9,"")</f>
        <v>Pre-Acceptance LCBD</v>
      </c>
      <c r="D8" s="724" t="str">
        <f>IFERROR('Facility Master'!D9,"")</f>
        <v>FB</v>
      </c>
      <c r="E8" s="936">
        <f>IFERROR('Facility Master'!H9,0)</f>
        <v>0</v>
      </c>
      <c r="F8" s="725">
        <f>IFERROR('Facility Master'!K9,0)</f>
        <v>100</v>
      </c>
      <c r="G8" s="725">
        <f>IFERROR('Facility Master'!M9,0)</f>
        <v>100</v>
      </c>
      <c r="H8" s="727">
        <f>IFERROR('Facility Master'!R9,0)</f>
        <v>9.7500000000000003E-2</v>
      </c>
      <c r="I8" s="823">
        <f t="shared" si="0"/>
        <v>9.75</v>
      </c>
      <c r="J8" s="724" t="str">
        <f>IFERROR('Facility Master'!I9,"")</f>
        <v>INR</v>
      </c>
      <c r="K8" s="937" t="str">
        <f>IFERROR('Facility Master'!AF9,"")</f>
        <v>Rate set at availment. Spread of 75 bps over 1Y MCLR is illustrative; rate confirmed at each availment per sanction letter.</v>
      </c>
    </row>
    <row r="9" spans="1:11" ht="22.05" customHeight="1" x14ac:dyDescent="0.3">
      <c r="A9" s="722">
        <v>6</v>
      </c>
      <c r="B9" s="723" t="str">
        <f>IFERROR('Facility Master'!B10,"")</f>
        <v>RBL Bank</v>
      </c>
      <c r="C9" s="723" t="str">
        <f>IFERROR('Facility Master'!C10,"")</f>
        <v>Cash Credit</v>
      </c>
      <c r="D9" s="724" t="str">
        <f>IFERROR('Facility Master'!D10,"")</f>
        <v>FB</v>
      </c>
      <c r="E9" s="936">
        <f>IFERROR('Facility Master'!H10,0)</f>
        <v>0</v>
      </c>
      <c r="F9" s="725">
        <f>IFERROR('Facility Master'!K10,0)</f>
        <v>100</v>
      </c>
      <c r="G9" s="725">
        <f>IFERROR('Facility Master'!M10,0)</f>
        <v>100</v>
      </c>
      <c r="H9" s="727">
        <f>IFERROR('Facility Master'!R10,0)</f>
        <v>9.0499999999999997E-2</v>
      </c>
      <c r="I9" s="823">
        <f t="shared" si="0"/>
        <v>9.0499999999999989</v>
      </c>
      <c r="J9" s="724" t="str">
        <f>IFERROR('Facility Master'!I10,"")</f>
        <v>INR</v>
      </c>
      <c r="K9" s="937" t="str">
        <f>IFERROR('Facility Master'!AF10,"")</f>
        <v>1Y MCLR + 5 bps.</v>
      </c>
    </row>
    <row r="10" spans="1:11" ht="22.05" customHeight="1" x14ac:dyDescent="0.3">
      <c r="A10" s="722">
        <v>7</v>
      </c>
      <c r="B10" s="723" t="str">
        <f>IFERROR('Facility Master'!B11,"")</f>
        <v>RBL Bank</v>
      </c>
      <c r="C10" s="723" t="str">
        <f>IFERROR('Facility Master'!C11,"")</f>
        <v>Working Capital Demand Loan (WCDL)</v>
      </c>
      <c r="D10" s="724" t="str">
        <f>IFERROR('Facility Master'!D11,"")</f>
        <v>FB</v>
      </c>
      <c r="E10" s="936">
        <f>IFERROR('Facility Master'!H11,0)</f>
        <v>0</v>
      </c>
      <c r="F10" s="725">
        <f>IFERROR('Facility Master'!K11,0)</f>
        <v>100</v>
      </c>
      <c r="G10" s="725">
        <f>IFERROR('Facility Master'!M11,0)</f>
        <v>100</v>
      </c>
      <c r="H10" s="727">
        <f>IFERROR('Facility Master'!R11,0)</f>
        <v>0</v>
      </c>
      <c r="I10" s="823">
        <f t="shared" si="0"/>
        <v>0</v>
      </c>
      <c r="J10" s="724" t="str">
        <f>IFERROR('Facility Master'!I11,"")</f>
        <v>INR</v>
      </c>
      <c r="K10" s="937" t="str">
        <f>IFERROR('Facility Master'!AF11,"")</f>
        <v>Rate set at drawdown.</v>
      </c>
    </row>
    <row r="11" spans="1:11" ht="22.05" customHeight="1" x14ac:dyDescent="0.3">
      <c r="A11" s="826">
        <v>8</v>
      </c>
      <c r="B11" s="827" t="str">
        <f>IFERROR('Facility Master'!B12,"")</f>
        <v>RBL Bank</v>
      </c>
      <c r="C11" s="827" t="str">
        <f>IFERROR('Facility Master'!C12,"")</f>
        <v>Loan Equivalent Risk (LER)</v>
      </c>
      <c r="D11" s="828" t="str">
        <f>IFERROR('Facility Master'!D12,"")</f>
        <v>Hedge</v>
      </c>
      <c r="E11" s="938">
        <f>IFERROR('Facility Master'!H12,0)</f>
        <v>0</v>
      </c>
      <c r="F11" s="829">
        <f>IFERROR('Facility Master'!K12,0)</f>
        <v>20</v>
      </c>
      <c r="G11" s="829">
        <f>IFERROR('Facility Master'!M12,0)</f>
        <v>20</v>
      </c>
      <c r="H11" s="831">
        <f>IFERROR('Facility Master'!R12,0)</f>
        <v>0</v>
      </c>
      <c r="I11" s="832">
        <f t="shared" si="0"/>
        <v>0</v>
      </c>
      <c r="J11" s="828" t="str">
        <f>IFERROR('Facility Master'!I12,"")</f>
        <v>INR</v>
      </c>
      <c r="K11" s="939" t="str">
        <f>IFERROR('Facility Master'!AF12,"")</f>
        <v>Notional limit; 75% MTM trigger.</v>
      </c>
    </row>
    <row r="12" spans="1:11" ht="22.05" customHeight="1" x14ac:dyDescent="0.3">
      <c r="A12" s="835">
        <v>9</v>
      </c>
      <c r="B12" s="940" t="str">
        <f>IFERROR('Facility Master'!B13,"")</f>
        <v>RBL Bank</v>
      </c>
      <c r="C12" s="940" t="str">
        <f>IFERROR('Facility Master'!C13,"")</f>
        <v>Term Loan</v>
      </c>
      <c r="D12" s="837" t="str">
        <f>IFERROR('Facility Master'!D13,"")</f>
        <v>FB-Term</v>
      </c>
      <c r="E12" s="941">
        <f>IFERROR('Facility Master'!H13,0)</f>
        <v>1</v>
      </c>
      <c r="F12" s="838">
        <f>IFERROR('Facility Master'!K13,0)</f>
        <v>200</v>
      </c>
      <c r="G12" s="838">
        <f>IFERROR('Facility Master'!M13,0)</f>
        <v>0</v>
      </c>
      <c r="H12" s="840">
        <f>IFERROR('Facility Master'!R13,0)</f>
        <v>9.7500000000000003E-2</v>
      </c>
      <c r="I12" s="841">
        <f t="shared" si="0"/>
        <v>0</v>
      </c>
      <c r="J12" s="837" t="str">
        <f>IFERROR('Facility Master'!I13,"")</f>
        <v>INR</v>
      </c>
      <c r="K12" s="942" t="str">
        <f>IFERROR('Facility Master'!AF13,"")</f>
        <v>Indicative 9.75% (1Y MCLR + 75 bps); confirm with RBL at drawdown.</v>
      </c>
    </row>
    <row r="13" spans="1:11" ht="22.05" customHeight="1" x14ac:dyDescent="0.3">
      <c r="A13" s="722">
        <v>10</v>
      </c>
      <c r="B13" s="723" t="str">
        <f>IFERROR('Facility Master'!B14,"")</f>
        <v>RBL Bank</v>
      </c>
      <c r="C13" s="723" t="str">
        <f>IFERROR('Facility Master'!C14,"")</f>
        <v>SBLC for Buyer's Credit (GIFT City)</v>
      </c>
      <c r="D13" s="724" t="str">
        <f>IFERROR('Facility Master'!D14,"")</f>
        <v>NFB</v>
      </c>
      <c r="E13" s="936">
        <f>IFERROR('Facility Master'!H14,0)</f>
        <v>0</v>
      </c>
      <c r="F13" s="725">
        <f>IFERROR('Facility Master'!K14,0)</f>
        <v>190</v>
      </c>
      <c r="G13" s="725">
        <f>IFERROR('Facility Master'!M14,0)</f>
        <v>190</v>
      </c>
      <c r="H13" s="727">
        <f>IFERROR('Facility Master'!R14,0)</f>
        <v>5.0000000000000001E-3</v>
      </c>
      <c r="I13" s="823">
        <f t="shared" si="0"/>
        <v>0.95000000000000007</v>
      </c>
      <c r="J13" s="724" t="str">
        <f>IFERROR('Facility Master'!I14,"")</f>
        <v>INR</v>
      </c>
      <c r="K13" s="937" t="str">
        <f>IFERROR('Facility Master'!AF14,"")</f>
        <v>Limit increased 172 → 190 Cr on 31-Dec-2025.</v>
      </c>
    </row>
    <row r="14" spans="1:11" ht="22.05" customHeight="1" x14ac:dyDescent="0.3">
      <c r="A14" s="722">
        <v>11</v>
      </c>
      <c r="B14" s="723" t="str">
        <f>IFERROR('Facility Master'!B15,"")</f>
        <v>RBL Bank</v>
      </c>
      <c r="C14" s="723" t="str">
        <f>IFERROR('Facility Master'!C15,"")</f>
        <v>Capex LC</v>
      </c>
      <c r="D14" s="724" t="str">
        <f>IFERROR('Facility Master'!D15,"")</f>
        <v>NFB</v>
      </c>
      <c r="E14" s="936">
        <f>IFERROR('Facility Master'!H15,0)</f>
        <v>0</v>
      </c>
      <c r="F14" s="725">
        <f>IFERROR('Facility Master'!K15,0)</f>
        <v>25</v>
      </c>
      <c r="G14" s="725">
        <f>IFERROR('Facility Master'!M15,0)</f>
        <v>25</v>
      </c>
      <c r="H14" s="727">
        <f>IFERROR('Facility Master'!R15,0)</f>
        <v>5.0000000000000001E-3</v>
      </c>
      <c r="I14" s="823">
        <f t="shared" si="0"/>
        <v>0.125</v>
      </c>
      <c r="J14" s="724" t="str">
        <f>IFERROR('Facility Master'!I15,"")</f>
        <v>INR</v>
      </c>
      <c r="K14" s="937" t="str">
        <f>IFERROR('Facility Master'!AF15,"")</f>
        <v>Originally 24-Jan-2024; converted revolving 28-Feb-2025.</v>
      </c>
    </row>
    <row r="15" spans="1:11" ht="22.05" customHeight="1" x14ac:dyDescent="0.3">
      <c r="A15" s="835">
        <v>12</v>
      </c>
      <c r="B15" s="836" t="str">
        <f>IFERROR('Facility Master'!B16,"")</f>
        <v>RBL Bank</v>
      </c>
      <c r="C15" s="836" t="str">
        <f>IFERROR('Facility Master'!C16,"")</f>
        <v>Overdraft backed by 100% FD (FDOD)</v>
      </c>
      <c r="D15" s="837" t="str">
        <f>IFERROR('Facility Master'!D16,"")</f>
        <v>FB-FDbacked</v>
      </c>
      <c r="E15" s="941">
        <f>IFERROR('Facility Master'!H16,0)</f>
        <v>3</v>
      </c>
      <c r="F15" s="838">
        <f>IFERROR('Facility Master'!K16,0)</f>
        <v>100</v>
      </c>
      <c r="G15" s="838">
        <f>IFERROR('Facility Master'!M16,0)</f>
        <v>100</v>
      </c>
      <c r="H15" s="840">
        <f>IFERROR('Facility Master'!R16,0)</f>
        <v>7.2500000000000009E-2</v>
      </c>
      <c r="I15" s="841">
        <f t="shared" si="0"/>
        <v>7.2500000000000009</v>
      </c>
      <c r="J15" s="837" t="str">
        <f>IFERROR('Facility Master'!I16,"")</f>
        <v>INR</v>
      </c>
      <c r="K15" s="942" t="str">
        <f>IFERROR('Facility Master'!AF16,"")</f>
        <v>Excluded from INR 300 Cr overall cap.</v>
      </c>
    </row>
    <row r="16" spans="1:11" ht="22.05" customHeight="1" x14ac:dyDescent="0.3">
      <c r="A16" s="835">
        <v>13</v>
      </c>
      <c r="B16" s="836" t="str">
        <f>IFERROR('Facility Master'!B17,"")</f>
        <v>RBL Bank</v>
      </c>
      <c r="C16" s="836" t="str">
        <f>IFERROR('Facility Master'!C17,"")</f>
        <v>LC backed by 100% FD</v>
      </c>
      <c r="D16" s="837" t="str">
        <f>IFERROR('Facility Master'!D17,"")</f>
        <v>NFB-FDbacked</v>
      </c>
      <c r="E16" s="941">
        <f>IFERROR('Facility Master'!H17,0)</f>
        <v>0</v>
      </c>
      <c r="F16" s="838">
        <f>IFERROR('Facility Master'!K17,0)</f>
        <v>50</v>
      </c>
      <c r="G16" s="838">
        <f>IFERROR('Facility Master'!M17,0)</f>
        <v>50</v>
      </c>
      <c r="H16" s="840">
        <f>IFERROR('Facility Master'!R17,0)</f>
        <v>0</v>
      </c>
      <c r="I16" s="841">
        <f t="shared" si="0"/>
        <v>0</v>
      </c>
      <c r="J16" s="837" t="str">
        <f>IFERROR('Facility Master'!I17,"")</f>
        <v>INR</v>
      </c>
      <c r="K16" s="942" t="str">
        <f>IFERROR('Facility Master'!AF17,"")</f>
        <v>Sub-limit of FDOD.</v>
      </c>
    </row>
    <row r="17" spans="1:11" ht="22.05" customHeight="1" x14ac:dyDescent="0.3">
      <c r="A17" s="722">
        <v>14</v>
      </c>
      <c r="B17" s="723" t="str">
        <f>IFERROR('Facility Master'!B18,"")</f>
        <v>RBL Bank</v>
      </c>
      <c r="C17" s="723" t="str">
        <f>IFERROR('Facility Master'!C18,"")</f>
        <v>Buyer's Credit from GIFT City - WC</v>
      </c>
      <c r="D17" s="724" t="str">
        <f>IFERROR('Facility Master'!D18,"")</f>
        <v>FB-FCY</v>
      </c>
      <c r="E17" s="936">
        <f>IFERROR('Facility Master'!H18,0)</f>
        <v>0</v>
      </c>
      <c r="F17" s="725">
        <f>IFERROR('Facility Master'!K18,0)</f>
        <v>100</v>
      </c>
      <c r="G17" s="725">
        <f>IFERROR('Facility Master'!M18,0)</f>
        <v>100</v>
      </c>
      <c r="H17" s="727">
        <f>IFERROR('Facility Master'!R18,0)</f>
        <v>4.2999999999999997E-2</v>
      </c>
      <c r="I17" s="823">
        <f t="shared" si="0"/>
        <v>4.3</v>
      </c>
      <c r="J17" s="724" t="str">
        <f>IFERROR('Facility Master'!I18,"")</f>
        <v>USD</v>
      </c>
      <c r="K17" s="937" t="str">
        <f>IFERROR('Facility Master'!AF18,"")</f>
        <v>INR-capped at ₹100 Cr.</v>
      </c>
    </row>
    <row r="18" spans="1:11" ht="22.05" customHeight="1" x14ac:dyDescent="0.3">
      <c r="A18" s="722">
        <v>15</v>
      </c>
      <c r="B18" s="723" t="str">
        <f>IFERROR('Facility Master'!B19,"")</f>
        <v>RBL Bank</v>
      </c>
      <c r="C18" s="723" t="str">
        <f>IFERROR('Facility Master'!C19,"")</f>
        <v>Buyer's Credit from GIFT City - CAPEX</v>
      </c>
      <c r="D18" s="724" t="str">
        <f>IFERROR('Facility Master'!D19,"")</f>
        <v>FB-FCY</v>
      </c>
      <c r="E18" s="936">
        <f>IFERROR('Facility Master'!H19,0)</f>
        <v>0</v>
      </c>
      <c r="F18" s="725">
        <f>IFERROR('Facility Master'!K19,0)</f>
        <v>172</v>
      </c>
      <c r="G18" s="725">
        <f>IFERROR('Facility Master'!M19,0)</f>
        <v>172</v>
      </c>
      <c r="H18" s="727">
        <f>IFERROR('Facility Master'!R19,0)</f>
        <v>4.2999999999999997E-2</v>
      </c>
      <c r="I18" s="823">
        <f t="shared" si="0"/>
        <v>7.395999999999999</v>
      </c>
      <c r="J18" s="724" t="str">
        <f>IFERROR('Facility Master'!I19,"")</f>
        <v>USD</v>
      </c>
      <c r="K18" s="937" t="str">
        <f>IFERROR('Facility Master'!AF19,"")</f>
        <v>INR-capped at ₹172 Cr.</v>
      </c>
    </row>
    <row r="19" spans="1:11" ht="22.05" customHeight="1" x14ac:dyDescent="0.3">
      <c r="A19" s="735">
        <v>16</v>
      </c>
      <c r="B19" s="736" t="str">
        <f>IFERROR('Facility Master'!B20,"")</f>
        <v>YES Bank</v>
      </c>
      <c r="C19" s="736" t="str">
        <f>IFERROR('Facility Master'!C20,"")</f>
        <v>Purchase Invoice Financing</v>
      </c>
      <c r="D19" s="737" t="str">
        <f>IFERROR('Facility Master'!D20,"")</f>
        <v>FB</v>
      </c>
      <c r="E19" s="943">
        <f>IFERROR('Facility Master'!H20,0)</f>
        <v>0</v>
      </c>
      <c r="F19" s="738">
        <f>IFERROR('Facility Master'!K20,0)</f>
        <v>100</v>
      </c>
      <c r="G19" s="738">
        <f>IFERROR('Facility Master'!M20,0)</f>
        <v>100</v>
      </c>
      <c r="H19" s="740">
        <f>IFERROR('Facility Master'!R20,0)</f>
        <v>9.5000000000000001E-2</v>
      </c>
      <c r="I19" s="845">
        <f t="shared" si="0"/>
        <v>9.5</v>
      </c>
      <c r="J19" s="737" t="str">
        <f>IFERROR('Facility Master'!I20,"")</f>
        <v>INR</v>
      </c>
      <c r="K19" s="944" t="str">
        <f>IFERROR('Facility Master'!AF20,"")</f>
        <v>New facility; interest payable upfront.</v>
      </c>
    </row>
    <row r="20" spans="1:11" ht="22.05" customHeight="1" x14ac:dyDescent="0.3">
      <c r="A20" s="735">
        <v>17</v>
      </c>
      <c r="B20" s="736" t="str">
        <f>IFERROR('Facility Master'!B21,"")</f>
        <v>YES Bank</v>
      </c>
      <c r="C20" s="736" t="str">
        <f>IFERROR('Facility Master'!C21,"")</f>
        <v>Cash Credit</v>
      </c>
      <c r="D20" s="737" t="str">
        <f>IFERROR('Facility Master'!D21,"")</f>
        <v>FB</v>
      </c>
      <c r="E20" s="943">
        <f>IFERROR('Facility Master'!H21,0)</f>
        <v>0</v>
      </c>
      <c r="F20" s="738">
        <f>IFERROR('Facility Master'!K21,0)</f>
        <v>25</v>
      </c>
      <c r="G20" s="738">
        <f>IFERROR('Facility Master'!M21,0)</f>
        <v>25</v>
      </c>
      <c r="H20" s="740">
        <f>IFERROR('Facility Master'!R21,0)</f>
        <v>9.0700000000000003E-2</v>
      </c>
      <c r="I20" s="845">
        <f t="shared" si="0"/>
        <v>2.2675000000000001</v>
      </c>
      <c r="J20" s="737" t="str">
        <f>IFERROR('Facility Master'!I21,"")</f>
        <v>INR</v>
      </c>
      <c r="K20" s="944" t="str">
        <f>IFERROR('Facility Master'!AF21,"")</f>
        <v>Pricing moved to 3M MCLR + 7 bps on 19-Mar-2026.</v>
      </c>
    </row>
    <row r="21" spans="1:11" ht="22.05" customHeight="1" x14ac:dyDescent="0.3">
      <c r="A21" s="735">
        <v>18</v>
      </c>
      <c r="B21" s="844" t="str">
        <f>IFERROR('Facility Master'!B22,"")</f>
        <v>YES Bank</v>
      </c>
      <c r="C21" s="844" t="str">
        <f>IFERROR('Facility Master'!C22,"")</f>
        <v>Letter of Credit</v>
      </c>
      <c r="D21" s="737" t="str">
        <f>IFERROR('Facility Master'!D22,"")</f>
        <v>NFB</v>
      </c>
      <c r="E21" s="943">
        <f>IFERROR('Facility Master'!H22,0)</f>
        <v>2</v>
      </c>
      <c r="F21" s="738">
        <f>IFERROR('Facility Master'!K22,0)</f>
        <v>200</v>
      </c>
      <c r="G21" s="738">
        <f>IFERROR('Facility Master'!M22,0)</f>
        <v>200</v>
      </c>
      <c r="H21" s="740">
        <f>IFERROR('Facility Master'!R22,0)</f>
        <v>0</v>
      </c>
      <c r="I21" s="845">
        <f t="shared" si="0"/>
        <v>0</v>
      </c>
      <c r="J21" s="737" t="str">
        <f>IFERROR('Facility Master'!I22,"")</f>
        <v>INR</v>
      </c>
      <c r="K21" s="944" t="str">
        <f>IFERROR('Facility Master'!AF22,"")</f>
        <v>Overall WC cap INR 200 Cr net of receivable finance.</v>
      </c>
    </row>
    <row r="22" spans="1:11" ht="22.05" customHeight="1" x14ac:dyDescent="0.3">
      <c r="A22" s="735">
        <v>19</v>
      </c>
      <c r="B22" s="736" t="str">
        <f>IFERROR('Facility Master'!B23,"")</f>
        <v>YES Bank</v>
      </c>
      <c r="C22" s="736" t="str">
        <f>IFERROR('Facility Master'!C23,"")</f>
        <v>Financial BG / SBLC</v>
      </c>
      <c r="D22" s="737" t="str">
        <f>IFERROR('Facility Master'!D23,"")</f>
        <v>NFB</v>
      </c>
      <c r="E22" s="943">
        <f>IFERROR('Facility Master'!H23,0)</f>
        <v>0</v>
      </c>
      <c r="F22" s="738">
        <f>IFERROR('Facility Master'!K23,0)</f>
        <v>200</v>
      </c>
      <c r="G22" s="738">
        <f>IFERROR('Facility Master'!M23,0)</f>
        <v>200</v>
      </c>
      <c r="H22" s="740">
        <f>IFERROR('Facility Master'!R23,0)</f>
        <v>5.0000000000000001E-3</v>
      </c>
      <c r="I22" s="845">
        <f t="shared" si="0"/>
        <v>1</v>
      </c>
      <c r="J22" s="737" t="str">
        <f>IFERROR('Facility Master'!I23,"")</f>
        <v>INR</v>
      </c>
      <c r="K22" s="944" t="str">
        <f>IFERROR('Facility Master'!AF23,"")</f>
        <v>Sub-limit of LC (Main).</v>
      </c>
    </row>
    <row r="23" spans="1:11" ht="22.05" customHeight="1" x14ac:dyDescent="0.3">
      <c r="A23" s="735">
        <v>20</v>
      </c>
      <c r="B23" s="736" t="str">
        <f>IFERROR('Facility Master'!B24,"")</f>
        <v>YES Bank</v>
      </c>
      <c r="C23" s="736" t="str">
        <f>IFERROR('Facility Master'!C24,"")</f>
        <v>Working Capital Demand Loan (WCDL)</v>
      </c>
      <c r="D23" s="737" t="str">
        <f>IFERROR('Facility Master'!D24,"")</f>
        <v>FB</v>
      </c>
      <c r="E23" s="943">
        <f>IFERROR('Facility Master'!H24,0)</f>
        <v>0</v>
      </c>
      <c r="F23" s="738">
        <f>IFERROR('Facility Master'!K24,0)</f>
        <v>50</v>
      </c>
      <c r="G23" s="738">
        <f>IFERROR('Facility Master'!M24,0)</f>
        <v>50</v>
      </c>
      <c r="H23" s="740">
        <f>IFERROR('Facility Master'!R24,0)</f>
        <v>0</v>
      </c>
      <c r="I23" s="845">
        <f t="shared" si="0"/>
        <v>0</v>
      </c>
      <c r="J23" s="737" t="str">
        <f>IFERROR('Facility Master'!I24,"")</f>
        <v>INR</v>
      </c>
      <c r="K23" s="944" t="str">
        <f>IFERROR('Facility Master'!AF24,"")</f>
        <v>Min utilisation covenant: 40% of YBL limits.</v>
      </c>
    </row>
    <row r="24" spans="1:11" ht="22.05" customHeight="1" x14ac:dyDescent="0.3">
      <c r="A24" s="735">
        <v>21</v>
      </c>
      <c r="B24" s="844" t="str">
        <f>IFERROR('Facility Master'!B25,"")</f>
        <v>YES Bank</v>
      </c>
      <c r="C24" s="844" t="str">
        <f>IFERROR('Facility Master'!C25,"")</f>
        <v>Term Loan (Refinance Canara)</v>
      </c>
      <c r="D24" s="737" t="str">
        <f>IFERROR('Facility Master'!D25,"")</f>
        <v>FB-Term</v>
      </c>
      <c r="E24" s="943">
        <f>IFERROR('Facility Master'!H25,0)</f>
        <v>1</v>
      </c>
      <c r="F24" s="738">
        <f>IFERROR('Facility Master'!K25,0)</f>
        <v>320.7</v>
      </c>
      <c r="G24" s="738">
        <f>IFERROR('Facility Master'!M25,0)</f>
        <v>295.96119999999996</v>
      </c>
      <c r="H24" s="740">
        <f>IFERROR('Facility Master'!R25,0)</f>
        <v>7.6999999999999999E-2</v>
      </c>
      <c r="I24" s="845">
        <f t="shared" si="0"/>
        <v>22.789012399999997</v>
      </c>
      <c r="J24" s="737" t="str">
        <f>IFERROR('Facility Master'!I25,"")</f>
        <v>INR</v>
      </c>
      <c r="K24" s="944" t="s">
        <v>790</v>
      </c>
    </row>
    <row r="25" spans="1:11" ht="22.05" customHeight="1" x14ac:dyDescent="0.3">
      <c r="A25" s="742">
        <v>22</v>
      </c>
      <c r="B25" s="848" t="str">
        <f>IFERROR('Facility Master'!B26,"")</f>
        <v>Bajaj Finance</v>
      </c>
      <c r="C25" s="848" t="str">
        <f>IFERROR('Facility Master'!C26,"")</f>
        <v>Term Loan</v>
      </c>
      <c r="D25" s="744" t="str">
        <f>IFERROR('Facility Master'!D26,"")</f>
        <v>FB-Term</v>
      </c>
      <c r="E25" s="945">
        <f>IFERROR('Facility Master'!H26,0)</f>
        <v>1</v>
      </c>
      <c r="F25" s="745">
        <f>IFERROR('Facility Master'!K26,0)</f>
        <v>150</v>
      </c>
      <c r="G25" s="745">
        <f>IFERROR('Facility Master'!M26,0)</f>
        <v>150</v>
      </c>
      <c r="H25" s="747">
        <f>IFERROR('Facility Master'!R26,0)</f>
        <v>8.6000000000000007E-2</v>
      </c>
      <c r="I25" s="849">
        <f t="shared" si="0"/>
        <v>12.9</v>
      </c>
      <c r="J25" s="744" t="str">
        <f>IFERROR('Facility Master'!I26,"")</f>
        <v>INR</v>
      </c>
      <c r="K25" s="946" t="s">
        <v>791</v>
      </c>
    </row>
    <row r="26" spans="1:11" ht="22.05" customHeight="1" x14ac:dyDescent="0.3">
      <c r="A26" s="947">
        <v>23</v>
      </c>
      <c r="B26" s="948" t="str">
        <f>IFERROR('Facility Master'!B27,"")</f>
        <v>ICICI Bank</v>
      </c>
      <c r="C26" s="948" t="str">
        <f>IFERROR('Facility Master'!C27,"")</f>
        <v>Cash Credit</v>
      </c>
      <c r="D26" s="949" t="str">
        <f>IFERROR('Facility Master'!D27,"")</f>
        <v>FB</v>
      </c>
      <c r="E26" s="950">
        <f>IFERROR('Facility Master'!H27,0)</f>
        <v>1</v>
      </c>
      <c r="F26" s="951">
        <f>IFERROR('Facility Master'!K27,0)</f>
        <v>50</v>
      </c>
      <c r="G26" s="951">
        <f>IFERROR('Facility Master'!M27,0)</f>
        <v>50</v>
      </c>
      <c r="H26" s="952">
        <f>IFERROR('Facility Master'!R27,0)</f>
        <v>8.7500000000000008E-2</v>
      </c>
      <c r="I26" s="953">
        <f t="shared" si="0"/>
        <v>4.375</v>
      </c>
      <c r="J26" s="949" t="str">
        <f>IFERROR('Facility Master'!I27,"")</f>
        <v>INR</v>
      </c>
      <c r="K26" s="954" t="str">
        <f>IFERROR('Facility Master'!AF27,"")</f>
        <v>Reset 6 monthly; one-way interchangeability CC→LC.</v>
      </c>
    </row>
    <row r="27" spans="1:11" ht="22.05" customHeight="1" x14ac:dyDescent="0.3">
      <c r="A27" s="947">
        <v>24</v>
      </c>
      <c r="B27" s="955" t="str">
        <f>IFERROR('Facility Master'!B28,"")</f>
        <v>ICICI Bank</v>
      </c>
      <c r="C27" s="955" t="str">
        <f>IFERROR('Facility Master'!C28,"")</f>
        <v>Working Capital Demand Loan (WCDL)</v>
      </c>
      <c r="D27" s="949" t="str">
        <f>IFERROR('Facility Master'!D28,"")</f>
        <v>FB</v>
      </c>
      <c r="E27" s="950">
        <f>IFERROR('Facility Master'!H28,0)</f>
        <v>0</v>
      </c>
      <c r="F27" s="951">
        <f>IFERROR('Facility Master'!K28,0)</f>
        <v>50</v>
      </c>
      <c r="G27" s="951">
        <f>IFERROR('Facility Master'!M28,0)</f>
        <v>50</v>
      </c>
      <c r="H27" s="952">
        <f>IFERROR('Facility Master'!R28,0)</f>
        <v>5.2499999999999998E-2</v>
      </c>
      <c r="I27" s="953">
        <f t="shared" si="0"/>
        <v>2.625</v>
      </c>
      <c r="J27" s="949" t="str">
        <f>IFERROR('Facility Master'!I28,"")</f>
        <v>INR</v>
      </c>
      <c r="K27" s="954" t="str">
        <f>IFERROR('Facility Master'!AF28,"")</f>
        <v>Repo reset; spread TBD.</v>
      </c>
    </row>
    <row r="28" spans="1:11" ht="22.05" customHeight="1" x14ac:dyDescent="0.3">
      <c r="A28" s="947">
        <v>25</v>
      </c>
      <c r="B28" s="948" t="str">
        <f>IFERROR('Facility Master'!B29,"")</f>
        <v>ICICI Bank</v>
      </c>
      <c r="C28" s="948" t="str">
        <f>IFERROR('Facility Master'!C29,"")</f>
        <v>Letter of Credit (Inland/Foreign)</v>
      </c>
      <c r="D28" s="949" t="str">
        <f>IFERROR('Facility Master'!D29,"")</f>
        <v>NFB</v>
      </c>
      <c r="E28" s="950">
        <f>IFERROR('Facility Master'!H29,0)</f>
        <v>2</v>
      </c>
      <c r="F28" s="951">
        <f>IFERROR('Facility Master'!K29,0)</f>
        <v>150</v>
      </c>
      <c r="G28" s="951">
        <f>IFERROR('Facility Master'!M29,0)</f>
        <v>150</v>
      </c>
      <c r="H28" s="952">
        <f>IFERROR('Facility Master'!R29,0)</f>
        <v>5.0000000000000001E-3</v>
      </c>
      <c r="I28" s="953">
        <f t="shared" si="0"/>
        <v>0.75</v>
      </c>
      <c r="J28" s="949" t="str">
        <f>IFERROR('Facility Master'!I29,"")</f>
        <v>INR</v>
      </c>
      <c r="K28" s="954" t="str">
        <f>IFERROR('Facility Master'!AF29,"")</f>
        <v>LC to JSL Global Commodities Pte Ltd capped at INR 25 Cr.</v>
      </c>
    </row>
    <row r="29" spans="1:11" ht="22.05" customHeight="1" x14ac:dyDescent="0.3">
      <c r="A29" s="947">
        <v>26</v>
      </c>
      <c r="B29" s="955" t="str">
        <f>IFERROR('Facility Master'!B30,"")</f>
        <v>ICICI Bank</v>
      </c>
      <c r="C29" s="955" t="str">
        <f>IFERROR('Facility Master'!C30,"")</f>
        <v>SBLC for Buyers' Credit</v>
      </c>
      <c r="D29" s="949" t="str">
        <f>IFERROR('Facility Master'!D30,"")</f>
        <v>NFB</v>
      </c>
      <c r="E29" s="950">
        <f>IFERROR('Facility Master'!H30,0)</f>
        <v>0</v>
      </c>
      <c r="F29" s="951">
        <f>IFERROR('Facility Master'!K30,0)</f>
        <v>150</v>
      </c>
      <c r="G29" s="951">
        <f>IFERROR('Facility Master'!M30,0)</f>
        <v>150</v>
      </c>
      <c r="H29" s="952">
        <f>IFERROR('Facility Master'!R30,0)</f>
        <v>5.0000000000000001E-3</v>
      </c>
      <c r="I29" s="953">
        <f t="shared" si="0"/>
        <v>0.75</v>
      </c>
      <c r="J29" s="949" t="str">
        <f>IFERROR('Facility Master'!I30,"")</f>
        <v>INR</v>
      </c>
      <c r="K29" s="954" t="str">
        <f>IFERROR('Facility Master'!AF30,"")</f>
        <v>Sub-limit of LC.</v>
      </c>
    </row>
    <row r="30" spans="1:11" ht="22.05" customHeight="1" x14ac:dyDescent="0.3">
      <c r="A30" s="947">
        <v>27</v>
      </c>
      <c r="B30" s="955" t="str">
        <f>IFERROR('Facility Master'!B31,"")</f>
        <v>ICICI Bank</v>
      </c>
      <c r="C30" s="955" t="str">
        <f>IFERROR('Facility Master'!C31,"")</f>
        <v>Bank Guarantee - Performance</v>
      </c>
      <c r="D30" s="949" t="str">
        <f>IFERROR('Facility Master'!D31,"")</f>
        <v>NFB</v>
      </c>
      <c r="E30" s="950">
        <f>IFERROR('Facility Master'!H31,0)</f>
        <v>0</v>
      </c>
      <c r="F30" s="951">
        <f>IFERROR('Facility Master'!K31,0)</f>
        <v>25</v>
      </c>
      <c r="G30" s="951">
        <f>IFERROR('Facility Master'!M31,0)</f>
        <v>25</v>
      </c>
      <c r="H30" s="952">
        <f>IFERROR('Facility Master'!R31,0)</f>
        <v>5.0000000000000001E-3</v>
      </c>
      <c r="I30" s="953">
        <f t="shared" si="0"/>
        <v>0.125</v>
      </c>
      <c r="J30" s="949" t="str">
        <f>IFERROR('Facility Master'!I31,"")</f>
        <v>INR</v>
      </c>
      <c r="K30" s="954" t="str">
        <f>IFERROR('Facility Master'!AF31,"")</f>
        <v>Sub-limit of LC.</v>
      </c>
    </row>
    <row r="31" spans="1:11" ht="22.05" customHeight="1" x14ac:dyDescent="0.3">
      <c r="A31" s="947">
        <v>28</v>
      </c>
      <c r="B31" s="955" t="str">
        <f>IFERROR('Facility Master'!B32,"")</f>
        <v>ICICI Bank</v>
      </c>
      <c r="C31" s="955" t="str">
        <f>IFERROR('Facility Master'!C32,"")</f>
        <v>Bank Guarantee - Financial</v>
      </c>
      <c r="D31" s="949" t="str">
        <f>IFERROR('Facility Master'!D32,"")</f>
        <v>NFB</v>
      </c>
      <c r="E31" s="950">
        <f>IFERROR('Facility Master'!H32,0)</f>
        <v>0</v>
      </c>
      <c r="F31" s="951">
        <f>IFERROR('Facility Master'!K32,0)</f>
        <v>5</v>
      </c>
      <c r="G31" s="951">
        <f>IFERROR('Facility Master'!M32,0)</f>
        <v>5</v>
      </c>
      <c r="H31" s="952">
        <f>IFERROR('Facility Master'!R32,0)</f>
        <v>6.0000000000000001E-3</v>
      </c>
      <c r="I31" s="953">
        <f t="shared" si="0"/>
        <v>0.03</v>
      </c>
      <c r="J31" s="949" t="str">
        <f>IFERROR('Facility Master'!I32,"")</f>
        <v>INR</v>
      </c>
      <c r="K31" s="954" t="str">
        <f>IFERROR('Facility Master'!AF32,"")</f>
        <v>Sub-limit of LC.</v>
      </c>
    </row>
    <row r="32" spans="1:11" ht="22.05" customHeight="1" x14ac:dyDescent="0.3">
      <c r="A32" s="749">
        <v>29</v>
      </c>
      <c r="B32" s="750" t="str">
        <f>IFERROR('Facility Master'!B33,"")</f>
        <v>South Indian Bank</v>
      </c>
      <c r="C32" s="750" t="str">
        <f>IFERROR('Facility Master'!C33,"")</f>
        <v>CCOL (Cash Credit)</v>
      </c>
      <c r="D32" s="751" t="str">
        <f>IFERROR('Facility Master'!D33,"")</f>
        <v>FB</v>
      </c>
      <c r="E32" s="956">
        <f>IFERROR('Facility Master'!H33,0)</f>
        <v>0</v>
      </c>
      <c r="F32" s="752">
        <f>IFERROR('Facility Master'!K33,0)</f>
        <v>50</v>
      </c>
      <c r="G32" s="752">
        <f>IFERROR('Facility Master'!M33,0)</f>
        <v>50</v>
      </c>
      <c r="H32" s="754">
        <f>IFERROR('Facility Master'!R33,0)</f>
        <v>0.10200000000000001</v>
      </c>
      <c r="I32" s="853">
        <f t="shared" si="0"/>
        <v>5.1000000000000005</v>
      </c>
      <c r="J32" s="751" t="str">
        <f>IFERROR('Facility Master'!I33,"")</f>
        <v>INR</v>
      </c>
      <c r="K32" s="957" t="str">
        <f>IFERROR('Facility Master'!AF33,"")</f>
        <v>Annual reset.</v>
      </c>
    </row>
    <row r="33" spans="1:11" ht="22.05" customHeight="1" x14ac:dyDescent="0.3">
      <c r="A33" s="749">
        <v>30</v>
      </c>
      <c r="B33" s="750" t="str">
        <f>IFERROR('Facility Master'!B34,"")</f>
        <v>South Indian Bank</v>
      </c>
      <c r="C33" s="750" t="str">
        <f>IFERROR('Facility Master'!C34,"")</f>
        <v>WCL / WCDL</v>
      </c>
      <c r="D33" s="751" t="str">
        <f>IFERROR('Facility Master'!D34,"")</f>
        <v>FB</v>
      </c>
      <c r="E33" s="956">
        <f>IFERROR('Facility Master'!H34,0)</f>
        <v>0</v>
      </c>
      <c r="F33" s="752">
        <f>IFERROR('Facility Master'!K34,0)</f>
        <v>50</v>
      </c>
      <c r="G33" s="752">
        <f>IFERROR('Facility Master'!M34,0)</f>
        <v>50</v>
      </c>
      <c r="H33" s="754">
        <f>IFERROR('Facility Master'!R34,0)</f>
        <v>0</v>
      </c>
      <c r="I33" s="853">
        <f t="shared" si="0"/>
        <v>0</v>
      </c>
      <c r="J33" s="751" t="str">
        <f>IFERROR('Facility Master'!I34,"")</f>
        <v>INR</v>
      </c>
      <c r="K33" s="957" t="str">
        <f>IFERROR('Facility Master'!AF34,"")</f>
        <v>Sub-limit of CCOL.</v>
      </c>
    </row>
    <row r="34" spans="1:11" ht="22.05" customHeight="1" x14ac:dyDescent="0.3">
      <c r="A34" s="749">
        <v>31</v>
      </c>
      <c r="B34" s="852" t="str">
        <f>IFERROR('Facility Master'!B35,"")</f>
        <v>South Indian Bank</v>
      </c>
      <c r="C34" s="852" t="str">
        <f>IFERROR('Facility Master'!C35,"")</f>
        <v>Inland / Import LC</v>
      </c>
      <c r="D34" s="751" t="str">
        <f>IFERROR('Facility Master'!D35,"")</f>
        <v>NFB</v>
      </c>
      <c r="E34" s="956">
        <f>IFERROR('Facility Master'!H35,0)</f>
        <v>2</v>
      </c>
      <c r="F34" s="752">
        <f>IFERROR('Facility Master'!K35,0)</f>
        <v>150</v>
      </c>
      <c r="G34" s="752">
        <f>IFERROR('Facility Master'!M35,0)</f>
        <v>150</v>
      </c>
      <c r="H34" s="754">
        <f>IFERROR('Facility Master'!R35,0)</f>
        <v>6.4999999999999997E-3</v>
      </c>
      <c r="I34" s="853">
        <f t="shared" si="0"/>
        <v>0.97499999999999998</v>
      </c>
      <c r="J34" s="751" t="str">
        <f>IFERROR('Facility Master'!I35,"")</f>
        <v>INR</v>
      </c>
      <c r="K34" s="957" t="str">
        <f>IFERROR('Facility Master'!AF35,"")</f>
        <v>Total LC + Capex LC ≤ INR 150 Cr.</v>
      </c>
    </row>
    <row r="35" spans="1:11" ht="22.05" customHeight="1" x14ac:dyDescent="0.3">
      <c r="A35" s="749">
        <v>32</v>
      </c>
      <c r="B35" s="750" t="str">
        <f>IFERROR('Facility Master'!B36,"")</f>
        <v>South Indian Bank</v>
      </c>
      <c r="C35" s="750" t="str">
        <f>IFERROR('Facility Master'!C36,"")</f>
        <v>Capex LC</v>
      </c>
      <c r="D35" s="751" t="str">
        <f>IFERROR('Facility Master'!D36,"")</f>
        <v>NFB</v>
      </c>
      <c r="E35" s="956">
        <f>IFERROR('Facility Master'!H36,0)</f>
        <v>0</v>
      </c>
      <c r="F35" s="752">
        <f>IFERROR('Facility Master'!K36,0)</f>
        <v>50</v>
      </c>
      <c r="G35" s="752">
        <f>IFERROR('Facility Master'!M36,0)</f>
        <v>50</v>
      </c>
      <c r="H35" s="754">
        <f>IFERROR('Facility Master'!R36,0)</f>
        <v>7.4999999999999997E-3</v>
      </c>
      <c r="I35" s="853">
        <f t="shared" si="0"/>
        <v>0.375</v>
      </c>
      <c r="J35" s="751" t="str">
        <f>IFERROR('Facility Master'!I36,"")</f>
        <v>INR</v>
      </c>
      <c r="K35" s="957" t="str">
        <f>IFERROR('Facility Master'!AF36,"")</f>
        <v>Combined with Inland/Import LC limit.</v>
      </c>
    </row>
    <row r="36" spans="1:11" ht="22.05" customHeight="1" x14ac:dyDescent="0.3">
      <c r="A36" s="749">
        <v>33</v>
      </c>
      <c r="B36" s="750" t="str">
        <f>IFERROR('Facility Master'!B37,"")</f>
        <v>South Indian Bank</v>
      </c>
      <c r="C36" s="750" t="str">
        <f>IFERROR('Facility Master'!C37,"")</f>
        <v>SBLC</v>
      </c>
      <c r="D36" s="751" t="str">
        <f>IFERROR('Facility Master'!D37,"")</f>
        <v>NFB</v>
      </c>
      <c r="E36" s="956">
        <f>IFERROR('Facility Master'!H37,0)</f>
        <v>0</v>
      </c>
      <c r="F36" s="752">
        <f>IFERROR('Facility Master'!K37,0)</f>
        <v>150</v>
      </c>
      <c r="G36" s="752">
        <f>IFERROR('Facility Master'!M37,0)</f>
        <v>150</v>
      </c>
      <c r="H36" s="754">
        <f>IFERROR('Facility Master'!R37,0)</f>
        <v>6.4999999999999997E-3</v>
      </c>
      <c r="I36" s="853">
        <f t="shared" si="0"/>
        <v>0.97499999999999998</v>
      </c>
      <c r="J36" s="751" t="str">
        <f>IFERROR('Facility Master'!I37,"")</f>
        <v>INR</v>
      </c>
      <c r="K36" s="957" t="str">
        <f>IFERROR('Facility Master'!AF37,"")</f>
        <v>Sub-limit of LC.</v>
      </c>
    </row>
    <row r="37" spans="1:11" ht="22.05" customHeight="1" x14ac:dyDescent="0.3">
      <c r="A37" s="856">
        <v>34</v>
      </c>
      <c r="B37" s="857" t="str">
        <f>IFERROR('Facility Master'!B38,"")</f>
        <v>South Indian Bank</v>
      </c>
      <c r="C37" s="857" t="str">
        <f>IFERROR('Facility Master'!C38,"")</f>
        <v>Forward Contract Limit</v>
      </c>
      <c r="D37" s="858" t="str">
        <f>IFERROR('Facility Master'!D38,"")</f>
        <v>Hedge</v>
      </c>
      <c r="E37" s="958">
        <f>IFERROR('Facility Master'!H38,0)</f>
        <v>0</v>
      </c>
      <c r="F37" s="859">
        <f>IFERROR('Facility Master'!K38,0)</f>
        <v>3</v>
      </c>
      <c r="G37" s="859">
        <f>IFERROR('Facility Master'!M38,0)</f>
        <v>3</v>
      </c>
      <c r="H37" s="861">
        <f>IFERROR('Facility Master'!R38,0)</f>
        <v>0</v>
      </c>
      <c r="I37" s="862">
        <f t="shared" si="0"/>
        <v>0</v>
      </c>
      <c r="J37" s="858" t="str">
        <f>IFERROR('Facility Master'!I38,"")</f>
        <v>INR</v>
      </c>
      <c r="K37" s="959" t="str">
        <f>IFERROR('Facility Master'!AF38,"")</f>
        <v>Notional limit.</v>
      </c>
    </row>
    <row r="38" spans="1:11" ht="7.95" customHeight="1" x14ac:dyDescent="0.3">
      <c r="A38" s="714"/>
      <c r="B38" s="714"/>
      <c r="C38" s="714"/>
      <c r="D38" s="714"/>
      <c r="E38" s="714"/>
      <c r="F38" s="714"/>
      <c r="G38" s="714"/>
      <c r="H38" s="714"/>
      <c r="I38" s="714"/>
      <c r="J38" s="714"/>
      <c r="K38" s="714"/>
    </row>
    <row r="39" spans="1:11" ht="19.95" customHeight="1" x14ac:dyDescent="0.3">
      <c r="A39" s="763" t="s">
        <v>577</v>
      </c>
      <c r="B39" s="764"/>
      <c r="C39" s="764"/>
      <c r="D39" s="764"/>
      <c r="E39" s="764"/>
      <c r="F39" s="764"/>
      <c r="G39" s="764"/>
      <c r="H39" s="764"/>
      <c r="I39" s="765"/>
      <c r="J39" s="715"/>
      <c r="K39" s="715"/>
    </row>
    <row r="40" spans="1:11" ht="18" customHeight="1" x14ac:dyDescent="0.3">
      <c r="A40" s="769" t="s">
        <v>578</v>
      </c>
      <c r="B40" s="767"/>
      <c r="C40" s="767"/>
      <c r="D40" s="767"/>
      <c r="E40" s="767"/>
      <c r="F40" s="767"/>
      <c r="G40" s="767"/>
      <c r="H40" s="767"/>
      <c r="I40" s="960">
        <f t="array" ref="I40">IFERROR(SUMPRODUCT(('Facility Master'!H5:H38=1)*'Facility Master'!M5:M38*'Facility Master'!R5:R38),0)</f>
        <v>40.064012399999996</v>
      </c>
      <c r="J40" s="716"/>
      <c r="K40" s="716"/>
    </row>
    <row r="41" spans="1:11" ht="18" customHeight="1" x14ac:dyDescent="0.3">
      <c r="A41" s="769" t="s">
        <v>579</v>
      </c>
      <c r="B41" s="767"/>
      <c r="C41" s="767"/>
      <c r="D41" s="767"/>
      <c r="E41" s="767"/>
      <c r="F41" s="767"/>
      <c r="G41" s="767"/>
      <c r="H41" s="767"/>
      <c r="I41" s="960">
        <f t="array" ref="I41">IFERROR(SUMPRODUCT(('Facility Master'!H5:H38=2)*'Facility Master'!M5:M38*'Facility Master'!R5:R38),0)</f>
        <v>1.7250000000000001</v>
      </c>
      <c r="J41" s="716"/>
      <c r="K41" s="716"/>
    </row>
    <row r="42" spans="1:11" ht="18" customHeight="1" x14ac:dyDescent="0.3">
      <c r="A42" s="769" t="s">
        <v>580</v>
      </c>
      <c r="B42" s="767"/>
      <c r="C42" s="767"/>
      <c r="D42" s="767"/>
      <c r="E42" s="767"/>
      <c r="F42" s="767"/>
      <c r="G42" s="767"/>
      <c r="H42" s="767"/>
      <c r="I42" s="960">
        <f t="array" ref="I42">IFERROR(SUMPRODUCT(('Facility Master'!H5:H38=3)*'Facility Master'!M5:M38*'Facility Master'!R5:R38),0)</f>
        <v>7.2500000000000009</v>
      </c>
      <c r="J42" s="716"/>
      <c r="K42" s="716"/>
    </row>
    <row r="43" spans="1:11" ht="18" customHeight="1" x14ac:dyDescent="0.3">
      <c r="A43" s="961" t="s">
        <v>581</v>
      </c>
      <c r="B43" s="962"/>
      <c r="C43" s="962"/>
      <c r="D43" s="962"/>
      <c r="E43" s="962"/>
      <c r="F43" s="962"/>
      <c r="G43" s="962"/>
      <c r="H43" s="962"/>
      <c r="I43" s="963">
        <f>I40+I41+I42</f>
        <v>49.039012399999997</v>
      </c>
      <c r="J43" s="935"/>
      <c r="K43" s="935"/>
    </row>
    <row r="44" spans="1:11" ht="18" customHeight="1" x14ac:dyDescent="0.3">
      <c r="A44" s="964" t="s">
        <v>582</v>
      </c>
      <c r="B44" s="869"/>
      <c r="C44" s="869"/>
      <c r="D44" s="869"/>
      <c r="E44" s="869"/>
      <c r="F44" s="869"/>
      <c r="G44" s="869"/>
      <c r="H44" s="869"/>
      <c r="I44" s="965">
        <f>IFERROR(I40/SUMIFS('Facility Master'!M:M,'Facility Master'!H:H,1),0)</f>
        <v>8.0780537671092015E-2</v>
      </c>
      <c r="J44" s="716"/>
      <c r="K44" s="716"/>
    </row>
    <row r="45" spans="1:11" ht="21.75" customHeight="1" x14ac:dyDescent="0.3"/>
    <row r="46" spans="1:11" ht="21.75" customHeight="1" x14ac:dyDescent="0.3"/>
    <row r="47" spans="1:11" ht="21.75" customHeight="1" x14ac:dyDescent="0.3"/>
    <row r="48" spans="1:11" ht="21.75" customHeight="1" x14ac:dyDescent="0.3"/>
    <row r="49" ht="21.75" customHeight="1" x14ac:dyDescent="0.3"/>
    <row r="51" ht="21.75" customHeight="1" x14ac:dyDescent="0.3"/>
    <row r="52" ht="30" customHeight="1" x14ac:dyDescent="0.3"/>
  </sheetData>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37"/>
  <sheetViews>
    <sheetView showGridLines="0" zoomScaleNormal="100" workbookViewId="0">
      <pane ySplit="3" topLeftCell="A15" activePane="bottomLeft" state="frozen"/>
      <selection pane="bottomLeft" activeCell="D33" sqref="D33"/>
    </sheetView>
  </sheetViews>
  <sheetFormatPr defaultColWidth="8.6640625" defaultRowHeight="14.4" x14ac:dyDescent="0.3"/>
  <cols>
    <col min="1" max="1" width="16.6640625" customWidth="1"/>
    <col min="2" max="2" width="30.5546875" customWidth="1"/>
    <col min="3" max="3" width="10.21875" customWidth="1"/>
    <col min="4" max="4" width="14.77734375" customWidth="1"/>
    <col min="5" max="5" width="24.109375" customWidth="1"/>
    <col min="6" max="6" width="14.77734375" customWidth="1"/>
    <col min="7" max="7" width="16.6640625" customWidth="1"/>
    <col min="8" max="8" width="11.109375" customWidth="1"/>
    <col min="9" max="9" width="37" customWidth="1"/>
    <col min="10" max="10" width="22" customWidth="1"/>
    <col min="11" max="11" width="28" customWidth="1"/>
  </cols>
  <sheetData>
    <row r="1" spans="1:9" ht="30" customHeight="1" x14ac:dyDescent="0.35">
      <c r="A1" s="713" t="s">
        <v>583</v>
      </c>
      <c r="B1" s="713"/>
      <c r="C1" s="713"/>
      <c r="D1" s="713"/>
      <c r="E1" s="713"/>
      <c r="F1" s="713"/>
      <c r="G1" s="713"/>
      <c r="H1" s="713"/>
      <c r="I1" s="713"/>
    </row>
    <row r="2" spans="1:9" ht="18" customHeight="1" x14ac:dyDescent="0.3">
      <c r="A2" s="327" t="s">
        <v>803</v>
      </c>
      <c r="B2" s="327"/>
      <c r="C2" s="327"/>
      <c r="D2" s="327"/>
      <c r="E2" s="327"/>
      <c r="F2" s="327"/>
      <c r="G2" s="327"/>
      <c r="H2" s="327"/>
      <c r="I2" s="327"/>
    </row>
    <row r="3" spans="1:9" ht="22.05" customHeight="1" x14ac:dyDescent="0.3">
      <c r="A3" s="718" t="s">
        <v>122</v>
      </c>
      <c r="B3" s="719" t="s">
        <v>584</v>
      </c>
      <c r="C3" s="720" t="s">
        <v>585</v>
      </c>
      <c r="D3" s="720" t="s">
        <v>586</v>
      </c>
      <c r="E3" s="720" t="s">
        <v>51</v>
      </c>
      <c r="F3" s="720" t="s">
        <v>281</v>
      </c>
      <c r="G3" s="720" t="s">
        <v>52</v>
      </c>
      <c r="H3" s="720" t="s">
        <v>804</v>
      </c>
      <c r="I3" s="721" t="s">
        <v>15</v>
      </c>
    </row>
    <row r="4" spans="1:9" s="1" customFormat="1" ht="22.05" customHeight="1" x14ac:dyDescent="0.3">
      <c r="A4" s="967" t="s">
        <v>125</v>
      </c>
      <c r="B4" s="723" t="s">
        <v>587</v>
      </c>
      <c r="C4" s="724" t="s">
        <v>588</v>
      </c>
      <c r="D4" s="725">
        <v>1.5</v>
      </c>
      <c r="E4" s="725">
        <f>IFERROR((EBITDA_Active-TaxPaid_Active)/(SchedTLRep_Active+IntExp_Active),0)</f>
        <v>3.4889652877897301</v>
      </c>
      <c r="F4" s="725">
        <f>IFERROR(E4-D4,0)</f>
        <v>1.9889652877897301</v>
      </c>
      <c r="G4" s="724" t="str">
        <f>IFERROR(IF(E4&gt;=D4,IF((E4-D4)/MAX(ABS(D4),1)&gt;0.1,"Compliant","Near Breach"),"Breached"),"Pending Input")</f>
        <v>Compliant</v>
      </c>
      <c r="H4" s="724" t="str">
        <f t="shared" ref="H4:H27" si="0">IFERROR(IF(G4="Breached","Critical",IF(G4="Near Breach","High","Low")),"Low")</f>
        <v>Low</v>
      </c>
      <c r="I4" s="968" t="s">
        <v>589</v>
      </c>
    </row>
    <row r="5" spans="1:9" ht="22.05" customHeight="1" x14ac:dyDescent="0.3">
      <c r="A5" s="967" t="s">
        <v>125</v>
      </c>
      <c r="B5" s="723" t="s">
        <v>590</v>
      </c>
      <c r="C5" s="724" t="s">
        <v>591</v>
      </c>
      <c r="D5" s="725">
        <v>4</v>
      </c>
      <c r="E5" s="725">
        <f>IFERROR(TotalDebt_Active/EBITDA_Active,0)</f>
        <v>1.5965986040212523</v>
      </c>
      <c r="F5" s="725">
        <f>IFERROR(D5-E5,0)</f>
        <v>2.4034013959787477</v>
      </c>
      <c r="G5" s="724" t="str">
        <f>IFERROR(IF(E5&lt;=D5,IF((D5-E5)/MAX(ABS(D5),1)&gt;0.1,"Compliant","Near Breach"),"Breached"),"Pending Input")</f>
        <v>Compliant</v>
      </c>
      <c r="H5" s="724" t="str">
        <f t="shared" si="0"/>
        <v>Low</v>
      </c>
      <c r="I5" s="968" t="s">
        <v>589</v>
      </c>
    </row>
    <row r="6" spans="1:9" ht="22.05" customHeight="1" x14ac:dyDescent="0.3">
      <c r="A6" s="967" t="s">
        <v>125</v>
      </c>
      <c r="B6" s="723" t="s">
        <v>592</v>
      </c>
      <c r="C6" s="724" t="s">
        <v>591</v>
      </c>
      <c r="D6" s="725">
        <v>2.5</v>
      </c>
      <c r="E6" s="725">
        <f>IFERROR(TOL_Active/TNW_Active,0)</f>
        <v>1.5449853404131706</v>
      </c>
      <c r="F6" s="725">
        <f>IFERROR(D6-E6,0)</f>
        <v>0.95501465958682941</v>
      </c>
      <c r="G6" s="724" t="str">
        <f>IFERROR(IF(E6&lt;=D6,IF((D6-E6)/MAX(ABS(D6),1)&gt;0.1,"Compliant","Near Breach"),"Breached"),"Pending Input")</f>
        <v>Compliant</v>
      </c>
      <c r="H6" s="724" t="str">
        <f t="shared" si="0"/>
        <v>Low</v>
      </c>
      <c r="I6" s="968" t="s">
        <v>589</v>
      </c>
    </row>
    <row r="7" spans="1:9" ht="22.05" customHeight="1" x14ac:dyDescent="0.3">
      <c r="A7" s="967" t="s">
        <v>125</v>
      </c>
      <c r="B7" s="723" t="s">
        <v>593</v>
      </c>
      <c r="C7" s="724" t="s">
        <v>591</v>
      </c>
      <c r="D7" s="725">
        <v>3</v>
      </c>
      <c r="E7" s="725">
        <f>IFERROR(TermDebt_Active/EBITDA_Active,0)</f>
        <v>1.1232420043754558</v>
      </c>
      <c r="F7" s="725">
        <f>IFERROR(D7-E7,0)</f>
        <v>1.8767579956245442</v>
      </c>
      <c r="G7" s="724" t="str">
        <f>IFERROR(IF(E7&lt;=D7,IF((D7-E7)/MAX(ABS(D7),1)&gt;0.1,"Compliant","Near Breach"),"Breached"),"Pending Input")</f>
        <v>Compliant</v>
      </c>
      <c r="H7" s="724" t="str">
        <f t="shared" si="0"/>
        <v>Low</v>
      </c>
      <c r="I7" s="968" t="s">
        <v>589</v>
      </c>
    </row>
    <row r="8" spans="1:9" ht="22.05" customHeight="1" x14ac:dyDescent="0.3">
      <c r="A8" s="967" t="s">
        <v>125</v>
      </c>
      <c r="B8" s="723" t="s">
        <v>225</v>
      </c>
      <c r="C8" s="724" t="s">
        <v>594</v>
      </c>
      <c r="D8" s="969" t="s">
        <v>261</v>
      </c>
      <c r="E8" s="969" t="str">
        <f>Rating_Active</f>
        <v>CARE A+; Stable / A1</v>
      </c>
      <c r="F8" s="725">
        <f>IFERROR(IFERROR(VLOOKUP(IFERROR(TRIM(MID(E8,FIND(" ",E8)+1,FIND(";",E8)-FIND(" ",E8)-1)),E8),'Instructions &amp; Assumptions'!$A$61:$B$72,2,FALSE()),0)-IFERROR(VLOOKUP(D8,'Instructions &amp; Assumptions'!$A$61:$B$72,2,FALSE()),0),"N/A")</f>
        <v>3</v>
      </c>
      <c r="G8" s="724" t="str">
        <f>IF(E8="","Pending Input",IF(IFERROR(VLOOKUP(IFERROR(TRIM(MID(E8,FIND(" ",E8)+1,FIND(";",E8)-FIND(" ",E8)-1)),E8),'Instructions &amp; Assumptions'!$A$61:$B$72,2,FALSE()),0)=0,"Pending Input",IF(F8="N/A","Pending Input",IF(F8&gt;=2,"Compliant",IF(F8&gt;=0,"Near Breach","Breached")))))</f>
        <v>Compliant</v>
      </c>
      <c r="H8" s="724" t="str">
        <f t="shared" si="0"/>
        <v>Low</v>
      </c>
      <c r="I8" s="968" t="s">
        <v>595</v>
      </c>
    </row>
    <row r="9" spans="1:9" ht="22.05" customHeight="1" x14ac:dyDescent="0.3">
      <c r="A9" s="967" t="s">
        <v>125</v>
      </c>
      <c r="B9" s="723" t="s">
        <v>596</v>
      </c>
      <c r="C9" s="724" t="s">
        <v>588</v>
      </c>
      <c r="D9" s="726">
        <v>0.51</v>
      </c>
      <c r="E9" s="726">
        <f>PromStake_Active</f>
        <v>1</v>
      </c>
      <c r="F9" s="726">
        <f>IFERROR(E9-D9,0)</f>
        <v>0.49</v>
      </c>
      <c r="G9" s="724" t="str">
        <f>IFERROR(IF(E9&gt;=D9,IF((E9-D9)/MAX(ABS(D9),1)&gt;0.1,"Compliant","Near Breach"),"Breached"),"Pending Input")</f>
        <v>Compliant</v>
      </c>
      <c r="H9" s="724" t="str">
        <f t="shared" si="0"/>
        <v>Low</v>
      </c>
      <c r="I9" s="968" t="s">
        <v>597</v>
      </c>
    </row>
    <row r="10" spans="1:9" ht="22.05" customHeight="1" x14ac:dyDescent="0.3">
      <c r="A10" s="970" t="s">
        <v>124</v>
      </c>
      <c r="B10" s="736" t="s">
        <v>587</v>
      </c>
      <c r="C10" s="737" t="s">
        <v>588</v>
      </c>
      <c r="D10" s="738">
        <v>1.5</v>
      </c>
      <c r="E10" s="738">
        <f>IFERROR((EBITDA_Active-TaxPaid_Active)/(SchedTLRep_Active+IntExp_Active),0)</f>
        <v>3.4889652877897301</v>
      </c>
      <c r="F10" s="738">
        <f>IFERROR(E10-D10,0)</f>
        <v>1.9889652877897301</v>
      </c>
      <c r="G10" s="737" t="str">
        <f>IFERROR(IF(E10&gt;=D10,IF((E10-D10)/MAX(ABS(D10),1)&gt;0.1,"Compliant","Near Breach"),"Breached"),"Pending Input")</f>
        <v>Compliant</v>
      </c>
      <c r="H10" s="737" t="str">
        <f t="shared" si="0"/>
        <v>Low</v>
      </c>
      <c r="I10" s="971" t="s">
        <v>598</v>
      </c>
    </row>
    <row r="11" spans="1:9" ht="22.05" customHeight="1" x14ac:dyDescent="0.3">
      <c r="A11" s="970" t="s">
        <v>124</v>
      </c>
      <c r="B11" s="736" t="s">
        <v>590</v>
      </c>
      <c r="C11" s="737" t="s">
        <v>591</v>
      </c>
      <c r="D11" s="738">
        <v>4.5</v>
      </c>
      <c r="E11" s="738">
        <f>IFERROR(TotalDebt_Active/EBITDA_Active,0)</f>
        <v>1.5965986040212523</v>
      </c>
      <c r="F11" s="738">
        <f>IFERROR(D11-E11,0)</f>
        <v>2.9034013959787477</v>
      </c>
      <c r="G11" s="737" t="str">
        <f>IFERROR(IF(E11&lt;=D11,IF((D11-E11)/MAX(ABS(D11),1)&gt;0.1,"Compliant","Near Breach"),"Breached"),"Pending Input")</f>
        <v>Compliant</v>
      </c>
      <c r="H11" s="737" t="str">
        <f t="shared" si="0"/>
        <v>Low</v>
      </c>
      <c r="I11" s="971"/>
    </row>
    <row r="12" spans="1:9" ht="22.05" customHeight="1" x14ac:dyDescent="0.3">
      <c r="A12" s="970" t="s">
        <v>124</v>
      </c>
      <c r="B12" s="736" t="s">
        <v>592</v>
      </c>
      <c r="C12" s="737" t="s">
        <v>591</v>
      </c>
      <c r="D12" s="738">
        <v>2.5</v>
      </c>
      <c r="E12" s="738">
        <f>IFERROR(TOL_Active/TNW_Active,0)</f>
        <v>1.5449853404131706</v>
      </c>
      <c r="F12" s="738">
        <f>IFERROR(D12-E12,0)</f>
        <v>0.95501465958682941</v>
      </c>
      <c r="G12" s="737" t="str">
        <f>IFERROR(IF(E12&lt;=D12,IF((D12-E12)/MAX(ABS(D12),1)&gt;0.1,"Compliant","Near Breach"),"Breached"),"Pending Input")</f>
        <v>Compliant</v>
      </c>
      <c r="H12" s="737" t="str">
        <f t="shared" si="0"/>
        <v>Low</v>
      </c>
      <c r="I12" s="971"/>
    </row>
    <row r="13" spans="1:9" ht="22.05" customHeight="1" x14ac:dyDescent="0.3">
      <c r="A13" s="970" t="s">
        <v>124</v>
      </c>
      <c r="B13" s="736" t="s">
        <v>599</v>
      </c>
      <c r="C13" s="737" t="s">
        <v>588</v>
      </c>
      <c r="D13" s="738">
        <v>2</v>
      </c>
      <c r="E13" s="738">
        <f>IFERROR(EBITDA_Active/IntExp_Active,0)</f>
        <v>7.8231458842705788</v>
      </c>
      <c r="F13" s="738">
        <f>IFERROR(E13-D13,0)</f>
        <v>5.8231458842705788</v>
      </c>
      <c r="G13" s="737" t="str">
        <f>IFERROR(IF(E13&gt;=D13,IF((E13-D13)/MAX(ABS(D13),1)&gt;0.1,"Compliant","Near Breach"),"Breached"),"Pending Input")</f>
        <v>Compliant</v>
      </c>
      <c r="H13" s="737" t="str">
        <f t="shared" si="0"/>
        <v>Low</v>
      </c>
      <c r="I13" s="971"/>
    </row>
    <row r="14" spans="1:9" ht="22.05" customHeight="1" x14ac:dyDescent="0.3">
      <c r="A14" s="970" t="s">
        <v>124</v>
      </c>
      <c r="B14" s="736" t="s">
        <v>600</v>
      </c>
      <c r="C14" s="737" t="s">
        <v>588</v>
      </c>
      <c r="D14" s="738">
        <v>1.1000000000000001</v>
      </c>
      <c r="E14" s="738">
        <f>IFERROR(CA_Active/CL_Active,0)</f>
        <v>1.3858918115237064</v>
      </c>
      <c r="F14" s="738">
        <f>IFERROR(E14-D14,0)</f>
        <v>0.28589181152370635</v>
      </c>
      <c r="G14" s="737" t="str">
        <f>IFERROR(IF(E14&gt;=D14,IF((E14-D14)/MAX(ABS(D14),1)&gt;0.1,"Compliant","Near Breach"),"Breached"),"Pending Input")</f>
        <v>Compliant</v>
      </c>
      <c r="H14" s="737" t="str">
        <f t="shared" si="0"/>
        <v>Low</v>
      </c>
      <c r="I14" s="971"/>
    </row>
    <row r="15" spans="1:9" ht="22.05" customHeight="1" x14ac:dyDescent="0.3">
      <c r="A15" s="970" t="s">
        <v>124</v>
      </c>
      <c r="B15" s="736" t="s">
        <v>601</v>
      </c>
      <c r="C15" s="737" t="s">
        <v>588</v>
      </c>
      <c r="D15" s="738">
        <v>1.25</v>
      </c>
      <c r="E15" s="738">
        <f>IFERROR(FA_Active/SecuredDebt_Active,0)</f>
        <v>2.1742023743275833</v>
      </c>
      <c r="F15" s="738">
        <f>IFERROR(E15-D15,0)</f>
        <v>0.92420237432758334</v>
      </c>
      <c r="G15" s="737" t="str">
        <f>IFERROR(IF(E15&gt;=D15,IF((E15-D15)/MAX(ABS(D15),1)&gt;0.1,"Compliant","Near Breach"),"Breached"),"Pending Input")</f>
        <v>Compliant</v>
      </c>
      <c r="H15" s="737" t="str">
        <f t="shared" si="0"/>
        <v>Low</v>
      </c>
      <c r="I15" s="971"/>
    </row>
    <row r="16" spans="1:9" ht="22.05" customHeight="1" x14ac:dyDescent="0.3">
      <c r="A16" s="972" t="s">
        <v>127</v>
      </c>
      <c r="B16" s="743" t="s">
        <v>587</v>
      </c>
      <c r="C16" s="744" t="s">
        <v>588</v>
      </c>
      <c r="D16" s="745">
        <v>1.5</v>
      </c>
      <c r="E16" s="745">
        <f>IFERROR((EBITDA_Active-TaxPaid_Active)/(SchedTLRep_Active+IntExp_Active),0)</f>
        <v>3.4889652877897301</v>
      </c>
      <c r="F16" s="745">
        <f>IFERROR(E16-D16,0)</f>
        <v>1.9889652877897301</v>
      </c>
      <c r="G16" s="744" t="str">
        <f>IFERROR(IF(E16&gt;=D16,IF((E16-D16)/MAX(ABS(D16),1)&gt;0.1,"Compliant","Near Breach"),"Breached"),"Pending Input")</f>
        <v>Compliant</v>
      </c>
      <c r="H16" s="744" t="str">
        <f t="shared" si="0"/>
        <v>Low</v>
      </c>
      <c r="I16" s="973" t="s">
        <v>602</v>
      </c>
    </row>
    <row r="17" spans="1:9" ht="22.05" customHeight="1" x14ac:dyDescent="0.3">
      <c r="A17" s="972" t="s">
        <v>127</v>
      </c>
      <c r="B17" s="743" t="s">
        <v>590</v>
      </c>
      <c r="C17" s="744" t="s">
        <v>591</v>
      </c>
      <c r="D17" s="745">
        <v>4</v>
      </c>
      <c r="E17" s="745">
        <f>IFERROR(TotalDebt_Active/EBITDA_Active,0)</f>
        <v>1.5965986040212523</v>
      </c>
      <c r="F17" s="745">
        <f>IFERROR(D17-E17,0)</f>
        <v>2.4034013959787477</v>
      </c>
      <c r="G17" s="744" t="str">
        <f>IFERROR(IF(E17&lt;=D17,IF((D17-E17)/MAX(ABS(D17),1)&gt;0.1,"Compliant","Near Breach"),"Breached"),"Pending Input")</f>
        <v>Compliant</v>
      </c>
      <c r="H17" s="744" t="str">
        <f t="shared" si="0"/>
        <v>Low</v>
      </c>
      <c r="I17" s="973"/>
    </row>
    <row r="18" spans="1:9" ht="22.05" customHeight="1" x14ac:dyDescent="0.3">
      <c r="A18" s="972" t="s">
        <v>127</v>
      </c>
      <c r="B18" s="743" t="s">
        <v>592</v>
      </c>
      <c r="C18" s="744" t="s">
        <v>591</v>
      </c>
      <c r="D18" s="745">
        <v>2.5</v>
      </c>
      <c r="E18" s="745">
        <f>IFERROR(TOL_Active/TNW_Active,0)</f>
        <v>1.5449853404131706</v>
      </c>
      <c r="F18" s="745">
        <f>IFERROR(D18-E18,0)</f>
        <v>0.95501465958682941</v>
      </c>
      <c r="G18" s="744" t="str">
        <f>IFERROR(IF(E18&lt;=D18,IF((D18-E18)/MAX(ABS(D18),1)&gt;0.1,"Compliant","Near Breach"),"Breached"),"Pending Input")</f>
        <v>Compliant</v>
      </c>
      <c r="H18" s="744" t="str">
        <f t="shared" si="0"/>
        <v>Low</v>
      </c>
      <c r="I18" s="973"/>
    </row>
    <row r="19" spans="1:9" ht="22.05" customHeight="1" x14ac:dyDescent="0.3">
      <c r="A19" s="972" t="s">
        <v>127</v>
      </c>
      <c r="B19" s="743" t="s">
        <v>603</v>
      </c>
      <c r="C19" s="744" t="s">
        <v>588</v>
      </c>
      <c r="D19" s="745">
        <v>1.25</v>
      </c>
      <c r="E19" s="745">
        <f>IFERROR(FA_Active/SecuredDebt_Active,0)</f>
        <v>2.1742023743275833</v>
      </c>
      <c r="F19" s="745">
        <f>IFERROR(E19-D19,0)</f>
        <v>0.92420237432758334</v>
      </c>
      <c r="G19" s="744" t="str">
        <f>IFERROR(IF(E19&gt;=D19,IF((E19-D19)/MAX(ABS(D19),1)&gt;0.1,"Compliant","Near Breach"),"Breached"),"Pending Input")</f>
        <v>Compliant</v>
      </c>
      <c r="H19" s="744" t="str">
        <f t="shared" si="0"/>
        <v>Low</v>
      </c>
      <c r="I19" s="973" t="s">
        <v>604</v>
      </c>
    </row>
    <row r="20" spans="1:9" ht="22.05" customHeight="1" x14ac:dyDescent="0.3">
      <c r="A20" s="972" t="s">
        <v>127</v>
      </c>
      <c r="B20" s="743" t="s">
        <v>605</v>
      </c>
      <c r="C20" s="744" t="s">
        <v>591</v>
      </c>
      <c r="D20" s="745">
        <v>1.5</v>
      </c>
      <c r="E20" s="745">
        <f>IFERROR(TotalDebt_Active/TNW_Active,0)</f>
        <v>0.82827341142772215</v>
      </c>
      <c r="F20" s="745">
        <f>IFERROR(D20-E20,0)</f>
        <v>0.67172658857227785</v>
      </c>
      <c r="G20" s="744" t="str">
        <f>IFERROR(IF(E20&lt;=D20,IF((D20-E20)/MAX(ABS(D20),1)&gt;0.1,"Compliant","Near Breach"),"Breached"),"Pending Input")</f>
        <v>Compliant</v>
      </c>
      <c r="H20" s="744" t="str">
        <f t="shared" si="0"/>
        <v>Low</v>
      </c>
      <c r="I20" s="973"/>
    </row>
    <row r="21" spans="1:9" ht="22.05" customHeight="1" x14ac:dyDescent="0.3">
      <c r="A21" s="974" t="s">
        <v>126</v>
      </c>
      <c r="B21" s="955" t="s">
        <v>590</v>
      </c>
      <c r="C21" s="949" t="s">
        <v>591</v>
      </c>
      <c r="D21" s="951">
        <v>4</v>
      </c>
      <c r="E21" s="951">
        <f>IFERROR(TotalDebt_Active/EBITDA_Active,0)</f>
        <v>1.5965986040212523</v>
      </c>
      <c r="F21" s="951">
        <f>IFERROR(D21-E21,0)</f>
        <v>2.4034013959787477</v>
      </c>
      <c r="G21" s="949" t="str">
        <f>IFERROR(IF(E21&lt;=D21,IF((D21-E21)/MAX(ABS(D21),1)&gt;0.1,"Compliant","Near Breach"),"Breached"),"Pending Input")</f>
        <v>Compliant</v>
      </c>
      <c r="H21" s="949" t="str">
        <f t="shared" si="0"/>
        <v>Low</v>
      </c>
      <c r="I21" s="975"/>
    </row>
    <row r="22" spans="1:9" ht="22.05" customHeight="1" x14ac:dyDescent="0.3">
      <c r="A22" s="974" t="s">
        <v>126</v>
      </c>
      <c r="B22" s="955" t="s">
        <v>592</v>
      </c>
      <c r="C22" s="949" t="s">
        <v>591</v>
      </c>
      <c r="D22" s="951">
        <v>2.5</v>
      </c>
      <c r="E22" s="951">
        <f>IFERROR(TOL_Active/TNW_Active,0)</f>
        <v>1.5449853404131706</v>
      </c>
      <c r="F22" s="951">
        <f>IFERROR(D22-E22,0)</f>
        <v>0.95501465958682941</v>
      </c>
      <c r="G22" s="949" t="str">
        <f>IFERROR(IF(E22&lt;=D22,IF((D22-E22)/MAX(ABS(D22),1)&gt;0.1,"Compliant","Near Breach"),"Breached"),"Pending Input")</f>
        <v>Compliant</v>
      </c>
      <c r="H22" s="949" t="str">
        <f t="shared" si="0"/>
        <v>Low</v>
      </c>
      <c r="I22" s="975"/>
    </row>
    <row r="23" spans="1:9" ht="22.05" customHeight="1" x14ac:dyDescent="0.3">
      <c r="A23" s="974" t="s">
        <v>126</v>
      </c>
      <c r="B23" s="955" t="s">
        <v>600</v>
      </c>
      <c r="C23" s="949" t="s">
        <v>588</v>
      </c>
      <c r="D23" s="951">
        <v>1.1000000000000001</v>
      </c>
      <c r="E23" s="951">
        <f>IFERROR(CA_Active/CL_Active,0)</f>
        <v>1.3858918115237064</v>
      </c>
      <c r="F23" s="951">
        <f>IFERROR(E23-D23,0)</f>
        <v>0.28589181152370635</v>
      </c>
      <c r="G23" s="949" t="str">
        <f>IFERROR(IF(E23&gt;=D23,IF((E23-D23)/MAX(ABS(D23),1)&gt;0.1,"Compliant","Near Breach"),"Breached"),"Pending Input")</f>
        <v>Compliant</v>
      </c>
      <c r="H23" s="949" t="str">
        <f t="shared" si="0"/>
        <v>Low</v>
      </c>
      <c r="I23" s="975"/>
    </row>
    <row r="24" spans="1:9" ht="22.05" customHeight="1" x14ac:dyDescent="0.3">
      <c r="A24" s="974" t="s">
        <v>126</v>
      </c>
      <c r="B24" s="955" t="s">
        <v>225</v>
      </c>
      <c r="C24" s="949" t="s">
        <v>594</v>
      </c>
      <c r="D24" s="976" t="s">
        <v>259</v>
      </c>
      <c r="E24" s="976" t="str">
        <f>Rating_Active</f>
        <v>CARE A+; Stable / A1</v>
      </c>
      <c r="F24" s="951">
        <f>IFERROR(IFERROR(VLOOKUP(IFERROR(TRIM(MID(E24,FIND(" ",E24)+1,FIND(";",E24)-FIND(" ",E24)-1)),E24),'Instructions &amp; Assumptions'!$A$61:$B$72,2,FALSE()),0)-IFERROR(VLOOKUP(D24,'Instructions &amp; Assumptions'!$A$61:$B$72,2,FALSE()),0),"N/A")</f>
        <v>2</v>
      </c>
      <c r="G24" s="949" t="str">
        <f>IF(E24="","Pending Input",IF(IFERROR(VLOOKUP(IFERROR(TRIM(MID(E24,FIND(" ",E24)+1,FIND(";",E24)-FIND(" ",E24)-1)),E24),'Instructions &amp; Assumptions'!$A$61:$B$72,2,FALSE()),0)=0,"Pending Input",IF(F24="N/A","Pending Input",IF(F24&gt;=2,"Compliant",IF(F24&gt;=0,"Near Breach","Breached")))))</f>
        <v>Compliant</v>
      </c>
      <c r="H24" s="949" t="str">
        <f t="shared" si="0"/>
        <v>Low</v>
      </c>
      <c r="I24" s="975"/>
    </row>
    <row r="25" spans="1:9" ht="22.05" customHeight="1" x14ac:dyDescent="0.3">
      <c r="A25" s="977" t="s">
        <v>128</v>
      </c>
      <c r="B25" s="750" t="s">
        <v>590</v>
      </c>
      <c r="C25" s="751" t="s">
        <v>591</v>
      </c>
      <c r="D25" s="752">
        <v>4.5</v>
      </c>
      <c r="E25" s="752">
        <f>IFERROR(TotalDebt_Active/EBITDA_Active,0)</f>
        <v>1.5965986040212523</v>
      </c>
      <c r="F25" s="752">
        <f>IFERROR(D25-E25,0)</f>
        <v>2.9034013959787477</v>
      </c>
      <c r="G25" s="751" t="str">
        <f>IFERROR(IF(E25&lt;=D25,IF((D25-E25)/MAX(ABS(D25),1)&gt;0.1,"Compliant","Near Breach"),"Breached"),"Pending Input")</f>
        <v>Compliant</v>
      </c>
      <c r="H25" s="751" t="str">
        <f t="shared" si="0"/>
        <v>Low</v>
      </c>
      <c r="I25" s="978"/>
    </row>
    <row r="26" spans="1:9" ht="22.05" customHeight="1" x14ac:dyDescent="0.3">
      <c r="A26" s="977" t="s">
        <v>128</v>
      </c>
      <c r="B26" s="750" t="s">
        <v>592</v>
      </c>
      <c r="C26" s="751" t="s">
        <v>591</v>
      </c>
      <c r="D26" s="752">
        <v>2.5</v>
      </c>
      <c r="E26" s="752">
        <f>IFERROR(TOL_Active/TNW_Active,0)</f>
        <v>1.5449853404131706</v>
      </c>
      <c r="F26" s="752">
        <f>IFERROR(D26-E26,0)</f>
        <v>0.95501465958682941</v>
      </c>
      <c r="G26" s="751" t="str">
        <f>IFERROR(IF(E26&lt;=D26,IF((D26-E26)/MAX(ABS(D26),1)&gt;0.1,"Compliant","Near Breach"),"Breached"),"Pending Input")</f>
        <v>Compliant</v>
      </c>
      <c r="H26" s="751" t="str">
        <f t="shared" si="0"/>
        <v>Low</v>
      </c>
      <c r="I26" s="978"/>
    </row>
    <row r="27" spans="1:9" ht="22.05" customHeight="1" x14ac:dyDescent="0.3">
      <c r="A27" s="979" t="s">
        <v>128</v>
      </c>
      <c r="B27" s="757" t="s">
        <v>599</v>
      </c>
      <c r="C27" s="758" t="s">
        <v>588</v>
      </c>
      <c r="D27" s="759">
        <v>2</v>
      </c>
      <c r="E27" s="759">
        <f>IFERROR(EBITDA_Active/IntExp_Active,0)</f>
        <v>7.8231458842705788</v>
      </c>
      <c r="F27" s="759">
        <f>IFERROR(E27-D27,0)</f>
        <v>5.8231458842705788</v>
      </c>
      <c r="G27" s="758" t="str">
        <f>IFERROR(IF(E27&gt;=D27,IF((E27-D27)/MAX(ABS(D27),1)&gt;0.1,"Compliant","Near Breach"),"Breached"),"Pending Input")</f>
        <v>Compliant</v>
      </c>
      <c r="H27" s="758" t="str">
        <f t="shared" si="0"/>
        <v>Low</v>
      </c>
      <c r="I27" s="980"/>
    </row>
    <row r="28" spans="1:9" ht="7.95" customHeight="1" x14ac:dyDescent="0.3">
      <c r="A28" s="714"/>
      <c r="B28" s="714"/>
      <c r="C28" s="714"/>
      <c r="D28" s="714"/>
      <c r="E28" s="714"/>
      <c r="F28" s="714"/>
      <c r="G28" s="714"/>
      <c r="H28" s="714"/>
      <c r="I28" s="714"/>
    </row>
    <row r="29" spans="1:9" ht="19.95" customHeight="1" x14ac:dyDescent="0.3">
      <c r="A29" s="763" t="s">
        <v>606</v>
      </c>
      <c r="B29" s="765"/>
      <c r="C29" s="715"/>
      <c r="D29" s="715"/>
      <c r="E29" s="715"/>
      <c r="F29" s="715"/>
      <c r="G29" s="715"/>
      <c r="H29" s="715"/>
      <c r="I29" s="715"/>
    </row>
    <row r="30" spans="1:9" ht="18" customHeight="1" x14ac:dyDescent="0.3">
      <c r="A30" s="769" t="s">
        <v>607</v>
      </c>
      <c r="B30" s="981">
        <f>COUNTA(B4:B27)</f>
        <v>24</v>
      </c>
      <c r="C30" s="716"/>
      <c r="D30" s="716"/>
      <c r="E30" s="716"/>
      <c r="F30" s="716"/>
      <c r="G30" s="716"/>
      <c r="H30" s="716"/>
      <c r="I30" s="716"/>
    </row>
    <row r="31" spans="1:9" ht="18" customHeight="1" x14ac:dyDescent="0.3">
      <c r="A31" s="769" t="s">
        <v>116</v>
      </c>
      <c r="B31" s="982">
        <f>COUNTIF(G4:G27,"Compliant")</f>
        <v>24</v>
      </c>
      <c r="C31" s="716"/>
      <c r="D31" s="716"/>
      <c r="E31" s="716"/>
      <c r="F31" s="716"/>
      <c r="G31" s="716"/>
      <c r="H31" s="716"/>
      <c r="I31" s="716"/>
    </row>
    <row r="32" spans="1:9" ht="18" customHeight="1" x14ac:dyDescent="0.3">
      <c r="A32" s="769" t="s">
        <v>117</v>
      </c>
      <c r="B32" s="983">
        <f>COUNTIF(G4:G27,"Near Breach")</f>
        <v>0</v>
      </c>
      <c r="C32" s="716"/>
      <c r="D32" s="716"/>
      <c r="E32" s="716"/>
      <c r="F32" s="716"/>
      <c r="G32" s="716"/>
      <c r="H32" s="716"/>
      <c r="I32" s="716"/>
    </row>
    <row r="33" spans="1:9" ht="18" customHeight="1" x14ac:dyDescent="0.3">
      <c r="A33" s="769" t="s">
        <v>118</v>
      </c>
      <c r="B33" s="984">
        <f>COUNTIF(G4:G27,"Breached")</f>
        <v>0</v>
      </c>
      <c r="C33" s="716"/>
      <c r="D33" s="716"/>
      <c r="E33" s="716"/>
      <c r="F33" s="716"/>
      <c r="G33" s="716"/>
      <c r="H33" s="716"/>
      <c r="I33" s="716"/>
    </row>
    <row r="34" spans="1:9" ht="18" customHeight="1" x14ac:dyDescent="0.3">
      <c r="A34" s="769" t="s">
        <v>608</v>
      </c>
      <c r="B34" s="981">
        <f>COUNTIFS(G4:G27,"Pending*")</f>
        <v>0</v>
      </c>
      <c r="C34" s="716"/>
      <c r="D34" s="716"/>
      <c r="E34" s="716"/>
      <c r="F34" s="716"/>
      <c r="G34" s="716"/>
      <c r="H34" s="716"/>
      <c r="I34" s="716"/>
    </row>
    <row r="35" spans="1:9" ht="18" customHeight="1" x14ac:dyDescent="0.3">
      <c r="A35" s="985" t="s">
        <v>609</v>
      </c>
      <c r="B35" s="986">
        <f>IFERROR(B31/B30,0)</f>
        <v>1</v>
      </c>
      <c r="C35" s="966"/>
      <c r="D35" s="966"/>
      <c r="E35" s="966"/>
      <c r="F35" s="966"/>
      <c r="G35" s="966"/>
      <c r="H35" s="966"/>
      <c r="I35" s="966"/>
    </row>
    <row r="36" spans="1:9" ht="7.95" customHeight="1" x14ac:dyDescent="0.3">
      <c r="A36" s="714"/>
      <c r="B36" s="714"/>
      <c r="C36" s="714"/>
      <c r="D36" s="714"/>
      <c r="E36" s="714"/>
      <c r="F36" s="714"/>
      <c r="G36" s="714"/>
      <c r="H36" s="714"/>
      <c r="I36" s="714"/>
    </row>
    <row r="37" spans="1:9" ht="70.05" customHeight="1" x14ac:dyDescent="0.3">
      <c r="A37" s="337" t="s">
        <v>610</v>
      </c>
      <c r="B37" s="337"/>
      <c r="C37" s="337"/>
      <c r="D37" s="337"/>
      <c r="E37" s="337"/>
      <c r="F37" s="337"/>
      <c r="G37" s="337"/>
      <c r="H37" s="337"/>
      <c r="I37" s="337"/>
    </row>
  </sheetData>
  <conditionalFormatting sqref="G4:G27">
    <cfRule type="cellIs" dxfId="45" priority="1" operator="equal">
      <formula>"Compliant"</formula>
    </cfRule>
    <cfRule type="cellIs" dxfId="44" priority="2" operator="equal">
      <formula>"Near Breach"</formula>
    </cfRule>
    <cfRule type="cellIs" dxfId="43" priority="3" operator="equal">
      <formula>"Breached"</formula>
    </cfRule>
    <cfRule type="cellIs" dxfId="42" priority="4" operator="equal">
      <formula>"Pending Input"</formula>
    </cfRule>
  </conditionalFormatting>
  <conditionalFormatting sqref="H4:H27">
    <cfRule type="cellIs" dxfId="41" priority="5" operator="equal">
      <formula>"Low"</formula>
    </cfRule>
    <cfRule type="cellIs" dxfId="40" priority="6" operator="equal">
      <formula>"High"</formula>
    </cfRule>
    <cfRule type="cellIs" dxfId="39" priority="7" operator="equal">
      <formula>"Critical"</formula>
    </cfRule>
  </conditionalFormatting>
  <pageMargins left="0.75" right="0.75" top="1" bottom="1" header="0.511811023622047" footer="0.511811023622047"/>
  <pageSetup paperSize="9" orientation="portrait" horizontalDpi="300" verticalDpi="300"/>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44546A"/>
  </sheetPr>
  <dimension ref="A1:F21"/>
  <sheetViews>
    <sheetView showGridLines="0" zoomScaleNormal="100" workbookViewId="0">
      <pane ySplit="3" topLeftCell="A4" activePane="bottomLeft" state="frozen"/>
      <selection activeCell="C1" sqref="C1"/>
      <selection pane="bottomLeft" activeCell="G14" sqref="G14"/>
    </sheetView>
  </sheetViews>
  <sheetFormatPr defaultColWidth="8.6640625" defaultRowHeight="14.4" x14ac:dyDescent="0.3"/>
  <cols>
    <col min="1" max="1" width="20.33203125" customWidth="1"/>
    <col min="2" max="2" width="14.77734375" customWidth="1"/>
    <col min="3" max="3" width="18.5546875" customWidth="1"/>
    <col min="4" max="4" width="16.6640625" customWidth="1"/>
    <col min="5" max="5" width="37" customWidth="1"/>
    <col min="6" max="6" width="64.77734375" customWidth="1"/>
    <col min="7" max="8" width="20" customWidth="1"/>
    <col min="9" max="9" width="18" customWidth="1"/>
    <col min="10" max="10" width="24" customWidth="1"/>
  </cols>
  <sheetData>
    <row r="1" spans="1:6" ht="30" customHeight="1" x14ac:dyDescent="0.35">
      <c r="A1" s="713" t="s">
        <v>611</v>
      </c>
      <c r="B1" s="713"/>
      <c r="C1" s="713"/>
      <c r="D1" s="713"/>
      <c r="E1" s="713"/>
      <c r="F1" s="713"/>
    </row>
    <row r="2" spans="1:6" ht="18" customHeight="1" x14ac:dyDescent="0.3">
      <c r="A2" s="327" t="s">
        <v>815</v>
      </c>
      <c r="B2" s="327"/>
      <c r="C2" s="327"/>
      <c r="D2" s="327"/>
      <c r="E2" s="327"/>
      <c r="F2" s="327"/>
    </row>
    <row r="3" spans="1:6" ht="24" customHeight="1" x14ac:dyDescent="0.3">
      <c r="A3" s="1069" t="s">
        <v>122</v>
      </c>
      <c r="B3" s="1070" t="s">
        <v>612</v>
      </c>
      <c r="C3" s="1070" t="s">
        <v>613</v>
      </c>
      <c r="D3" s="1070" t="s">
        <v>614</v>
      </c>
      <c r="E3" s="1070" t="s">
        <v>615</v>
      </c>
      <c r="F3" s="1071" t="s">
        <v>616</v>
      </c>
    </row>
    <row r="4" spans="1:6" s="1" customFormat="1" ht="31.95" customHeight="1" x14ac:dyDescent="0.3">
      <c r="A4" s="1072" t="s">
        <v>125</v>
      </c>
      <c r="B4" s="1073">
        <f>IFERROR(COUNTIFS('Facility Master'!B:B,"RBL Bank",'Facility Master'!A:A,"&gt;0"),0)</f>
        <v>15</v>
      </c>
      <c r="C4" s="1074">
        <f>'Lender Summary'!D5</f>
        <v>300</v>
      </c>
      <c r="D4" s="1075" t="str">
        <f>IFERROR(IF(COUNTIFS('Facility Master'!B:B,"RBL Bank",'Facility Master'!AD:AD,"*Personal*")&gt;0,"Yes","See note"),"")</f>
        <v>Yes</v>
      </c>
      <c r="E4" s="1076" t="s">
        <v>617</v>
      </c>
      <c r="F4" s="1077" t="s">
        <v>618</v>
      </c>
    </row>
    <row r="5" spans="1:6" ht="31.95" customHeight="1" x14ac:dyDescent="0.3">
      <c r="A5" s="1078" t="s">
        <v>124</v>
      </c>
      <c r="B5" s="1079">
        <f>IFERROR(COUNTIFS('Facility Master'!B:B,"YES Bank",'Facility Master'!A:A,"&gt;0"),0)</f>
        <v>6</v>
      </c>
      <c r="C5" s="1080">
        <f>'Lender Summary'!D6</f>
        <v>520.70000000000005</v>
      </c>
      <c r="D5" s="1081" t="str">
        <f>IFERROR(IF(COUNTIFS('Facility Master'!B:B,"YES Bank",'Facility Master'!AD:AD,"*Personal*")&gt;0,"Yes","See note"),"")</f>
        <v>Yes</v>
      </c>
      <c r="E5" s="1082" t="s">
        <v>617</v>
      </c>
      <c r="F5" s="1083" t="s">
        <v>619</v>
      </c>
    </row>
    <row r="6" spans="1:6" ht="31.95" customHeight="1" x14ac:dyDescent="0.3">
      <c r="A6" s="1084" t="s">
        <v>127</v>
      </c>
      <c r="B6" s="1085">
        <f>IFERROR(COUNTIFS('Facility Master'!B:B,"Bajaj Finance",'Facility Master'!A:A,"&gt;0"),0)</f>
        <v>1</v>
      </c>
      <c r="C6" s="1086">
        <f>'Lender Summary'!D7</f>
        <v>150</v>
      </c>
      <c r="D6" s="1087" t="str">
        <f>IFERROR(IF(COUNTIFS('Facility Master'!B:B,"Bajaj Finance",'Facility Master'!AD:AD,"*Personal*")&gt;0,"Yes","See note"),"")</f>
        <v>Yes</v>
      </c>
      <c r="E6" s="1088" t="s">
        <v>617</v>
      </c>
      <c r="F6" s="1089" t="s">
        <v>620</v>
      </c>
    </row>
    <row r="7" spans="1:6" ht="31.95" customHeight="1" x14ac:dyDescent="0.3">
      <c r="A7" s="1090" t="s">
        <v>126</v>
      </c>
      <c r="B7" s="1091">
        <f>IFERROR(COUNTIFS('Facility Master'!B:B,"ICICI Bank",'Facility Master'!A:A,"&gt;0"),0)</f>
        <v>6</v>
      </c>
      <c r="C7" s="1092">
        <f>'Lender Summary'!D8</f>
        <v>200</v>
      </c>
      <c r="D7" s="1093" t="str">
        <f>IFERROR(IF(COUNTIFS('Facility Master'!B:B,"ICICI Bank",'Facility Master'!AD:AD,"*Personal*")&gt;0,"Yes","See note"),"")</f>
        <v>See note</v>
      </c>
      <c r="E7" s="1094" t="s">
        <v>617</v>
      </c>
      <c r="F7" s="1095" t="s">
        <v>621</v>
      </c>
    </row>
    <row r="8" spans="1:6" ht="31.95" customHeight="1" x14ac:dyDescent="0.3">
      <c r="A8" s="1096" t="s">
        <v>128</v>
      </c>
      <c r="B8" s="1097">
        <f>IFERROR(COUNTIFS('Facility Master'!B:B,"South Indian Bank",'Facility Master'!A:A,"&gt;0"),0)</f>
        <v>6</v>
      </c>
      <c r="C8" s="1098">
        <f>'Lender Summary'!D9</f>
        <v>150</v>
      </c>
      <c r="D8" s="1099" t="str">
        <f>IFERROR(IF(COUNTIFS('Facility Master'!B:B,"South Indian Bank",'Facility Master'!AD:AD,"*Personal*")&gt;0,"Yes","See note"),"")</f>
        <v>See note</v>
      </c>
      <c r="E8" s="1100" t="s">
        <v>617</v>
      </c>
      <c r="F8" s="1101" t="s">
        <v>621</v>
      </c>
    </row>
    <row r="9" spans="1:6" ht="61.5" customHeight="1" x14ac:dyDescent="0.3"/>
    <row r="10" spans="1:6" ht="61.5" customHeight="1" x14ac:dyDescent="0.3"/>
    <row r="13" spans="1:6" ht="21.75" customHeight="1" x14ac:dyDescent="0.3"/>
    <row r="14" spans="1:6" ht="24" customHeight="1" x14ac:dyDescent="0.3"/>
    <row r="15" spans="1:6" ht="24" customHeight="1" x14ac:dyDescent="0.3"/>
    <row r="16" spans="1:6" ht="24" customHeight="1" x14ac:dyDescent="0.3"/>
    <row r="17" ht="24" customHeight="1" x14ac:dyDescent="0.3"/>
    <row r="18" ht="24" customHeight="1" x14ac:dyDescent="0.3"/>
    <row r="19" ht="24" customHeight="1" x14ac:dyDescent="0.3"/>
    <row r="20" ht="24" customHeight="1" x14ac:dyDescent="0.3"/>
    <row r="21" ht="24" customHeight="1" x14ac:dyDescent="0.3"/>
  </sheetData>
  <conditionalFormatting sqref="D4:D8">
    <cfRule type="cellIs" dxfId="38" priority="1" operator="equal">
      <formula>"Yes"</formula>
    </cfRule>
    <cfRule type="cellIs" dxfId="37" priority="2" operator="equal">
      <formula>"See note"</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AD47"/>
  </sheetPr>
  <dimension ref="A1:I40"/>
  <sheetViews>
    <sheetView showGridLines="0" zoomScaleNormal="100" workbookViewId="0">
      <pane ySplit="3" topLeftCell="A4" activePane="bottomLeft" state="frozen"/>
      <selection pane="bottomLeft" activeCell="F5" sqref="F5"/>
    </sheetView>
  </sheetViews>
  <sheetFormatPr defaultColWidth="8.6640625" defaultRowHeight="14.4" x14ac:dyDescent="0.3"/>
  <cols>
    <col min="1" max="1" width="7.44140625" customWidth="1"/>
    <col min="2" max="2" width="16.6640625" customWidth="1"/>
    <col min="3" max="3" width="32.44140625" customWidth="1"/>
    <col min="4" max="5" width="13.88671875" customWidth="1"/>
    <col min="6" max="6" width="10.21875" customWidth="1"/>
    <col min="7" max="7" width="20.33203125" customWidth="1"/>
    <col min="8" max="8" width="13.88671875" customWidth="1"/>
    <col min="9" max="9" width="25.88671875" customWidth="1"/>
    <col min="10" max="10" width="12" customWidth="1"/>
    <col min="11" max="11" width="28" customWidth="1"/>
  </cols>
  <sheetData>
    <row r="1" spans="1:9" ht="30" customHeight="1" x14ac:dyDescent="0.35">
      <c r="A1" s="713" t="s">
        <v>622</v>
      </c>
      <c r="B1" s="713"/>
      <c r="C1" s="713"/>
      <c r="D1" s="713"/>
      <c r="E1" s="713"/>
      <c r="F1" s="713"/>
      <c r="G1" s="713"/>
      <c r="H1" s="713"/>
      <c r="I1" s="713"/>
    </row>
    <row r="2" spans="1:9" ht="18" customHeight="1" x14ac:dyDescent="0.3">
      <c r="A2" s="327" t="s">
        <v>805</v>
      </c>
      <c r="B2" s="327"/>
      <c r="C2" s="327"/>
      <c r="D2" s="327"/>
      <c r="E2" s="327"/>
      <c r="F2" s="327"/>
      <c r="G2" s="327"/>
      <c r="H2" s="327"/>
      <c r="I2" s="327"/>
    </row>
    <row r="3" spans="1:9" ht="22.05" customHeight="1" x14ac:dyDescent="0.3">
      <c r="A3" s="718" t="s">
        <v>244</v>
      </c>
      <c r="B3" s="719" t="s">
        <v>122</v>
      </c>
      <c r="C3" s="719" t="s">
        <v>270</v>
      </c>
      <c r="D3" s="720" t="s">
        <v>277</v>
      </c>
      <c r="E3" s="720" t="s">
        <v>575</v>
      </c>
      <c r="F3" s="720" t="s">
        <v>280</v>
      </c>
      <c r="G3" s="720" t="s">
        <v>52</v>
      </c>
      <c r="H3" s="720" t="s">
        <v>623</v>
      </c>
      <c r="I3" s="721" t="s">
        <v>624</v>
      </c>
    </row>
    <row r="4" spans="1:9" s="1" customFormat="1" ht="18" customHeight="1" x14ac:dyDescent="0.3">
      <c r="A4" s="722">
        <v>1</v>
      </c>
      <c r="B4" s="822" t="str">
        <f>IFERROR('Facility Master'!B5,"")</f>
        <v>RBL Bank</v>
      </c>
      <c r="C4" s="822" t="str">
        <f>IFERROR('Facility Master'!C5,"")</f>
        <v>Letter of Credit - Main Limit</v>
      </c>
      <c r="D4" s="725">
        <f>IFERROR('Facility Master'!K5,0)</f>
        <v>100</v>
      </c>
      <c r="E4" s="725">
        <f>IFERROR('Facility Master'!M5,0)</f>
        <v>100</v>
      </c>
      <c r="F4" s="726">
        <f>IFERROR('Facility Master'!N5,0)</f>
        <v>1</v>
      </c>
      <c r="G4" s="724" t="str">
        <f t="shared" ref="G4:G37" si="0">IFERROR(IF(F4&gt;0.9,"High (&gt;90%)",IF(F4&gt;0.75,"Elevated (75-90%)",IF(F4&gt;0,"Normal","Unutilised"))),"")</f>
        <v>High (&gt;90%)</v>
      </c>
      <c r="H4" s="987">
        <f>IFERROR(IF('Facility Master'!D5="FB-Term",IF('Facility Master'!Z5="","-",'Facility Master'!Z5-AsOfDate),IF('Facility Master'!AB5="","-",'Facility Master'!AB5-AsOfDate)),"-")</f>
        <v>244</v>
      </c>
      <c r="I4" s="988" t="str">
        <f>IFERROR(IF('Facility Master'!D5="FB-Term",IF('Facility Master'!Z5="","No Maturity",IF(H4&lt;=180,"Maturing (&lt;=180d)",IF(H4&lt;=365,"Maturing (&lt;=1yr)","TL — On Schedule"))),IF('Facility Master'!AB5="","No Validity",IF(H4&lt;=30,"Expiring (&lt;=30d)",IF(H4&lt;=60,"Due for Review (&lt;=60d)","OK")))),"")</f>
        <v>OK</v>
      </c>
    </row>
    <row r="5" spans="1:9" ht="18" customHeight="1" x14ac:dyDescent="0.3">
      <c r="A5" s="722">
        <v>2</v>
      </c>
      <c r="B5" s="723" t="str">
        <f>IFERROR('Facility Master'!B6,"")</f>
        <v>RBL Bank</v>
      </c>
      <c r="C5" s="723" t="str">
        <f>IFERROR('Facility Master'!C6,"")</f>
        <v>Bank Guarantee</v>
      </c>
      <c r="D5" s="725">
        <f>IFERROR('Facility Master'!K6,0)</f>
        <v>25</v>
      </c>
      <c r="E5" s="725">
        <f>IFERROR('Facility Master'!M6,0)</f>
        <v>25</v>
      </c>
      <c r="F5" s="726">
        <f>IFERROR('Facility Master'!N6,0)</f>
        <v>1</v>
      </c>
      <c r="G5" s="724" t="str">
        <f t="shared" si="0"/>
        <v>High (&gt;90%)</v>
      </c>
      <c r="H5" s="987">
        <f>IFERROR(IF('Facility Master'!D6="FB-Term",IF('Facility Master'!Z6="","-",'Facility Master'!Z6-AsOfDate),IF('Facility Master'!AB6="","-",'Facility Master'!AB6-AsOfDate)),"-")</f>
        <v>244</v>
      </c>
      <c r="I5" s="988" t="str">
        <f>IFERROR(IF('Facility Master'!D6="FB-Term",IF('Facility Master'!Z6="","No Maturity",IF(H5&lt;=180,"Maturing (&lt;=180d)",IF(H5&lt;=365,"Maturing (&lt;=1yr)","TL — On Schedule"))),IF('Facility Master'!AB6="","No Validity",IF(H5&lt;=30,"Expiring (&lt;=30d)",IF(H5&lt;=60,"Due for Review (&lt;=60d)","OK")))),"")</f>
        <v>OK</v>
      </c>
    </row>
    <row r="6" spans="1:9" ht="18" customHeight="1" x14ac:dyDescent="0.3">
      <c r="A6" s="722">
        <v>3</v>
      </c>
      <c r="B6" s="723" t="str">
        <f>IFERROR('Facility Master'!B7,"")</f>
        <v>RBL Bank</v>
      </c>
      <c r="C6" s="723" t="str">
        <f>IFERROR('Facility Master'!C7,"")</f>
        <v>Invoice Discounting (PID)</v>
      </c>
      <c r="D6" s="725">
        <f>IFERROR('Facility Master'!K7,0)</f>
        <v>100</v>
      </c>
      <c r="E6" s="725">
        <f>IFERROR('Facility Master'!M7,0)</f>
        <v>100</v>
      </c>
      <c r="F6" s="726">
        <f>IFERROR('Facility Master'!N7,0)</f>
        <v>1</v>
      </c>
      <c r="G6" s="724" t="str">
        <f t="shared" si="0"/>
        <v>High (&gt;90%)</v>
      </c>
      <c r="H6" s="987">
        <f>IFERROR(IF('Facility Master'!D7="FB-Term",IF('Facility Master'!Z7="","-",'Facility Master'!Z7-AsOfDate),IF('Facility Master'!AB7="","-",'Facility Master'!AB7-AsOfDate)),"-")</f>
        <v>244</v>
      </c>
      <c r="I6" s="988" t="str">
        <f>IFERROR(IF('Facility Master'!D7="FB-Term",IF('Facility Master'!Z7="","No Maturity",IF(H6&lt;=180,"Maturing (&lt;=180d)",IF(H6&lt;=365,"Maturing (&lt;=1yr)","TL — On Schedule"))),IF('Facility Master'!AB7="","No Validity",IF(H6&lt;=30,"Expiring (&lt;=30d)",IF(H6&lt;=60,"Due for Review (&lt;=60d)","OK")))),"")</f>
        <v>OK</v>
      </c>
    </row>
    <row r="7" spans="1:9" ht="18" customHeight="1" x14ac:dyDescent="0.3">
      <c r="A7" s="722">
        <v>4</v>
      </c>
      <c r="B7" s="723" t="str">
        <f>IFERROR('Facility Master'!B8,"")</f>
        <v>RBL Bank</v>
      </c>
      <c r="C7" s="723" t="str">
        <f>IFERROR('Facility Master'!C8,"")</f>
        <v>SBLC</v>
      </c>
      <c r="D7" s="725">
        <f>IFERROR('Facility Master'!K8,0)</f>
        <v>100</v>
      </c>
      <c r="E7" s="725">
        <f>IFERROR('Facility Master'!M8,0)</f>
        <v>100</v>
      </c>
      <c r="F7" s="726">
        <f>IFERROR('Facility Master'!N8,0)</f>
        <v>1</v>
      </c>
      <c r="G7" s="724" t="str">
        <f t="shared" si="0"/>
        <v>High (&gt;90%)</v>
      </c>
      <c r="H7" s="987">
        <f>IFERROR(IF('Facility Master'!D8="FB-Term",IF('Facility Master'!Z8="","-",'Facility Master'!Z8-AsOfDate),IF('Facility Master'!AB8="","-",'Facility Master'!AB8-AsOfDate)),"-")</f>
        <v>244</v>
      </c>
      <c r="I7" s="988" t="str">
        <f>IFERROR(IF('Facility Master'!D8="FB-Term",IF('Facility Master'!Z8="","No Maturity",IF(H7&lt;=180,"Maturing (&lt;=180d)",IF(H7&lt;=365,"Maturing (&lt;=1yr)","TL — On Schedule"))),IF('Facility Master'!AB8="","No Validity",IF(H7&lt;=30,"Expiring (&lt;=30d)",IF(H7&lt;=60,"Due for Review (&lt;=60d)","OK")))),"")</f>
        <v>OK</v>
      </c>
    </row>
    <row r="8" spans="1:9" ht="18" customHeight="1" x14ac:dyDescent="0.3">
      <c r="A8" s="722">
        <v>5</v>
      </c>
      <c r="B8" s="723" t="str">
        <f>IFERROR('Facility Master'!B9,"")</f>
        <v>RBL Bank</v>
      </c>
      <c r="C8" s="723" t="str">
        <f>IFERROR('Facility Master'!C9,"")</f>
        <v>Pre-Acceptance LCBD</v>
      </c>
      <c r="D8" s="725">
        <f>IFERROR('Facility Master'!K9,0)</f>
        <v>100</v>
      </c>
      <c r="E8" s="725">
        <f>IFERROR('Facility Master'!M9,0)</f>
        <v>100</v>
      </c>
      <c r="F8" s="726">
        <f>IFERROR('Facility Master'!N9,0)</f>
        <v>1</v>
      </c>
      <c r="G8" s="724" t="str">
        <f t="shared" si="0"/>
        <v>High (&gt;90%)</v>
      </c>
      <c r="H8" s="987">
        <f>IFERROR(IF('Facility Master'!D9="FB-Term",IF('Facility Master'!Z9="","-",'Facility Master'!Z9-AsOfDate),IF('Facility Master'!AB9="","-",'Facility Master'!AB9-AsOfDate)),"-")</f>
        <v>244</v>
      </c>
      <c r="I8" s="988" t="str">
        <f>IFERROR(IF('Facility Master'!D9="FB-Term",IF('Facility Master'!Z9="","No Maturity",IF(H8&lt;=180,"Maturing (&lt;=180d)",IF(H8&lt;=365,"Maturing (&lt;=1yr)","TL — On Schedule"))),IF('Facility Master'!AB9="","No Validity",IF(H8&lt;=30,"Expiring (&lt;=30d)",IF(H8&lt;=60,"Due for Review (&lt;=60d)","OK")))),"")</f>
        <v>OK</v>
      </c>
    </row>
    <row r="9" spans="1:9" ht="18" customHeight="1" x14ac:dyDescent="0.3">
      <c r="A9" s="722">
        <v>6</v>
      </c>
      <c r="B9" s="723" t="str">
        <f>IFERROR('Facility Master'!B10,"")</f>
        <v>RBL Bank</v>
      </c>
      <c r="C9" s="723" t="str">
        <f>IFERROR('Facility Master'!C10,"")</f>
        <v>Cash Credit</v>
      </c>
      <c r="D9" s="725">
        <f>IFERROR('Facility Master'!K10,0)</f>
        <v>100</v>
      </c>
      <c r="E9" s="725">
        <f>IFERROR('Facility Master'!M10,0)</f>
        <v>100</v>
      </c>
      <c r="F9" s="726">
        <f>IFERROR('Facility Master'!N10,0)</f>
        <v>1</v>
      </c>
      <c r="G9" s="724" t="str">
        <f t="shared" si="0"/>
        <v>High (&gt;90%)</v>
      </c>
      <c r="H9" s="987">
        <f>IFERROR(IF('Facility Master'!D10="FB-Term",IF('Facility Master'!Z10="","-",'Facility Master'!Z10-AsOfDate),IF('Facility Master'!AB10="","-",'Facility Master'!AB10-AsOfDate)),"-")</f>
        <v>244</v>
      </c>
      <c r="I9" s="988" t="str">
        <f>IFERROR(IF('Facility Master'!D10="FB-Term",IF('Facility Master'!Z10="","No Maturity",IF(H9&lt;=180,"Maturing (&lt;=180d)",IF(H9&lt;=365,"Maturing (&lt;=1yr)","TL — On Schedule"))),IF('Facility Master'!AB10="","No Validity",IF(H9&lt;=30,"Expiring (&lt;=30d)",IF(H9&lt;=60,"Due for Review (&lt;=60d)","OK")))),"")</f>
        <v>OK</v>
      </c>
    </row>
    <row r="10" spans="1:9" ht="18" customHeight="1" x14ac:dyDescent="0.3">
      <c r="A10" s="722">
        <v>7</v>
      </c>
      <c r="B10" s="723" t="str">
        <f>IFERROR('Facility Master'!B11,"")</f>
        <v>RBL Bank</v>
      </c>
      <c r="C10" s="723" t="str">
        <f>IFERROR('Facility Master'!C11,"")</f>
        <v>Working Capital Demand Loan (WCDL)</v>
      </c>
      <c r="D10" s="725">
        <f>IFERROR('Facility Master'!K11,0)</f>
        <v>100</v>
      </c>
      <c r="E10" s="725">
        <f>IFERROR('Facility Master'!M11,0)</f>
        <v>100</v>
      </c>
      <c r="F10" s="726">
        <f>IFERROR('Facility Master'!N11,0)</f>
        <v>1</v>
      </c>
      <c r="G10" s="724" t="str">
        <f t="shared" si="0"/>
        <v>High (&gt;90%)</v>
      </c>
      <c r="H10" s="987">
        <f>IFERROR(IF('Facility Master'!D11="FB-Term",IF('Facility Master'!Z11="","-",'Facility Master'!Z11-AsOfDate),IF('Facility Master'!AB11="","-",'Facility Master'!AB11-AsOfDate)),"-")</f>
        <v>244</v>
      </c>
      <c r="I10" s="988" t="str">
        <f>IFERROR(IF('Facility Master'!D11="FB-Term",IF('Facility Master'!Z11="","No Maturity",IF(H10&lt;=180,"Maturing (&lt;=180d)",IF(H10&lt;=365,"Maturing (&lt;=1yr)","TL — On Schedule"))),IF('Facility Master'!AB11="","No Validity",IF(H10&lt;=30,"Expiring (&lt;=30d)",IF(H10&lt;=60,"Due for Review (&lt;=60d)","OK")))),"")</f>
        <v>OK</v>
      </c>
    </row>
    <row r="11" spans="1:9" ht="18" customHeight="1" x14ac:dyDescent="0.3">
      <c r="A11" s="826">
        <v>8</v>
      </c>
      <c r="B11" s="827" t="str">
        <f>IFERROR('Facility Master'!B12,"")</f>
        <v>RBL Bank</v>
      </c>
      <c r="C11" s="827" t="str">
        <f>IFERROR('Facility Master'!C12,"")</f>
        <v>Loan Equivalent Risk (LER)</v>
      </c>
      <c r="D11" s="829">
        <f>IFERROR('Facility Master'!K12,0)</f>
        <v>20</v>
      </c>
      <c r="E11" s="829">
        <f>IFERROR('Facility Master'!M12,0)</f>
        <v>20</v>
      </c>
      <c r="F11" s="830">
        <f>IFERROR('Facility Master'!N12,0)</f>
        <v>1</v>
      </c>
      <c r="G11" s="828" t="str">
        <f t="shared" si="0"/>
        <v>High (&gt;90%)</v>
      </c>
      <c r="H11" s="989">
        <f>IFERROR(IF('Facility Master'!D12="FB-Term",IF('Facility Master'!Z12="","-",'Facility Master'!Z12-AsOfDate),IF('Facility Master'!AB12="","-",'Facility Master'!AB12-AsOfDate)),"-")</f>
        <v>244</v>
      </c>
      <c r="I11" s="990" t="str">
        <f>IFERROR(IF('Facility Master'!D12="FB-Term",IF('Facility Master'!Z12="","No Maturity",IF(H11&lt;=180,"Maturing (&lt;=180d)",IF(H11&lt;=365,"Maturing (&lt;=1yr)","TL — On Schedule"))),IF('Facility Master'!AB12="","No Validity",IF(H11&lt;=30,"Expiring (&lt;=30d)",IF(H11&lt;=60,"Due for Review (&lt;=60d)","OK")))),"")</f>
        <v>OK</v>
      </c>
    </row>
    <row r="12" spans="1:9" ht="18" customHeight="1" x14ac:dyDescent="0.3">
      <c r="A12" s="835">
        <v>9</v>
      </c>
      <c r="B12" s="940" t="str">
        <f>IFERROR('Facility Master'!B13,"")</f>
        <v>RBL Bank</v>
      </c>
      <c r="C12" s="940" t="str">
        <f>IFERROR('Facility Master'!C13,"")</f>
        <v>Term Loan</v>
      </c>
      <c r="D12" s="838">
        <f>IFERROR('Facility Master'!K13,0)</f>
        <v>200</v>
      </c>
      <c r="E12" s="838">
        <f>IFERROR('Facility Master'!M13,0)</f>
        <v>0</v>
      </c>
      <c r="F12" s="839">
        <f>IFERROR('Facility Master'!N13,0)</f>
        <v>0</v>
      </c>
      <c r="G12" s="837" t="str">
        <f t="shared" si="0"/>
        <v>Unutilised</v>
      </c>
      <c r="H12" s="991">
        <f>IFERROR(IF('Facility Master'!D13="FB-Term",IF('Facility Master'!Z13="","-",'Facility Master'!Z13-AsOfDate),IF('Facility Master'!AB13="","-",'Facility Master'!AB13-AsOfDate)),"-")</f>
        <v>1096</v>
      </c>
      <c r="I12" s="992" t="str">
        <f>IFERROR(IF('Facility Master'!D13="FB-Term",IF('Facility Master'!Z13="","No Maturity",IF(H12&lt;=180,"Maturing (&lt;=180d)",IF(H12&lt;=365,"Maturing (&lt;=1yr)","TL — On Schedule"))),IF('Facility Master'!AB13="","No Validity",IF(H12&lt;=30,"Expiring (&lt;=30d)",IF(H12&lt;=60,"Due for Review (&lt;=60d)","OK")))),"")</f>
        <v>TL — On Schedule</v>
      </c>
    </row>
    <row r="13" spans="1:9" ht="18" customHeight="1" x14ac:dyDescent="0.3">
      <c r="A13" s="722">
        <v>10</v>
      </c>
      <c r="B13" s="723" t="str">
        <f>IFERROR('Facility Master'!B14,"")</f>
        <v>RBL Bank</v>
      </c>
      <c r="C13" s="723" t="str">
        <f>IFERROR('Facility Master'!C14,"")</f>
        <v>SBLC for Buyer's Credit (GIFT City)</v>
      </c>
      <c r="D13" s="725">
        <f>IFERROR('Facility Master'!K14,0)</f>
        <v>190</v>
      </c>
      <c r="E13" s="725">
        <f>IFERROR('Facility Master'!M14,0)</f>
        <v>190</v>
      </c>
      <c r="F13" s="726">
        <f>IFERROR('Facility Master'!N14,0)</f>
        <v>1</v>
      </c>
      <c r="G13" s="724" t="str">
        <f t="shared" si="0"/>
        <v>High (&gt;90%)</v>
      </c>
      <c r="H13" s="987">
        <f>IFERROR(IF('Facility Master'!D14="FB-Term",IF('Facility Master'!Z14="","-",'Facility Master'!Z14-AsOfDate),IF('Facility Master'!AB14="","-",'Facility Master'!AB14-AsOfDate)),"-")</f>
        <v>244</v>
      </c>
      <c r="I13" s="988" t="str">
        <f>IFERROR(IF('Facility Master'!D14="FB-Term",IF('Facility Master'!Z14="","No Maturity",IF(H13&lt;=180,"Maturing (&lt;=180d)",IF(H13&lt;=365,"Maturing (&lt;=1yr)","TL — On Schedule"))),IF('Facility Master'!AB14="","No Validity",IF(H13&lt;=30,"Expiring (&lt;=30d)",IF(H13&lt;=60,"Due for Review (&lt;=60d)","OK")))),"")</f>
        <v>OK</v>
      </c>
    </row>
    <row r="14" spans="1:9" ht="18" customHeight="1" x14ac:dyDescent="0.3">
      <c r="A14" s="722">
        <v>11</v>
      </c>
      <c r="B14" s="723" t="str">
        <f>IFERROR('Facility Master'!B15,"")</f>
        <v>RBL Bank</v>
      </c>
      <c r="C14" s="723" t="str">
        <f>IFERROR('Facility Master'!C15,"")</f>
        <v>Capex LC</v>
      </c>
      <c r="D14" s="725">
        <f>IFERROR('Facility Master'!K15,0)</f>
        <v>25</v>
      </c>
      <c r="E14" s="725">
        <f>IFERROR('Facility Master'!M15,0)</f>
        <v>25</v>
      </c>
      <c r="F14" s="726">
        <f>IFERROR('Facility Master'!N15,0)</f>
        <v>1</v>
      </c>
      <c r="G14" s="724" t="str">
        <f t="shared" si="0"/>
        <v>High (&gt;90%)</v>
      </c>
      <c r="H14" s="987">
        <f>IFERROR(IF('Facility Master'!D15="FB-Term",IF('Facility Master'!Z15="","-",'Facility Master'!Z15-AsOfDate),IF('Facility Master'!AB15="","-",'Facility Master'!AB15-AsOfDate)),"-")</f>
        <v>244</v>
      </c>
      <c r="I14" s="988" t="str">
        <f>IFERROR(IF('Facility Master'!D15="FB-Term",IF('Facility Master'!Z15="","No Maturity",IF(H14&lt;=180,"Maturing (&lt;=180d)",IF(H14&lt;=365,"Maturing (&lt;=1yr)","TL — On Schedule"))),IF('Facility Master'!AB15="","No Validity",IF(H14&lt;=30,"Expiring (&lt;=30d)",IF(H14&lt;=60,"Due for Review (&lt;=60d)","OK")))),"")</f>
        <v>OK</v>
      </c>
    </row>
    <row r="15" spans="1:9" ht="18" customHeight="1" x14ac:dyDescent="0.3">
      <c r="A15" s="835">
        <v>12</v>
      </c>
      <c r="B15" s="836" t="str">
        <f>IFERROR('Facility Master'!B16,"")</f>
        <v>RBL Bank</v>
      </c>
      <c r="C15" s="836" t="str">
        <f>IFERROR('Facility Master'!C16,"")</f>
        <v>Overdraft backed by 100% FD (FDOD)</v>
      </c>
      <c r="D15" s="838">
        <f>IFERROR('Facility Master'!K16,0)</f>
        <v>100</v>
      </c>
      <c r="E15" s="838">
        <f>IFERROR('Facility Master'!M16,0)</f>
        <v>100</v>
      </c>
      <c r="F15" s="839">
        <f>IFERROR('Facility Master'!N16,0)</f>
        <v>1</v>
      </c>
      <c r="G15" s="837" t="str">
        <f t="shared" si="0"/>
        <v>High (&gt;90%)</v>
      </c>
      <c r="H15" s="991">
        <f>IFERROR(IF('Facility Master'!D16="FB-Term",IF('Facility Master'!Z16="","-",'Facility Master'!Z16-AsOfDate),IF('Facility Master'!AB16="","-",'Facility Master'!AB16-AsOfDate)),"-")</f>
        <v>244</v>
      </c>
      <c r="I15" s="992" t="str">
        <f>IFERROR(IF('Facility Master'!D16="FB-Term",IF('Facility Master'!Z16="","No Maturity",IF(H15&lt;=180,"Maturing (&lt;=180d)",IF(H15&lt;=365,"Maturing (&lt;=1yr)","TL — On Schedule"))),IF('Facility Master'!AB16="","No Validity",IF(H15&lt;=30,"Expiring (&lt;=30d)",IF(H15&lt;=60,"Due for Review (&lt;=60d)","OK")))),"")</f>
        <v>OK</v>
      </c>
    </row>
    <row r="16" spans="1:9" ht="18" customHeight="1" x14ac:dyDescent="0.3">
      <c r="A16" s="835">
        <v>13</v>
      </c>
      <c r="B16" s="836" t="str">
        <f>IFERROR('Facility Master'!B17,"")</f>
        <v>RBL Bank</v>
      </c>
      <c r="C16" s="836" t="str">
        <f>IFERROR('Facility Master'!C17,"")</f>
        <v>LC backed by 100% FD</v>
      </c>
      <c r="D16" s="838">
        <f>IFERROR('Facility Master'!K17,0)</f>
        <v>50</v>
      </c>
      <c r="E16" s="838">
        <f>IFERROR('Facility Master'!M17,0)</f>
        <v>50</v>
      </c>
      <c r="F16" s="839">
        <f>IFERROR('Facility Master'!N17,0)</f>
        <v>1</v>
      </c>
      <c r="G16" s="837" t="str">
        <f t="shared" si="0"/>
        <v>High (&gt;90%)</v>
      </c>
      <c r="H16" s="991">
        <f>IFERROR(IF('Facility Master'!D17="FB-Term",IF('Facility Master'!Z17="","-",'Facility Master'!Z17-AsOfDate),IF('Facility Master'!AB17="","-",'Facility Master'!AB17-AsOfDate)),"-")</f>
        <v>244</v>
      </c>
      <c r="I16" s="992" t="str">
        <f>IFERROR(IF('Facility Master'!D17="FB-Term",IF('Facility Master'!Z17="","No Maturity",IF(H16&lt;=180,"Maturing (&lt;=180d)",IF(H16&lt;=365,"Maturing (&lt;=1yr)","TL — On Schedule"))),IF('Facility Master'!AB17="","No Validity",IF(H16&lt;=30,"Expiring (&lt;=30d)",IF(H16&lt;=60,"Due for Review (&lt;=60d)","OK")))),"")</f>
        <v>OK</v>
      </c>
    </row>
    <row r="17" spans="1:9" ht="18" customHeight="1" x14ac:dyDescent="0.3">
      <c r="A17" s="722">
        <v>14</v>
      </c>
      <c r="B17" s="723" t="str">
        <f>IFERROR('Facility Master'!B18,"")</f>
        <v>RBL Bank</v>
      </c>
      <c r="C17" s="723" t="str">
        <f>IFERROR('Facility Master'!C18,"")</f>
        <v>Buyer's Credit from GIFT City - WC</v>
      </c>
      <c r="D17" s="725">
        <f>IFERROR('Facility Master'!K18,0)</f>
        <v>100</v>
      </c>
      <c r="E17" s="725">
        <f>IFERROR('Facility Master'!M18,0)</f>
        <v>100</v>
      </c>
      <c r="F17" s="726">
        <f>IFERROR('Facility Master'!N18,0)</f>
        <v>1</v>
      </c>
      <c r="G17" s="724" t="str">
        <f t="shared" si="0"/>
        <v>High (&gt;90%)</v>
      </c>
      <c r="H17" s="987">
        <f>IFERROR(IF('Facility Master'!D18="FB-Term",IF('Facility Master'!Z18="","-",'Facility Master'!Z18-AsOfDate),IF('Facility Master'!AB18="","-",'Facility Master'!AB18-AsOfDate)),"-")</f>
        <v>244</v>
      </c>
      <c r="I17" s="988" t="str">
        <f>IFERROR(IF('Facility Master'!D18="FB-Term",IF('Facility Master'!Z18="","No Maturity",IF(H17&lt;=180,"Maturing (&lt;=180d)",IF(H17&lt;=365,"Maturing (&lt;=1yr)","TL — On Schedule"))),IF('Facility Master'!AB18="","No Validity",IF(H17&lt;=30,"Expiring (&lt;=30d)",IF(H17&lt;=60,"Due for Review (&lt;=60d)","OK")))),"")</f>
        <v>OK</v>
      </c>
    </row>
    <row r="18" spans="1:9" ht="18" customHeight="1" x14ac:dyDescent="0.3">
      <c r="A18" s="722">
        <v>15</v>
      </c>
      <c r="B18" s="723" t="str">
        <f>IFERROR('Facility Master'!B19,"")</f>
        <v>RBL Bank</v>
      </c>
      <c r="C18" s="723" t="str">
        <f>IFERROR('Facility Master'!C19,"")</f>
        <v>Buyer's Credit from GIFT City - CAPEX</v>
      </c>
      <c r="D18" s="725">
        <f>IFERROR('Facility Master'!K19,0)</f>
        <v>172</v>
      </c>
      <c r="E18" s="725">
        <f>IFERROR('Facility Master'!M19,0)</f>
        <v>172</v>
      </c>
      <c r="F18" s="726">
        <f>IFERROR('Facility Master'!N19,0)</f>
        <v>1</v>
      </c>
      <c r="G18" s="724" t="str">
        <f t="shared" si="0"/>
        <v>High (&gt;90%)</v>
      </c>
      <c r="H18" s="987">
        <f>IFERROR(IF('Facility Master'!D19="FB-Term",IF('Facility Master'!Z19="","-",'Facility Master'!Z19-AsOfDate),IF('Facility Master'!AB19="","-",'Facility Master'!AB19-AsOfDate)),"-")</f>
        <v>244</v>
      </c>
      <c r="I18" s="988" t="str">
        <f>IFERROR(IF('Facility Master'!D19="FB-Term",IF('Facility Master'!Z19="","No Maturity",IF(H18&lt;=180,"Maturing (&lt;=180d)",IF(H18&lt;=365,"Maturing (&lt;=1yr)","TL — On Schedule"))),IF('Facility Master'!AB19="","No Validity",IF(H18&lt;=30,"Expiring (&lt;=30d)",IF(H18&lt;=60,"Due for Review (&lt;=60d)","OK")))),"")</f>
        <v>OK</v>
      </c>
    </row>
    <row r="19" spans="1:9" ht="18" customHeight="1" x14ac:dyDescent="0.3">
      <c r="A19" s="735">
        <v>16</v>
      </c>
      <c r="B19" s="736" t="str">
        <f>IFERROR('Facility Master'!B20,"")</f>
        <v>YES Bank</v>
      </c>
      <c r="C19" s="736" t="str">
        <f>IFERROR('Facility Master'!C20,"")</f>
        <v>Purchase Invoice Financing</v>
      </c>
      <c r="D19" s="738">
        <f>IFERROR('Facility Master'!K20,0)</f>
        <v>100</v>
      </c>
      <c r="E19" s="738">
        <f>IFERROR('Facility Master'!M20,0)</f>
        <v>100</v>
      </c>
      <c r="F19" s="739">
        <f>IFERROR('Facility Master'!N20,0)</f>
        <v>1</v>
      </c>
      <c r="G19" s="737" t="str">
        <f t="shared" si="0"/>
        <v>High (&gt;90%)</v>
      </c>
      <c r="H19" s="993">
        <f>IFERROR(IF('Facility Master'!D20="FB-Term",IF('Facility Master'!Z20="","-",'Facility Master'!Z20-AsOfDate),IF('Facility Master'!AB20="","-",'Facility Master'!AB20-AsOfDate)),"-")</f>
        <v>30</v>
      </c>
      <c r="I19" s="994" t="str">
        <f>IFERROR(IF('Facility Master'!D20="FB-Term",IF('Facility Master'!Z20="","No Maturity",IF(H19&lt;=180,"Maturing (&lt;=180d)",IF(H19&lt;=365,"Maturing (&lt;=1yr)","TL — On Schedule"))),IF('Facility Master'!AB20="","No Validity",IF(H19&lt;=30,"Expiring (&lt;=30d)",IF(H19&lt;=60,"Due for Review (&lt;=60d)","OK")))),"")</f>
        <v>Expiring (&lt;=30d)</v>
      </c>
    </row>
    <row r="20" spans="1:9" ht="18" customHeight="1" x14ac:dyDescent="0.3">
      <c r="A20" s="735">
        <v>17</v>
      </c>
      <c r="B20" s="736" t="str">
        <f>IFERROR('Facility Master'!B21,"")</f>
        <v>YES Bank</v>
      </c>
      <c r="C20" s="736" t="str">
        <f>IFERROR('Facility Master'!C21,"")</f>
        <v>Cash Credit</v>
      </c>
      <c r="D20" s="738">
        <f>IFERROR('Facility Master'!K21,0)</f>
        <v>25</v>
      </c>
      <c r="E20" s="738">
        <f>IFERROR('Facility Master'!M21,0)</f>
        <v>25</v>
      </c>
      <c r="F20" s="739">
        <f>IFERROR('Facility Master'!N21,0)</f>
        <v>1</v>
      </c>
      <c r="G20" s="737" t="str">
        <f t="shared" si="0"/>
        <v>High (&gt;90%)</v>
      </c>
      <c r="H20" s="993">
        <f>IFERROR(IF('Facility Master'!D21="FB-Term",IF('Facility Master'!Z21="","-",'Facility Master'!Z21-AsOfDate),IF('Facility Master'!AB21="","-",'Facility Master'!AB21-AsOfDate)),"-")</f>
        <v>378</v>
      </c>
      <c r="I20" s="994" t="str">
        <f>IFERROR(IF('Facility Master'!D21="FB-Term",IF('Facility Master'!Z21="","No Maturity",IF(H20&lt;=180,"Maturing (&lt;=180d)",IF(H20&lt;=365,"Maturing (&lt;=1yr)","TL — On Schedule"))),IF('Facility Master'!AB21="","No Validity",IF(H20&lt;=30,"Expiring (&lt;=30d)",IF(H20&lt;=60,"Due for Review (&lt;=60d)","OK")))),"")</f>
        <v>OK</v>
      </c>
    </row>
    <row r="21" spans="1:9" ht="18" customHeight="1" x14ac:dyDescent="0.3">
      <c r="A21" s="735">
        <v>18</v>
      </c>
      <c r="B21" s="844" t="str">
        <f>IFERROR('Facility Master'!B22,"")</f>
        <v>YES Bank</v>
      </c>
      <c r="C21" s="844" t="str">
        <f>IFERROR('Facility Master'!C22,"")</f>
        <v>Letter of Credit</v>
      </c>
      <c r="D21" s="738">
        <f>IFERROR('Facility Master'!K22,0)</f>
        <v>200</v>
      </c>
      <c r="E21" s="738">
        <f>IFERROR('Facility Master'!M22,0)</f>
        <v>200</v>
      </c>
      <c r="F21" s="739">
        <f>IFERROR('Facility Master'!N22,0)</f>
        <v>1</v>
      </c>
      <c r="G21" s="737" t="str">
        <f t="shared" si="0"/>
        <v>High (&gt;90%)</v>
      </c>
      <c r="H21" s="993">
        <f>IFERROR(IF('Facility Master'!D22="FB-Term",IF('Facility Master'!Z22="","-",'Facility Master'!Z22-AsOfDate),IF('Facility Master'!AB22="","-",'Facility Master'!AB22-AsOfDate)),"-")</f>
        <v>360</v>
      </c>
      <c r="I21" s="994" t="str">
        <f>IFERROR(IF('Facility Master'!D22="FB-Term",IF('Facility Master'!Z22="","No Maturity",IF(H21&lt;=180,"Maturing (&lt;=180d)",IF(H21&lt;=365,"Maturing (&lt;=1yr)","TL — On Schedule"))),IF('Facility Master'!AB22="","No Validity",IF(H21&lt;=30,"Expiring (&lt;=30d)",IF(H21&lt;=60,"Due for Review (&lt;=60d)","OK")))),"")</f>
        <v>OK</v>
      </c>
    </row>
    <row r="22" spans="1:9" ht="18" customHeight="1" x14ac:dyDescent="0.3">
      <c r="A22" s="735">
        <v>19</v>
      </c>
      <c r="B22" s="736" t="str">
        <f>IFERROR('Facility Master'!B23,"")</f>
        <v>YES Bank</v>
      </c>
      <c r="C22" s="736" t="str">
        <f>IFERROR('Facility Master'!C23,"")</f>
        <v>Financial BG / SBLC</v>
      </c>
      <c r="D22" s="738">
        <f>IFERROR('Facility Master'!K23,0)</f>
        <v>200</v>
      </c>
      <c r="E22" s="738">
        <f>IFERROR('Facility Master'!M23,0)</f>
        <v>200</v>
      </c>
      <c r="F22" s="739">
        <f>IFERROR('Facility Master'!N23,0)</f>
        <v>1</v>
      </c>
      <c r="G22" s="737" t="str">
        <f t="shared" si="0"/>
        <v>High (&gt;90%)</v>
      </c>
      <c r="H22" s="993">
        <f>IFERROR(IF('Facility Master'!D23="FB-Term",IF('Facility Master'!Z23="","-",'Facility Master'!Z23-AsOfDate),IF('Facility Master'!AB23="","-",'Facility Master'!AB23-AsOfDate)),"-")</f>
        <v>378</v>
      </c>
      <c r="I22" s="994" t="str">
        <f>IFERROR(IF('Facility Master'!D23="FB-Term",IF('Facility Master'!Z23="","No Maturity",IF(H22&lt;=180,"Maturing (&lt;=180d)",IF(H22&lt;=365,"Maturing (&lt;=1yr)","TL — On Schedule"))),IF('Facility Master'!AB23="","No Validity",IF(H22&lt;=30,"Expiring (&lt;=30d)",IF(H22&lt;=60,"Due for Review (&lt;=60d)","OK")))),"")</f>
        <v>OK</v>
      </c>
    </row>
    <row r="23" spans="1:9" ht="18" customHeight="1" x14ac:dyDescent="0.3">
      <c r="A23" s="735">
        <v>20</v>
      </c>
      <c r="B23" s="736" t="str">
        <f>IFERROR('Facility Master'!B24,"")</f>
        <v>YES Bank</v>
      </c>
      <c r="C23" s="736" t="str">
        <f>IFERROR('Facility Master'!C24,"")</f>
        <v>Working Capital Demand Loan (WCDL)</v>
      </c>
      <c r="D23" s="738">
        <f>IFERROR('Facility Master'!K24,0)</f>
        <v>50</v>
      </c>
      <c r="E23" s="738">
        <f>IFERROR('Facility Master'!M24,0)</f>
        <v>50</v>
      </c>
      <c r="F23" s="739">
        <f>IFERROR('Facility Master'!N24,0)</f>
        <v>1</v>
      </c>
      <c r="G23" s="737" t="str">
        <f t="shared" si="0"/>
        <v>High (&gt;90%)</v>
      </c>
      <c r="H23" s="993">
        <f>IFERROR(IF('Facility Master'!D24="FB-Term",IF('Facility Master'!Z24="","-",'Facility Master'!Z24-AsOfDate),IF('Facility Master'!AB24="","-",'Facility Master'!AB24-AsOfDate)),"-")</f>
        <v>378</v>
      </c>
      <c r="I23" s="994" t="str">
        <f>IFERROR(IF('Facility Master'!D24="FB-Term",IF('Facility Master'!Z24="","No Maturity",IF(H23&lt;=180,"Maturing (&lt;=180d)",IF(H23&lt;=365,"Maturing (&lt;=1yr)","TL — On Schedule"))),IF('Facility Master'!AB24="","No Validity",IF(H23&lt;=30,"Expiring (&lt;=30d)",IF(H23&lt;=60,"Due for Review (&lt;=60d)","OK")))),"")</f>
        <v>OK</v>
      </c>
    </row>
    <row r="24" spans="1:9" ht="18" customHeight="1" x14ac:dyDescent="0.3">
      <c r="A24" s="735">
        <v>21</v>
      </c>
      <c r="B24" s="844" t="str">
        <f>IFERROR('Facility Master'!B25,"")</f>
        <v>YES Bank</v>
      </c>
      <c r="C24" s="844" t="str">
        <f>IFERROR('Facility Master'!C25,"")</f>
        <v>Term Loan (Refinance Canara)</v>
      </c>
      <c r="D24" s="738">
        <f>IFERROR('Facility Master'!K25,0)</f>
        <v>320.7</v>
      </c>
      <c r="E24" s="738">
        <f>IFERROR('Facility Master'!M25,0)</f>
        <v>295.96119999999996</v>
      </c>
      <c r="F24" s="739">
        <f>IFERROR('Facility Master'!N25,0)</f>
        <v>0.92285999376364192</v>
      </c>
      <c r="G24" s="737" t="str">
        <f t="shared" si="0"/>
        <v>High (&gt;90%)</v>
      </c>
      <c r="H24" s="993">
        <f>IFERROR(IF('Facility Master'!D25="FB-Term",IF('Facility Master'!Z25="","-",'Facility Master'!Z25-AsOfDate),IF('Facility Master'!AB25="","-",'Facility Master'!AB25-AsOfDate)),"-")</f>
        <v>3836</v>
      </c>
      <c r="I24" s="994" t="str">
        <f>IFERROR(IF('Facility Master'!D25="FB-Term",IF('Facility Master'!Z25="","No Maturity",IF(H24&lt;=180,"Maturing (&lt;=180d)",IF(H24&lt;=365,"Maturing (&lt;=1yr)","TL — On Schedule"))),IF('Facility Master'!AB25="","No Validity",IF(H24&lt;=30,"Expiring (&lt;=30d)",IF(H24&lt;=60,"Due for Review (&lt;=60d)","OK")))),"")</f>
        <v>TL — On Schedule</v>
      </c>
    </row>
    <row r="25" spans="1:9" ht="18" customHeight="1" x14ac:dyDescent="0.3">
      <c r="A25" s="742">
        <v>22</v>
      </c>
      <c r="B25" s="848" t="str">
        <f>IFERROR('Facility Master'!B26,"")</f>
        <v>Bajaj Finance</v>
      </c>
      <c r="C25" s="848" t="str">
        <f>IFERROR('Facility Master'!C26,"")</f>
        <v>Term Loan</v>
      </c>
      <c r="D25" s="745">
        <f>IFERROR('Facility Master'!K26,0)</f>
        <v>150</v>
      </c>
      <c r="E25" s="745">
        <f>IFERROR('Facility Master'!M26,0)</f>
        <v>150</v>
      </c>
      <c r="F25" s="746">
        <f>IFERROR('Facility Master'!N26,0)</f>
        <v>1</v>
      </c>
      <c r="G25" s="744" t="str">
        <f t="shared" si="0"/>
        <v>High (&gt;90%)</v>
      </c>
      <c r="H25" s="995">
        <f>IFERROR(IF('Facility Master'!D26="FB-Term",IF('Facility Master'!Z26="","-",'Facility Master'!Z26-AsOfDate),IF('Facility Master'!AB26="","-",'Facility Master'!AB26-AsOfDate)),"-")</f>
        <v>2704</v>
      </c>
      <c r="I25" s="996" t="str">
        <f>IFERROR(IF('Facility Master'!D26="FB-Term",IF('Facility Master'!Z26="","No Maturity",IF(H25&lt;=180,"Maturing (&lt;=180d)",IF(H25&lt;=365,"Maturing (&lt;=1yr)","TL — On Schedule"))),IF('Facility Master'!AB26="","No Validity",IF(H25&lt;=30,"Expiring (&lt;=30d)",IF(H25&lt;=60,"Due for Review (&lt;=60d)","OK")))),"")</f>
        <v>TL — On Schedule</v>
      </c>
    </row>
    <row r="26" spans="1:9" ht="18" customHeight="1" x14ac:dyDescent="0.3">
      <c r="A26" s="947">
        <v>23</v>
      </c>
      <c r="B26" s="948" t="str">
        <f>IFERROR('Facility Master'!B27,"")</f>
        <v>ICICI Bank</v>
      </c>
      <c r="C26" s="948" t="str">
        <f>IFERROR('Facility Master'!C27,"")</f>
        <v>Cash Credit</v>
      </c>
      <c r="D26" s="951">
        <f>IFERROR('Facility Master'!K27,0)</f>
        <v>50</v>
      </c>
      <c r="E26" s="951">
        <f>IFERROR('Facility Master'!M27,0)</f>
        <v>50</v>
      </c>
      <c r="F26" s="997">
        <f>IFERROR('Facility Master'!N27,0)</f>
        <v>1</v>
      </c>
      <c r="G26" s="949" t="str">
        <f t="shared" si="0"/>
        <v>High (&gt;90%)</v>
      </c>
      <c r="H26" s="998">
        <f>IFERROR(IF('Facility Master'!D27="FB-Term",IF('Facility Master'!Z27="","-",'Facility Master'!Z27-AsOfDate),IF('Facility Master'!AB27="","-",'Facility Master'!AB27-AsOfDate)),"-")</f>
        <v>156</v>
      </c>
      <c r="I26" s="999" t="str">
        <f>IFERROR(IF('Facility Master'!D27="FB-Term",IF('Facility Master'!Z27="","No Maturity",IF(H26&lt;=180,"Maturing (&lt;=180d)",IF(H26&lt;=365,"Maturing (&lt;=1yr)","TL — On Schedule"))),IF('Facility Master'!AB27="","No Validity",IF(H26&lt;=30,"Expiring (&lt;=30d)",IF(H26&lt;=60,"Due for Review (&lt;=60d)","OK")))),"")</f>
        <v>OK</v>
      </c>
    </row>
    <row r="27" spans="1:9" ht="18" customHeight="1" x14ac:dyDescent="0.3">
      <c r="A27" s="947">
        <v>24</v>
      </c>
      <c r="B27" s="955" t="str">
        <f>IFERROR('Facility Master'!B28,"")</f>
        <v>ICICI Bank</v>
      </c>
      <c r="C27" s="955" t="str">
        <f>IFERROR('Facility Master'!C28,"")</f>
        <v>Working Capital Demand Loan (WCDL)</v>
      </c>
      <c r="D27" s="951">
        <f>IFERROR('Facility Master'!K28,0)</f>
        <v>50</v>
      </c>
      <c r="E27" s="951">
        <f>IFERROR('Facility Master'!M28,0)</f>
        <v>50</v>
      </c>
      <c r="F27" s="997">
        <f>IFERROR('Facility Master'!N28,0)</f>
        <v>1</v>
      </c>
      <c r="G27" s="949" t="str">
        <f t="shared" si="0"/>
        <v>High (&gt;90%)</v>
      </c>
      <c r="H27" s="998">
        <f>IFERROR(IF('Facility Master'!D28="FB-Term",IF('Facility Master'!Z28="","-",'Facility Master'!Z28-AsOfDate),IF('Facility Master'!AB28="","-",'Facility Master'!AB28-AsOfDate)),"-")</f>
        <v>156</v>
      </c>
      <c r="I27" s="999" t="str">
        <f>IFERROR(IF('Facility Master'!D28="FB-Term",IF('Facility Master'!Z28="","No Maturity",IF(H27&lt;=180,"Maturing (&lt;=180d)",IF(H27&lt;=365,"Maturing (&lt;=1yr)","TL — On Schedule"))),IF('Facility Master'!AB28="","No Validity",IF(H27&lt;=30,"Expiring (&lt;=30d)",IF(H27&lt;=60,"Due for Review (&lt;=60d)","OK")))),"")</f>
        <v>OK</v>
      </c>
    </row>
    <row r="28" spans="1:9" ht="18" customHeight="1" x14ac:dyDescent="0.3">
      <c r="A28" s="947">
        <v>25</v>
      </c>
      <c r="B28" s="948" t="str">
        <f>IFERROR('Facility Master'!B29,"")</f>
        <v>ICICI Bank</v>
      </c>
      <c r="C28" s="948" t="str">
        <f>IFERROR('Facility Master'!C29,"")</f>
        <v>Letter of Credit (Inland/Foreign)</v>
      </c>
      <c r="D28" s="951">
        <f>IFERROR('Facility Master'!K29,0)</f>
        <v>150</v>
      </c>
      <c r="E28" s="951">
        <f>IFERROR('Facility Master'!M29,0)</f>
        <v>150</v>
      </c>
      <c r="F28" s="997">
        <f>IFERROR('Facility Master'!N29,0)</f>
        <v>1</v>
      </c>
      <c r="G28" s="949" t="str">
        <f t="shared" si="0"/>
        <v>High (&gt;90%)</v>
      </c>
      <c r="H28" s="998">
        <f>IFERROR(IF('Facility Master'!D29="FB-Term",IF('Facility Master'!Z29="","-",'Facility Master'!Z29-AsOfDate),IF('Facility Master'!AB29="","-",'Facility Master'!AB29-AsOfDate)),"-")</f>
        <v>156</v>
      </c>
      <c r="I28" s="999" t="str">
        <f>IFERROR(IF('Facility Master'!D29="FB-Term",IF('Facility Master'!Z29="","No Maturity",IF(H28&lt;=180,"Maturing (&lt;=180d)",IF(H28&lt;=365,"Maturing (&lt;=1yr)","TL — On Schedule"))),IF('Facility Master'!AB29="","No Validity",IF(H28&lt;=30,"Expiring (&lt;=30d)",IF(H28&lt;=60,"Due for Review (&lt;=60d)","OK")))),"")</f>
        <v>OK</v>
      </c>
    </row>
    <row r="29" spans="1:9" ht="18" customHeight="1" x14ac:dyDescent="0.3">
      <c r="A29" s="947">
        <v>26</v>
      </c>
      <c r="B29" s="955" t="str">
        <f>IFERROR('Facility Master'!B30,"")</f>
        <v>ICICI Bank</v>
      </c>
      <c r="C29" s="955" t="str">
        <f>IFERROR('Facility Master'!C30,"")</f>
        <v>SBLC for Buyers' Credit</v>
      </c>
      <c r="D29" s="951">
        <f>IFERROR('Facility Master'!K30,0)</f>
        <v>150</v>
      </c>
      <c r="E29" s="951">
        <f>IFERROR('Facility Master'!M30,0)</f>
        <v>150</v>
      </c>
      <c r="F29" s="997">
        <f>IFERROR('Facility Master'!N30,0)</f>
        <v>1</v>
      </c>
      <c r="G29" s="949" t="str">
        <f t="shared" si="0"/>
        <v>High (&gt;90%)</v>
      </c>
      <c r="H29" s="998">
        <f>IFERROR(IF('Facility Master'!D30="FB-Term",IF('Facility Master'!Z30="","-",'Facility Master'!Z30-AsOfDate),IF('Facility Master'!AB30="","-",'Facility Master'!AB30-AsOfDate)),"-")</f>
        <v>156</v>
      </c>
      <c r="I29" s="999" t="str">
        <f>IFERROR(IF('Facility Master'!D30="FB-Term",IF('Facility Master'!Z30="","No Maturity",IF(H29&lt;=180,"Maturing (&lt;=180d)",IF(H29&lt;=365,"Maturing (&lt;=1yr)","TL — On Schedule"))),IF('Facility Master'!AB30="","No Validity",IF(H29&lt;=30,"Expiring (&lt;=30d)",IF(H29&lt;=60,"Due for Review (&lt;=60d)","OK")))),"")</f>
        <v>OK</v>
      </c>
    </row>
    <row r="30" spans="1:9" ht="18" customHeight="1" x14ac:dyDescent="0.3">
      <c r="A30" s="947">
        <v>27</v>
      </c>
      <c r="B30" s="955" t="str">
        <f>IFERROR('Facility Master'!B31,"")</f>
        <v>ICICI Bank</v>
      </c>
      <c r="C30" s="955" t="str">
        <f>IFERROR('Facility Master'!C31,"")</f>
        <v>Bank Guarantee - Performance</v>
      </c>
      <c r="D30" s="951">
        <f>IFERROR('Facility Master'!K31,0)</f>
        <v>25</v>
      </c>
      <c r="E30" s="951">
        <f>IFERROR('Facility Master'!M31,0)</f>
        <v>25</v>
      </c>
      <c r="F30" s="997">
        <f>IFERROR('Facility Master'!N31,0)</f>
        <v>1</v>
      </c>
      <c r="G30" s="949" t="str">
        <f t="shared" si="0"/>
        <v>High (&gt;90%)</v>
      </c>
      <c r="H30" s="998">
        <f>IFERROR(IF('Facility Master'!D31="FB-Term",IF('Facility Master'!Z31="","-",'Facility Master'!Z31-AsOfDate),IF('Facility Master'!AB31="","-",'Facility Master'!AB31-AsOfDate)),"-")</f>
        <v>156</v>
      </c>
      <c r="I30" s="999" t="str">
        <f>IFERROR(IF('Facility Master'!D31="FB-Term",IF('Facility Master'!Z31="","No Maturity",IF(H30&lt;=180,"Maturing (&lt;=180d)",IF(H30&lt;=365,"Maturing (&lt;=1yr)","TL — On Schedule"))),IF('Facility Master'!AB31="","No Validity",IF(H30&lt;=30,"Expiring (&lt;=30d)",IF(H30&lt;=60,"Due for Review (&lt;=60d)","OK")))),"")</f>
        <v>OK</v>
      </c>
    </row>
    <row r="31" spans="1:9" ht="18" customHeight="1" x14ac:dyDescent="0.3">
      <c r="A31" s="947">
        <v>28</v>
      </c>
      <c r="B31" s="955" t="str">
        <f>IFERROR('Facility Master'!B32,"")</f>
        <v>ICICI Bank</v>
      </c>
      <c r="C31" s="955" t="str">
        <f>IFERROR('Facility Master'!C32,"")</f>
        <v>Bank Guarantee - Financial</v>
      </c>
      <c r="D31" s="951">
        <f>IFERROR('Facility Master'!K32,0)</f>
        <v>5</v>
      </c>
      <c r="E31" s="951">
        <f>IFERROR('Facility Master'!M32,0)</f>
        <v>5</v>
      </c>
      <c r="F31" s="997">
        <f>IFERROR('Facility Master'!N32,0)</f>
        <v>1</v>
      </c>
      <c r="G31" s="949" t="str">
        <f t="shared" si="0"/>
        <v>High (&gt;90%)</v>
      </c>
      <c r="H31" s="998">
        <f>IFERROR(IF('Facility Master'!D32="FB-Term",IF('Facility Master'!Z32="","-",'Facility Master'!Z32-AsOfDate),IF('Facility Master'!AB32="","-",'Facility Master'!AB32-AsOfDate)),"-")</f>
        <v>156</v>
      </c>
      <c r="I31" s="999" t="str">
        <f>IFERROR(IF('Facility Master'!D32="FB-Term",IF('Facility Master'!Z32="","No Maturity",IF(H31&lt;=180,"Maturing (&lt;=180d)",IF(H31&lt;=365,"Maturing (&lt;=1yr)","TL — On Schedule"))),IF('Facility Master'!AB32="","No Validity",IF(H31&lt;=30,"Expiring (&lt;=30d)",IF(H31&lt;=60,"Due for Review (&lt;=60d)","OK")))),"")</f>
        <v>OK</v>
      </c>
    </row>
    <row r="32" spans="1:9" ht="18" customHeight="1" x14ac:dyDescent="0.3">
      <c r="A32" s="749">
        <v>29</v>
      </c>
      <c r="B32" s="750" t="str">
        <f>IFERROR('Facility Master'!B33,"")</f>
        <v>South Indian Bank</v>
      </c>
      <c r="C32" s="750" t="str">
        <f>IFERROR('Facility Master'!C33,"")</f>
        <v>CCOL (Cash Credit)</v>
      </c>
      <c r="D32" s="752">
        <f>IFERROR('Facility Master'!K33,0)</f>
        <v>50</v>
      </c>
      <c r="E32" s="752">
        <f>IFERROR('Facility Master'!M33,0)</f>
        <v>50</v>
      </c>
      <c r="F32" s="753">
        <f>IFERROR('Facility Master'!N33,0)</f>
        <v>1</v>
      </c>
      <c r="G32" s="751" t="str">
        <f t="shared" si="0"/>
        <v>High (&gt;90%)</v>
      </c>
      <c r="H32" s="1000">
        <f>IFERROR(IF('Facility Master'!D33="FB-Term",IF('Facility Master'!Z33="","-",'Facility Master'!Z33-AsOfDate),IF('Facility Master'!AB33="","-",'Facility Master'!AB33-AsOfDate)),"-")</f>
        <v>82</v>
      </c>
      <c r="I32" s="1001" t="str">
        <f>IFERROR(IF('Facility Master'!D33="FB-Term",IF('Facility Master'!Z33="","No Maturity",IF(H32&lt;=180,"Maturing (&lt;=180d)",IF(H32&lt;=365,"Maturing (&lt;=1yr)","TL — On Schedule"))),IF('Facility Master'!AB33="","No Validity",IF(H32&lt;=30,"Expiring (&lt;=30d)",IF(H32&lt;=60,"Due for Review (&lt;=60d)","OK")))),"")</f>
        <v>OK</v>
      </c>
    </row>
    <row r="33" spans="1:9" ht="18" customHeight="1" x14ac:dyDescent="0.3">
      <c r="A33" s="749">
        <v>30</v>
      </c>
      <c r="B33" s="750" t="str">
        <f>IFERROR('Facility Master'!B34,"")</f>
        <v>South Indian Bank</v>
      </c>
      <c r="C33" s="750" t="str">
        <f>IFERROR('Facility Master'!C34,"")</f>
        <v>WCL / WCDL</v>
      </c>
      <c r="D33" s="752">
        <f>IFERROR('Facility Master'!K34,0)</f>
        <v>50</v>
      </c>
      <c r="E33" s="752">
        <f>IFERROR('Facility Master'!M34,0)</f>
        <v>50</v>
      </c>
      <c r="F33" s="753">
        <f>IFERROR('Facility Master'!N34,0)</f>
        <v>1</v>
      </c>
      <c r="G33" s="751" t="str">
        <f t="shared" si="0"/>
        <v>High (&gt;90%)</v>
      </c>
      <c r="H33" s="1000">
        <f>IFERROR(IF('Facility Master'!D34="FB-Term",IF('Facility Master'!Z34="","-",'Facility Master'!Z34-AsOfDate),IF('Facility Master'!AB34="","-",'Facility Master'!AB34-AsOfDate)),"-")</f>
        <v>82</v>
      </c>
      <c r="I33" s="1001" t="str">
        <f>IFERROR(IF('Facility Master'!D34="FB-Term",IF('Facility Master'!Z34="","No Maturity",IF(H33&lt;=180,"Maturing (&lt;=180d)",IF(H33&lt;=365,"Maturing (&lt;=1yr)","TL — On Schedule"))),IF('Facility Master'!AB34="","No Validity",IF(H33&lt;=30,"Expiring (&lt;=30d)",IF(H33&lt;=60,"Due for Review (&lt;=60d)","OK")))),"")</f>
        <v>OK</v>
      </c>
    </row>
    <row r="34" spans="1:9" ht="18" customHeight="1" x14ac:dyDescent="0.3">
      <c r="A34" s="749">
        <v>31</v>
      </c>
      <c r="B34" s="852" t="str">
        <f>IFERROR('Facility Master'!B35,"")</f>
        <v>South Indian Bank</v>
      </c>
      <c r="C34" s="852" t="str">
        <f>IFERROR('Facility Master'!C35,"")</f>
        <v>Inland / Import LC</v>
      </c>
      <c r="D34" s="752">
        <f>IFERROR('Facility Master'!K35,0)</f>
        <v>150</v>
      </c>
      <c r="E34" s="752">
        <f>IFERROR('Facility Master'!M35,0)</f>
        <v>150</v>
      </c>
      <c r="F34" s="753">
        <f>IFERROR('Facility Master'!N35,0)</f>
        <v>1</v>
      </c>
      <c r="G34" s="751" t="str">
        <f t="shared" si="0"/>
        <v>High (&gt;90%)</v>
      </c>
      <c r="H34" s="1000">
        <f>IFERROR(IF('Facility Master'!D35="FB-Term",IF('Facility Master'!Z35="","-",'Facility Master'!Z35-AsOfDate),IF('Facility Master'!AB35="","-",'Facility Master'!AB35-AsOfDate)),"-")</f>
        <v>82</v>
      </c>
      <c r="I34" s="1001" t="str">
        <f>IFERROR(IF('Facility Master'!D35="FB-Term",IF('Facility Master'!Z35="","No Maturity",IF(H34&lt;=180,"Maturing (&lt;=180d)",IF(H34&lt;=365,"Maturing (&lt;=1yr)","TL — On Schedule"))),IF('Facility Master'!AB35="","No Validity",IF(H34&lt;=30,"Expiring (&lt;=30d)",IF(H34&lt;=60,"Due for Review (&lt;=60d)","OK")))),"")</f>
        <v>OK</v>
      </c>
    </row>
    <row r="35" spans="1:9" ht="18" customHeight="1" x14ac:dyDescent="0.3">
      <c r="A35" s="749">
        <v>32</v>
      </c>
      <c r="B35" s="750" t="str">
        <f>IFERROR('Facility Master'!B36,"")</f>
        <v>South Indian Bank</v>
      </c>
      <c r="C35" s="750" t="str">
        <f>IFERROR('Facility Master'!C36,"")</f>
        <v>Capex LC</v>
      </c>
      <c r="D35" s="752">
        <f>IFERROR('Facility Master'!K36,0)</f>
        <v>50</v>
      </c>
      <c r="E35" s="752">
        <f>IFERROR('Facility Master'!M36,0)</f>
        <v>50</v>
      </c>
      <c r="F35" s="753">
        <f>IFERROR('Facility Master'!N36,0)</f>
        <v>1</v>
      </c>
      <c r="G35" s="751" t="str">
        <f t="shared" si="0"/>
        <v>High (&gt;90%)</v>
      </c>
      <c r="H35" s="1000">
        <f>IFERROR(IF('Facility Master'!D36="FB-Term",IF('Facility Master'!Z36="","-",'Facility Master'!Z36-AsOfDate),IF('Facility Master'!AB36="","-",'Facility Master'!AB36-AsOfDate)),"-")</f>
        <v>82</v>
      </c>
      <c r="I35" s="1001" t="str">
        <f>IFERROR(IF('Facility Master'!D36="FB-Term",IF('Facility Master'!Z36="","No Maturity",IF(H35&lt;=180,"Maturing (&lt;=180d)",IF(H35&lt;=365,"Maturing (&lt;=1yr)","TL — On Schedule"))),IF('Facility Master'!AB36="","No Validity",IF(H35&lt;=30,"Expiring (&lt;=30d)",IF(H35&lt;=60,"Due for Review (&lt;=60d)","OK")))),"")</f>
        <v>OK</v>
      </c>
    </row>
    <row r="36" spans="1:9" ht="18" customHeight="1" x14ac:dyDescent="0.3">
      <c r="A36" s="749">
        <v>33</v>
      </c>
      <c r="B36" s="750" t="str">
        <f>IFERROR('Facility Master'!B37,"")</f>
        <v>South Indian Bank</v>
      </c>
      <c r="C36" s="750" t="str">
        <f>IFERROR('Facility Master'!C37,"")</f>
        <v>SBLC</v>
      </c>
      <c r="D36" s="752">
        <f>IFERROR('Facility Master'!K37,0)</f>
        <v>150</v>
      </c>
      <c r="E36" s="752">
        <f>IFERROR('Facility Master'!M37,0)</f>
        <v>150</v>
      </c>
      <c r="F36" s="753">
        <f>IFERROR('Facility Master'!N37,0)</f>
        <v>1</v>
      </c>
      <c r="G36" s="751" t="str">
        <f t="shared" si="0"/>
        <v>High (&gt;90%)</v>
      </c>
      <c r="H36" s="1000">
        <f>IFERROR(IF('Facility Master'!D37="FB-Term",IF('Facility Master'!Z37="","-",'Facility Master'!Z37-AsOfDate),IF('Facility Master'!AB37="","-",'Facility Master'!AB37-AsOfDate)),"-")</f>
        <v>82</v>
      </c>
      <c r="I36" s="1001" t="str">
        <f>IFERROR(IF('Facility Master'!D37="FB-Term",IF('Facility Master'!Z37="","No Maturity",IF(H36&lt;=180,"Maturing (&lt;=180d)",IF(H36&lt;=365,"Maturing (&lt;=1yr)","TL — On Schedule"))),IF('Facility Master'!AB37="","No Validity",IF(H36&lt;=30,"Expiring (&lt;=30d)",IF(H36&lt;=60,"Due for Review (&lt;=60d)","OK")))),"")</f>
        <v>OK</v>
      </c>
    </row>
    <row r="37" spans="1:9" ht="18" customHeight="1" x14ac:dyDescent="0.3">
      <c r="A37" s="856">
        <v>34</v>
      </c>
      <c r="B37" s="857" t="str">
        <f>IFERROR('Facility Master'!B38,"")</f>
        <v>South Indian Bank</v>
      </c>
      <c r="C37" s="857" t="str">
        <f>IFERROR('Facility Master'!C38,"")</f>
        <v>Forward Contract Limit</v>
      </c>
      <c r="D37" s="859">
        <f>IFERROR('Facility Master'!K38,0)</f>
        <v>3</v>
      </c>
      <c r="E37" s="859">
        <f>IFERROR('Facility Master'!M38,0)</f>
        <v>3</v>
      </c>
      <c r="F37" s="860">
        <f>IFERROR('Facility Master'!N38,0)</f>
        <v>1</v>
      </c>
      <c r="G37" s="858" t="str">
        <f t="shared" si="0"/>
        <v>High (&gt;90%)</v>
      </c>
      <c r="H37" s="1002">
        <f>IFERROR(IF('Facility Master'!D38="FB-Term",IF('Facility Master'!Z38="","-",'Facility Master'!Z38-AsOfDate),IF('Facility Master'!AB38="","-",'Facility Master'!AB38-AsOfDate)),"-")</f>
        <v>82</v>
      </c>
      <c r="I37" s="1003" t="str">
        <f>IFERROR(IF('Facility Master'!D38="FB-Term",IF('Facility Master'!Z38="","No Maturity",IF(H37&lt;=180,"Maturing (&lt;=180d)",IF(H37&lt;=365,"Maturing (&lt;=1yr)","TL — On Schedule"))),IF('Facility Master'!AB38="","No Validity",IF(H37&lt;=30,"Expiring (&lt;=30d)",IF(H37&lt;=60,"Due for Review (&lt;=60d)","OK")))),"")</f>
        <v>OK</v>
      </c>
    </row>
    <row r="38" spans="1:9" ht="21.75" customHeight="1" x14ac:dyDescent="0.3"/>
    <row r="39" spans="1:9" ht="21.75" customHeight="1" x14ac:dyDescent="0.3"/>
    <row r="40" spans="1:9" ht="15" customHeight="1" x14ac:dyDescent="0.3"/>
  </sheetData>
  <conditionalFormatting sqref="G4:G37">
    <cfRule type="cellIs" dxfId="36" priority="1" operator="equal">
      <formula>"High (&gt;90%)"</formula>
    </cfRule>
    <cfRule type="cellIs" dxfId="35" priority="2" operator="equal">
      <formula>"Elevated (75-90%)"</formula>
    </cfRule>
    <cfRule type="cellIs" dxfId="34" priority="3" operator="equal">
      <formula>"Normal"</formula>
    </cfRule>
    <cfRule type="cellIs" dxfId="33" priority="4" operator="equal">
      <formula>"Unutilised"</formula>
    </cfRule>
  </conditionalFormatting>
  <conditionalFormatting sqref="I4:I37">
    <cfRule type="cellIs" dxfId="32" priority="5" operator="equal">
      <formula>"OK"</formula>
    </cfRule>
    <cfRule type="cellIs" dxfId="31" priority="6" operator="equal">
      <formula>"Due for Review (&lt;=60d)"</formula>
    </cfRule>
    <cfRule type="cellIs" dxfId="30" priority="7" operator="equal">
      <formula>"Expiring (&lt;=30d)"</formula>
    </cfRule>
    <cfRule type="cellIs" dxfId="29" priority="8" operator="equal">
      <formula>"TL — On Schedule"</formula>
    </cfRule>
    <cfRule type="cellIs" dxfId="28" priority="9" operator="equal">
      <formula>"Maturing (&lt;=1yr)"</formula>
    </cfRule>
    <cfRule type="cellIs" dxfId="27" priority="10" operator="equal">
      <formula>"Maturing (&lt;=180d)"</formula>
    </cfRule>
  </conditionalFormatting>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ED7D31"/>
  </sheetPr>
  <dimension ref="A1:H49"/>
  <sheetViews>
    <sheetView showGridLines="0" zoomScaleNormal="100" workbookViewId="0">
      <pane ySplit="3" topLeftCell="A4" activePane="bottomLeft" state="frozen"/>
      <selection activeCell="C1" sqref="C1"/>
      <selection pane="bottomLeft" activeCell="A46" sqref="A46"/>
    </sheetView>
  </sheetViews>
  <sheetFormatPr defaultColWidth="8.6640625" defaultRowHeight="14.4" x14ac:dyDescent="0.3"/>
  <cols>
    <col min="1" max="1" width="7.44140625" customWidth="1"/>
    <col min="2" max="2" width="16.6640625" customWidth="1"/>
    <col min="3" max="3" width="32.44140625" customWidth="1"/>
    <col min="4" max="5" width="16.6640625" customWidth="1"/>
    <col min="6" max="6" width="13.88671875" customWidth="1"/>
    <col min="7" max="7" width="29.6640625" customWidth="1"/>
    <col min="8" max="8" width="25.88671875" customWidth="1"/>
    <col min="9" max="9" width="18" customWidth="1"/>
    <col min="10" max="10" width="28" customWidth="1"/>
  </cols>
  <sheetData>
    <row r="1" spans="1:8" ht="30" customHeight="1" x14ac:dyDescent="0.35">
      <c r="A1" s="713" t="s">
        <v>625</v>
      </c>
      <c r="B1" s="713"/>
      <c r="C1" s="713"/>
      <c r="D1" s="713"/>
      <c r="E1" s="713"/>
      <c r="F1" s="713"/>
      <c r="G1" s="713"/>
      <c r="H1" s="713"/>
    </row>
    <row r="2" spans="1:8" ht="18" customHeight="1" x14ac:dyDescent="0.3">
      <c r="A2" s="327" t="s">
        <v>806</v>
      </c>
      <c r="B2" s="327"/>
      <c r="C2" s="327"/>
      <c r="D2" s="327"/>
      <c r="E2" s="327"/>
      <c r="F2" s="327"/>
      <c r="G2" s="327"/>
      <c r="H2" s="327"/>
    </row>
    <row r="3" spans="1:8" ht="22.05" customHeight="1" x14ac:dyDescent="0.3">
      <c r="A3" s="718" t="s">
        <v>244</v>
      </c>
      <c r="B3" s="719" t="s">
        <v>122</v>
      </c>
      <c r="C3" s="719" t="s">
        <v>270</v>
      </c>
      <c r="D3" s="720" t="s">
        <v>293</v>
      </c>
      <c r="E3" s="720" t="s">
        <v>294</v>
      </c>
      <c r="F3" s="720" t="s">
        <v>623</v>
      </c>
      <c r="G3" s="720" t="s">
        <v>52</v>
      </c>
      <c r="H3" s="721" t="s">
        <v>626</v>
      </c>
    </row>
    <row r="4" spans="1:8" s="1" customFormat="1" ht="18" customHeight="1" x14ac:dyDescent="0.3">
      <c r="A4" s="722">
        <v>1</v>
      </c>
      <c r="B4" s="822" t="str">
        <f>IFERROR('Facility Master'!B5,"")</f>
        <v>RBL Bank</v>
      </c>
      <c r="C4" s="822" t="str">
        <f>IFERROR('Facility Master'!C5,"")</f>
        <v>Letter of Credit - Main Limit</v>
      </c>
      <c r="D4" s="824">
        <f>IFERROR('Facility Master'!AA5,"")</f>
        <v>46022</v>
      </c>
      <c r="E4" s="824">
        <f>IFERROR(IF('Facility Master'!D5="FB-Term",'Facility Master'!Z5,'Facility Master'!AB5),"")</f>
        <v>46356</v>
      </c>
      <c r="F4" s="987">
        <f>IFERROR(IF('Facility Master'!D5="FB-Term",IF('Facility Master'!Z5="","-",'Facility Master'!Z5-AsOfDate),IF('Facility Master'!AB5="","-",'Facility Master'!AB5-AsOfDate)),"-")</f>
        <v>244</v>
      </c>
      <c r="G4" s="724" t="str">
        <f>IFERROR(IF('Facility Master'!D5="FB-Term",IF('Facility Master'!Z5="","No Maturity",IF(F4&lt;=180,"Maturing &lt;=180d",IF(F4&lt;=365,"Maturing &lt;=1yr","Term Loan — On Schedule"))),IF('Facility Master'!AB5="","No Validity Date",IF('Facility Master'!AB5&lt;AsOfDate,"Annual Renewal — Confirm with Ops",IF(F4&lt;=30,"Expiring &lt;=30d",IF(F4&lt;=60,"Due &lt;=60d","Valid"))))),"")</f>
        <v>Valid</v>
      </c>
      <c r="H4" s="1004" t="str">
        <f t="shared" ref="H4:H37" si="0">IF(G4="Annual Renewal — Confirm with Ops","Update validity from RM letter",IF(LEFT(G4,8)="Expiring","Initiate renewal",IF(G4="Maturing &lt;=180d","Plan refinance",IF(G4="Maturing &lt;=1yr","Begin refinance discussion","-"))))</f>
        <v>-</v>
      </c>
    </row>
    <row r="5" spans="1:8" ht="18" customHeight="1" x14ac:dyDescent="0.3">
      <c r="A5" s="722">
        <v>2</v>
      </c>
      <c r="B5" s="723" t="str">
        <f>IFERROR('Facility Master'!B6,"")</f>
        <v>RBL Bank</v>
      </c>
      <c r="C5" s="723" t="str">
        <f>IFERROR('Facility Master'!C6,"")</f>
        <v>Bank Guarantee</v>
      </c>
      <c r="D5" s="824">
        <f>IFERROR('Facility Master'!AA6,"")</f>
        <v>46022</v>
      </c>
      <c r="E5" s="824">
        <f>IFERROR(IF('Facility Master'!D6="FB-Term",'Facility Master'!Z6,'Facility Master'!AB6),"")</f>
        <v>46356</v>
      </c>
      <c r="F5" s="987">
        <f>IFERROR(IF('Facility Master'!D6="FB-Term",IF('Facility Master'!Z6="","-",'Facility Master'!Z6-AsOfDate),IF('Facility Master'!AB6="","-",'Facility Master'!AB6-AsOfDate)),"-")</f>
        <v>244</v>
      </c>
      <c r="G5" s="724" t="str">
        <f>IFERROR(IF('Facility Master'!D6="FB-Term",IF('Facility Master'!Z6="","No Maturity",IF(F5&lt;=180,"Maturing &lt;=180d",IF(F5&lt;=365,"Maturing &lt;=1yr","Term Loan — On Schedule"))),IF('Facility Master'!AB6="","No Validity Date",IF('Facility Master'!AB6&lt;AsOfDate,"Annual Renewal — Confirm with Ops",IF(F5&lt;=30,"Expiring &lt;=30d",IF(F5&lt;=60,"Due &lt;=60d","Valid"))))),"")</f>
        <v>Valid</v>
      </c>
      <c r="H5" s="1004" t="str">
        <f t="shared" si="0"/>
        <v>-</v>
      </c>
    </row>
    <row r="6" spans="1:8" ht="18" customHeight="1" x14ac:dyDescent="0.3">
      <c r="A6" s="722">
        <v>3</v>
      </c>
      <c r="B6" s="723" t="str">
        <f>IFERROR('Facility Master'!B7,"")</f>
        <v>RBL Bank</v>
      </c>
      <c r="C6" s="723" t="str">
        <f>IFERROR('Facility Master'!C7,"")</f>
        <v>Invoice Discounting (PID)</v>
      </c>
      <c r="D6" s="824">
        <f>IFERROR('Facility Master'!AA7,"")</f>
        <v>46022</v>
      </c>
      <c r="E6" s="824">
        <f>IFERROR(IF('Facility Master'!D7="FB-Term",'Facility Master'!Z7,'Facility Master'!AB7),"")</f>
        <v>46356</v>
      </c>
      <c r="F6" s="987">
        <f>IFERROR(IF('Facility Master'!D7="FB-Term",IF('Facility Master'!Z7="","-",'Facility Master'!Z7-AsOfDate),IF('Facility Master'!AB7="","-",'Facility Master'!AB7-AsOfDate)),"-")</f>
        <v>244</v>
      </c>
      <c r="G6" s="724" t="str">
        <f>IFERROR(IF('Facility Master'!D7="FB-Term",IF('Facility Master'!Z7="","No Maturity",IF(F6&lt;=180,"Maturing &lt;=180d",IF(F6&lt;=365,"Maturing &lt;=1yr","Term Loan — On Schedule"))),IF('Facility Master'!AB7="","No Validity Date",IF('Facility Master'!AB7&lt;AsOfDate,"Annual Renewal — Confirm with Ops",IF(F6&lt;=30,"Expiring &lt;=30d",IF(F6&lt;=60,"Due &lt;=60d","Valid"))))),"")</f>
        <v>Valid</v>
      </c>
      <c r="H6" s="1004" t="str">
        <f t="shared" si="0"/>
        <v>-</v>
      </c>
    </row>
    <row r="7" spans="1:8" ht="18" customHeight="1" x14ac:dyDescent="0.3">
      <c r="A7" s="722">
        <v>4</v>
      </c>
      <c r="B7" s="723" t="str">
        <f>IFERROR('Facility Master'!B8,"")</f>
        <v>RBL Bank</v>
      </c>
      <c r="C7" s="723" t="str">
        <f>IFERROR('Facility Master'!C8,"")</f>
        <v>SBLC</v>
      </c>
      <c r="D7" s="824">
        <f>IFERROR('Facility Master'!AA8,"")</f>
        <v>45729</v>
      </c>
      <c r="E7" s="824">
        <f>IFERROR(IF('Facility Master'!D8="FB-Term",'Facility Master'!Z8,'Facility Master'!AB8),"")</f>
        <v>46356</v>
      </c>
      <c r="F7" s="987">
        <f>IFERROR(IF('Facility Master'!D8="FB-Term",IF('Facility Master'!Z8="","-",'Facility Master'!Z8-AsOfDate),IF('Facility Master'!AB8="","-",'Facility Master'!AB8-AsOfDate)),"-")</f>
        <v>244</v>
      </c>
      <c r="G7" s="724" t="str">
        <f>IFERROR(IF('Facility Master'!D8="FB-Term",IF('Facility Master'!Z8="","No Maturity",IF(F7&lt;=180,"Maturing &lt;=180d",IF(F7&lt;=365,"Maturing &lt;=1yr","Term Loan — On Schedule"))),IF('Facility Master'!AB8="","No Validity Date",IF('Facility Master'!AB8&lt;AsOfDate,"Annual Renewal — Confirm with Ops",IF(F7&lt;=30,"Expiring &lt;=30d",IF(F7&lt;=60,"Due &lt;=60d","Valid"))))),"")</f>
        <v>Valid</v>
      </c>
      <c r="H7" s="1004" t="str">
        <f t="shared" si="0"/>
        <v>-</v>
      </c>
    </row>
    <row r="8" spans="1:8" ht="18" customHeight="1" x14ac:dyDescent="0.3">
      <c r="A8" s="722">
        <v>5</v>
      </c>
      <c r="B8" s="723" t="str">
        <f>IFERROR('Facility Master'!B9,"")</f>
        <v>RBL Bank</v>
      </c>
      <c r="C8" s="723" t="str">
        <f>IFERROR('Facility Master'!C9,"")</f>
        <v>Pre-Acceptance LCBD</v>
      </c>
      <c r="D8" s="824">
        <f>IFERROR('Facility Master'!AA9,"")</f>
        <v>46022</v>
      </c>
      <c r="E8" s="824">
        <f>IFERROR(IF('Facility Master'!D9="FB-Term",'Facility Master'!Z9,'Facility Master'!AB9),"")</f>
        <v>46356</v>
      </c>
      <c r="F8" s="987">
        <f>IFERROR(IF('Facility Master'!D9="FB-Term",IF('Facility Master'!Z9="","-",'Facility Master'!Z9-AsOfDate),IF('Facility Master'!AB9="","-",'Facility Master'!AB9-AsOfDate)),"-")</f>
        <v>244</v>
      </c>
      <c r="G8" s="724" t="str">
        <f>IFERROR(IF('Facility Master'!D9="FB-Term",IF('Facility Master'!Z9="","No Maturity",IF(F8&lt;=180,"Maturing &lt;=180d",IF(F8&lt;=365,"Maturing &lt;=1yr","Term Loan — On Schedule"))),IF('Facility Master'!AB9="","No Validity Date",IF('Facility Master'!AB9&lt;AsOfDate,"Annual Renewal — Confirm with Ops",IF(F8&lt;=30,"Expiring &lt;=30d",IF(F8&lt;=60,"Due &lt;=60d","Valid"))))),"")</f>
        <v>Valid</v>
      </c>
      <c r="H8" s="1004" t="str">
        <f t="shared" si="0"/>
        <v>-</v>
      </c>
    </row>
    <row r="9" spans="1:8" ht="18" customHeight="1" x14ac:dyDescent="0.3">
      <c r="A9" s="722">
        <v>6</v>
      </c>
      <c r="B9" s="723" t="str">
        <f>IFERROR('Facility Master'!B10,"")</f>
        <v>RBL Bank</v>
      </c>
      <c r="C9" s="723" t="str">
        <f>IFERROR('Facility Master'!C10,"")</f>
        <v>Cash Credit</v>
      </c>
      <c r="D9" s="824">
        <f>IFERROR('Facility Master'!AA10,"")</f>
        <v>45716</v>
      </c>
      <c r="E9" s="824">
        <f>IFERROR(IF('Facility Master'!D10="FB-Term",'Facility Master'!Z10,'Facility Master'!AB10),"")</f>
        <v>46356</v>
      </c>
      <c r="F9" s="987">
        <f>IFERROR(IF('Facility Master'!D10="FB-Term",IF('Facility Master'!Z10="","-",'Facility Master'!Z10-AsOfDate),IF('Facility Master'!AB10="","-",'Facility Master'!AB10-AsOfDate)),"-")</f>
        <v>244</v>
      </c>
      <c r="G9" s="724" t="str">
        <f>IFERROR(IF('Facility Master'!D10="FB-Term",IF('Facility Master'!Z10="","No Maturity",IF(F9&lt;=180,"Maturing &lt;=180d",IF(F9&lt;=365,"Maturing &lt;=1yr","Term Loan — On Schedule"))),IF('Facility Master'!AB10="","No Validity Date",IF('Facility Master'!AB10&lt;AsOfDate,"Annual Renewal — Confirm with Ops",IF(F9&lt;=30,"Expiring &lt;=30d",IF(F9&lt;=60,"Due &lt;=60d","Valid"))))),"")</f>
        <v>Valid</v>
      </c>
      <c r="H9" s="1004" t="str">
        <f t="shared" si="0"/>
        <v>-</v>
      </c>
    </row>
    <row r="10" spans="1:8" ht="18" customHeight="1" x14ac:dyDescent="0.3">
      <c r="A10" s="722">
        <v>7</v>
      </c>
      <c r="B10" s="723" t="str">
        <f>IFERROR('Facility Master'!B11,"")</f>
        <v>RBL Bank</v>
      </c>
      <c r="C10" s="723" t="str">
        <f>IFERROR('Facility Master'!C11,"")</f>
        <v>Working Capital Demand Loan (WCDL)</v>
      </c>
      <c r="D10" s="824">
        <f>IFERROR('Facility Master'!AA11,"")</f>
        <v>46022</v>
      </c>
      <c r="E10" s="824">
        <f>IFERROR(IF('Facility Master'!D11="FB-Term",'Facility Master'!Z11,'Facility Master'!AB11),"")</f>
        <v>46356</v>
      </c>
      <c r="F10" s="987">
        <f>IFERROR(IF('Facility Master'!D11="FB-Term",IF('Facility Master'!Z11="","-",'Facility Master'!Z11-AsOfDate),IF('Facility Master'!AB11="","-",'Facility Master'!AB11-AsOfDate)),"-")</f>
        <v>244</v>
      </c>
      <c r="G10" s="724" t="str">
        <f>IFERROR(IF('Facility Master'!D11="FB-Term",IF('Facility Master'!Z11="","No Maturity",IF(F10&lt;=180,"Maturing &lt;=180d",IF(F10&lt;=365,"Maturing &lt;=1yr","Term Loan — On Schedule"))),IF('Facility Master'!AB11="","No Validity Date",IF('Facility Master'!AB11&lt;AsOfDate,"Annual Renewal — Confirm with Ops",IF(F10&lt;=30,"Expiring &lt;=30d",IF(F10&lt;=60,"Due &lt;=60d","Valid"))))),"")</f>
        <v>Valid</v>
      </c>
      <c r="H10" s="1004" t="str">
        <f t="shared" si="0"/>
        <v>-</v>
      </c>
    </row>
    <row r="11" spans="1:8" ht="18" customHeight="1" x14ac:dyDescent="0.3">
      <c r="A11" s="826">
        <v>8</v>
      </c>
      <c r="B11" s="827" t="str">
        <f>IFERROR('Facility Master'!B12,"")</f>
        <v>RBL Bank</v>
      </c>
      <c r="C11" s="827" t="str">
        <f>IFERROR('Facility Master'!C12,"")</f>
        <v>Loan Equivalent Risk (LER)</v>
      </c>
      <c r="D11" s="833">
        <f>IFERROR('Facility Master'!AA12,"")</f>
        <v>46022</v>
      </c>
      <c r="E11" s="833">
        <f>IFERROR(IF('Facility Master'!D12="FB-Term",'Facility Master'!Z12,'Facility Master'!AB12),"")</f>
        <v>46356</v>
      </c>
      <c r="F11" s="989">
        <f>IFERROR(IF('Facility Master'!D12="FB-Term",IF('Facility Master'!Z12="","-",'Facility Master'!Z12-AsOfDate),IF('Facility Master'!AB12="","-",'Facility Master'!AB12-AsOfDate)),"-")</f>
        <v>244</v>
      </c>
      <c r="G11" s="828" t="str">
        <f>IFERROR(IF('Facility Master'!D12="FB-Term",IF('Facility Master'!Z12="","No Maturity",IF(F11&lt;=180,"Maturing &lt;=180d",IF(F11&lt;=365,"Maturing &lt;=1yr","Term Loan — On Schedule"))),IF('Facility Master'!AB12="","No Validity Date",IF('Facility Master'!AB12&lt;AsOfDate,"Annual Renewal — Confirm with Ops",IF(F11&lt;=30,"Expiring &lt;=30d",IF(F11&lt;=60,"Due &lt;=60d","Valid"))))),"")</f>
        <v>Valid</v>
      </c>
      <c r="H11" s="1005" t="str">
        <f t="shared" si="0"/>
        <v>-</v>
      </c>
    </row>
    <row r="12" spans="1:8" ht="18" customHeight="1" x14ac:dyDescent="0.3">
      <c r="A12" s="835">
        <v>9</v>
      </c>
      <c r="B12" s="940" t="str">
        <f>IFERROR('Facility Master'!B13,"")</f>
        <v>RBL Bank</v>
      </c>
      <c r="C12" s="940" t="str">
        <f>IFERROR('Facility Master'!C13,"")</f>
        <v>Term Loan</v>
      </c>
      <c r="D12" s="842">
        <f>IFERROR('Facility Master'!AA13,"")</f>
        <v>45315</v>
      </c>
      <c r="E12" s="842">
        <f>IFERROR(IF('Facility Master'!D13="FB-Term",'Facility Master'!Z13,'Facility Master'!AB13),"")</f>
        <v>47208</v>
      </c>
      <c r="F12" s="991">
        <f>IFERROR(IF('Facility Master'!D13="FB-Term",IF('Facility Master'!Z13="","-",'Facility Master'!Z13-AsOfDate),IF('Facility Master'!AB13="","-",'Facility Master'!AB13-AsOfDate)),"-")</f>
        <v>1096</v>
      </c>
      <c r="G12" s="837" t="str">
        <f>IFERROR(IF('Facility Master'!D13="FB-Term",IF('Facility Master'!Z13="","No Maturity",IF(F12&lt;=180,"Maturing &lt;=180d",IF(F12&lt;=365,"Maturing &lt;=1yr","Term Loan — On Schedule"))),IF('Facility Master'!AB13="","No Validity Date",IF('Facility Master'!AB13&lt;AsOfDate,"Annual Renewal — Confirm with Ops",IF(F12&lt;=30,"Expiring &lt;=30d",IF(F12&lt;=60,"Due &lt;=60d","Valid"))))),"")</f>
        <v>Term Loan — On Schedule</v>
      </c>
      <c r="H12" s="1006" t="str">
        <f t="shared" si="0"/>
        <v>-</v>
      </c>
    </row>
    <row r="13" spans="1:8" ht="18" customHeight="1" x14ac:dyDescent="0.3">
      <c r="A13" s="722">
        <v>10</v>
      </c>
      <c r="B13" s="723" t="str">
        <f>IFERROR('Facility Master'!B14,"")</f>
        <v>RBL Bank</v>
      </c>
      <c r="C13" s="723" t="str">
        <f>IFERROR('Facility Master'!C14,"")</f>
        <v>SBLC for Buyer's Credit (GIFT City)</v>
      </c>
      <c r="D13" s="824">
        <f>IFERROR('Facility Master'!AA14,"")</f>
        <v>46022</v>
      </c>
      <c r="E13" s="824">
        <f>IFERROR(IF('Facility Master'!D14="FB-Term",'Facility Master'!Z14,'Facility Master'!AB14),"")</f>
        <v>46356</v>
      </c>
      <c r="F13" s="987">
        <f>IFERROR(IF('Facility Master'!D14="FB-Term",IF('Facility Master'!Z14="","-",'Facility Master'!Z14-AsOfDate),IF('Facility Master'!AB14="","-",'Facility Master'!AB14-AsOfDate)),"-")</f>
        <v>244</v>
      </c>
      <c r="G13" s="724" t="str">
        <f>IFERROR(IF('Facility Master'!D14="FB-Term",IF('Facility Master'!Z14="","No Maturity",IF(F13&lt;=180,"Maturing &lt;=180d",IF(F13&lt;=365,"Maturing &lt;=1yr","Term Loan — On Schedule"))),IF('Facility Master'!AB14="","No Validity Date",IF('Facility Master'!AB14&lt;AsOfDate,"Annual Renewal — Confirm with Ops",IF(F13&lt;=30,"Expiring &lt;=30d",IF(F13&lt;=60,"Due &lt;=60d","Valid"))))),"")</f>
        <v>Valid</v>
      </c>
      <c r="H13" s="1004" t="str">
        <f t="shared" si="0"/>
        <v>-</v>
      </c>
    </row>
    <row r="14" spans="1:8" ht="18" customHeight="1" x14ac:dyDescent="0.3">
      <c r="A14" s="722">
        <v>11</v>
      </c>
      <c r="B14" s="723" t="str">
        <f>IFERROR('Facility Master'!B15,"")</f>
        <v>RBL Bank</v>
      </c>
      <c r="C14" s="723" t="str">
        <f>IFERROR('Facility Master'!C15,"")</f>
        <v>Capex LC</v>
      </c>
      <c r="D14" s="824">
        <f>IFERROR('Facility Master'!AA15,"")</f>
        <v>46022</v>
      </c>
      <c r="E14" s="824">
        <f>IFERROR(IF('Facility Master'!D15="FB-Term",'Facility Master'!Z15,'Facility Master'!AB15),"")</f>
        <v>46356</v>
      </c>
      <c r="F14" s="987">
        <f>IFERROR(IF('Facility Master'!D15="FB-Term",IF('Facility Master'!Z15="","-",'Facility Master'!Z15-AsOfDate),IF('Facility Master'!AB15="","-",'Facility Master'!AB15-AsOfDate)),"-")</f>
        <v>244</v>
      </c>
      <c r="G14" s="724" t="str">
        <f>IFERROR(IF('Facility Master'!D15="FB-Term",IF('Facility Master'!Z15="","No Maturity",IF(F14&lt;=180,"Maturing &lt;=180d",IF(F14&lt;=365,"Maturing &lt;=1yr","Term Loan — On Schedule"))),IF('Facility Master'!AB15="","No Validity Date",IF('Facility Master'!AB15&lt;AsOfDate,"Annual Renewal — Confirm with Ops",IF(F14&lt;=30,"Expiring &lt;=30d",IF(F14&lt;=60,"Due &lt;=60d","Valid"))))),"")</f>
        <v>Valid</v>
      </c>
      <c r="H14" s="1004" t="str">
        <f t="shared" si="0"/>
        <v>-</v>
      </c>
    </row>
    <row r="15" spans="1:8" ht="18" customHeight="1" x14ac:dyDescent="0.3">
      <c r="A15" s="835">
        <v>12</v>
      </c>
      <c r="B15" s="836" t="str">
        <f>IFERROR('Facility Master'!B16,"")</f>
        <v>RBL Bank</v>
      </c>
      <c r="C15" s="836" t="str">
        <f>IFERROR('Facility Master'!C16,"")</f>
        <v>Overdraft backed by 100% FD (FDOD)</v>
      </c>
      <c r="D15" s="842">
        <f>IFERROR('Facility Master'!AA16,"")</f>
        <v>45315</v>
      </c>
      <c r="E15" s="842">
        <f>IFERROR(IF('Facility Master'!D16="FB-Term",'Facility Master'!Z16,'Facility Master'!AB16),"")</f>
        <v>46356</v>
      </c>
      <c r="F15" s="991">
        <f>IFERROR(IF('Facility Master'!D16="FB-Term",IF('Facility Master'!Z16="","-",'Facility Master'!Z16-AsOfDate),IF('Facility Master'!AB16="","-",'Facility Master'!AB16-AsOfDate)),"-")</f>
        <v>244</v>
      </c>
      <c r="G15" s="837" t="str">
        <f>IFERROR(IF('Facility Master'!D16="FB-Term",IF('Facility Master'!Z16="","No Maturity",IF(F15&lt;=180,"Maturing &lt;=180d",IF(F15&lt;=365,"Maturing &lt;=1yr","Term Loan — On Schedule"))),IF('Facility Master'!AB16="","No Validity Date",IF('Facility Master'!AB16&lt;AsOfDate,"Annual Renewal — Confirm with Ops",IF(F15&lt;=30,"Expiring &lt;=30d",IF(F15&lt;=60,"Due &lt;=60d","Valid"))))),"")</f>
        <v>Valid</v>
      </c>
      <c r="H15" s="1006" t="str">
        <f t="shared" si="0"/>
        <v>-</v>
      </c>
    </row>
    <row r="16" spans="1:8" ht="18" customHeight="1" x14ac:dyDescent="0.3">
      <c r="A16" s="835">
        <v>13</v>
      </c>
      <c r="B16" s="836" t="str">
        <f>IFERROR('Facility Master'!B17,"")</f>
        <v>RBL Bank</v>
      </c>
      <c r="C16" s="836" t="str">
        <f>IFERROR('Facility Master'!C17,"")</f>
        <v>LC backed by 100% FD</v>
      </c>
      <c r="D16" s="842">
        <f>IFERROR('Facility Master'!AA17,"")</f>
        <v>45315</v>
      </c>
      <c r="E16" s="842">
        <f>IFERROR(IF('Facility Master'!D17="FB-Term",'Facility Master'!Z17,'Facility Master'!AB17),"")</f>
        <v>46356</v>
      </c>
      <c r="F16" s="991">
        <f>IFERROR(IF('Facility Master'!D17="FB-Term",IF('Facility Master'!Z17="","-",'Facility Master'!Z17-AsOfDate),IF('Facility Master'!AB17="","-",'Facility Master'!AB17-AsOfDate)),"-")</f>
        <v>244</v>
      </c>
      <c r="G16" s="837" t="str">
        <f>IFERROR(IF('Facility Master'!D17="FB-Term",IF('Facility Master'!Z17="","No Maturity",IF(F16&lt;=180,"Maturing &lt;=180d",IF(F16&lt;=365,"Maturing &lt;=1yr","Term Loan — On Schedule"))),IF('Facility Master'!AB17="","No Validity Date",IF('Facility Master'!AB17&lt;AsOfDate,"Annual Renewal — Confirm with Ops",IF(F16&lt;=30,"Expiring &lt;=30d",IF(F16&lt;=60,"Due &lt;=60d","Valid"))))),"")</f>
        <v>Valid</v>
      </c>
      <c r="H16" s="1006" t="str">
        <f t="shared" si="0"/>
        <v>-</v>
      </c>
    </row>
    <row r="17" spans="1:8" ht="18" customHeight="1" x14ac:dyDescent="0.3">
      <c r="A17" s="722">
        <v>14</v>
      </c>
      <c r="B17" s="723" t="str">
        <f>IFERROR('Facility Master'!B18,"")</f>
        <v>RBL Bank</v>
      </c>
      <c r="C17" s="723" t="str">
        <f>IFERROR('Facility Master'!C18,"")</f>
        <v>Buyer's Credit from GIFT City - WC</v>
      </c>
      <c r="D17" s="824">
        <f>IFERROR('Facility Master'!AA18,"")</f>
        <v>45729</v>
      </c>
      <c r="E17" s="824">
        <f>IFERROR(IF('Facility Master'!D18="FB-Term",'Facility Master'!Z18,'Facility Master'!AB18),"")</f>
        <v>46356</v>
      </c>
      <c r="F17" s="987">
        <f>IFERROR(IF('Facility Master'!D18="FB-Term",IF('Facility Master'!Z18="","-",'Facility Master'!Z18-AsOfDate),IF('Facility Master'!AB18="","-",'Facility Master'!AB18-AsOfDate)),"-")</f>
        <v>244</v>
      </c>
      <c r="G17" s="724" t="str">
        <f>IFERROR(IF('Facility Master'!D18="FB-Term",IF('Facility Master'!Z18="","No Maturity",IF(F17&lt;=180,"Maturing &lt;=180d",IF(F17&lt;=365,"Maturing &lt;=1yr","Term Loan — On Schedule"))),IF('Facility Master'!AB18="","No Validity Date",IF('Facility Master'!AB18&lt;AsOfDate,"Annual Renewal — Confirm with Ops",IF(F17&lt;=30,"Expiring &lt;=30d",IF(F17&lt;=60,"Due &lt;=60d","Valid"))))),"")</f>
        <v>Valid</v>
      </c>
      <c r="H17" s="1004" t="str">
        <f t="shared" si="0"/>
        <v>-</v>
      </c>
    </row>
    <row r="18" spans="1:8" ht="18" customHeight="1" x14ac:dyDescent="0.3">
      <c r="A18" s="722">
        <v>15</v>
      </c>
      <c r="B18" s="723" t="str">
        <f>IFERROR('Facility Master'!B19,"")</f>
        <v>RBL Bank</v>
      </c>
      <c r="C18" s="723" t="str">
        <f>IFERROR('Facility Master'!C19,"")</f>
        <v>Buyer's Credit from GIFT City - CAPEX</v>
      </c>
      <c r="D18" s="824">
        <f>IFERROR('Facility Master'!AA19,"")</f>
        <v>45743</v>
      </c>
      <c r="E18" s="824">
        <f>IFERROR(IF('Facility Master'!D19="FB-Term",'Facility Master'!Z19,'Facility Master'!AB19),"")</f>
        <v>46356</v>
      </c>
      <c r="F18" s="987">
        <f>IFERROR(IF('Facility Master'!D19="FB-Term",IF('Facility Master'!Z19="","-",'Facility Master'!Z19-AsOfDate),IF('Facility Master'!AB19="","-",'Facility Master'!AB19-AsOfDate)),"-")</f>
        <v>244</v>
      </c>
      <c r="G18" s="724" t="str">
        <f>IFERROR(IF('Facility Master'!D19="FB-Term",IF('Facility Master'!Z19="","No Maturity",IF(F18&lt;=180,"Maturing &lt;=180d",IF(F18&lt;=365,"Maturing &lt;=1yr","Term Loan — On Schedule"))),IF('Facility Master'!AB19="","No Validity Date",IF('Facility Master'!AB19&lt;AsOfDate,"Annual Renewal — Confirm with Ops",IF(F18&lt;=30,"Expiring &lt;=30d",IF(F18&lt;=60,"Due &lt;=60d","Valid"))))),"")</f>
        <v>Valid</v>
      </c>
      <c r="H18" s="1004" t="str">
        <f t="shared" si="0"/>
        <v>-</v>
      </c>
    </row>
    <row r="19" spans="1:8" ht="18" customHeight="1" x14ac:dyDescent="0.3">
      <c r="A19" s="735">
        <v>16</v>
      </c>
      <c r="B19" s="736" t="str">
        <f>IFERROR('Facility Master'!B20,"")</f>
        <v>YES Bank</v>
      </c>
      <c r="C19" s="736" t="str">
        <f>IFERROR('Facility Master'!C20,"")</f>
        <v>Purchase Invoice Financing</v>
      </c>
      <c r="D19" s="846">
        <f>IFERROR('Facility Master'!AA20,"")</f>
        <v>46100</v>
      </c>
      <c r="E19" s="846">
        <f>IFERROR(IF('Facility Master'!D20="FB-Term",'Facility Master'!Z20,'Facility Master'!AB20),"")</f>
        <v>46142</v>
      </c>
      <c r="F19" s="993">
        <f>IFERROR(IF('Facility Master'!D20="FB-Term",IF('Facility Master'!Z20="","-",'Facility Master'!Z20-AsOfDate),IF('Facility Master'!AB20="","-",'Facility Master'!AB20-AsOfDate)),"-")</f>
        <v>30</v>
      </c>
      <c r="G19" s="737" t="str">
        <f>IFERROR(IF('Facility Master'!D20="FB-Term",IF('Facility Master'!Z20="","No Maturity",IF(F19&lt;=180,"Maturing &lt;=180d",IF(F19&lt;=365,"Maturing &lt;=1yr","Term Loan — On Schedule"))),IF('Facility Master'!AB20="","No Validity Date",IF('Facility Master'!AB20&lt;AsOfDate,"Annual Renewal — Confirm with Ops",IF(F19&lt;=30,"Expiring &lt;=30d",IF(F19&lt;=60,"Due &lt;=60d","Valid"))))),"")</f>
        <v>Expiring &lt;=30d</v>
      </c>
      <c r="H19" s="1007" t="str">
        <f t="shared" si="0"/>
        <v>Initiate renewal</v>
      </c>
    </row>
    <row r="20" spans="1:8" ht="18" customHeight="1" x14ac:dyDescent="0.3">
      <c r="A20" s="735">
        <v>17</v>
      </c>
      <c r="B20" s="736" t="str">
        <f>IFERROR('Facility Master'!B21,"")</f>
        <v>YES Bank</v>
      </c>
      <c r="C20" s="736" t="str">
        <f>IFERROR('Facility Master'!C21,"")</f>
        <v>Cash Credit</v>
      </c>
      <c r="D20" s="846">
        <f>IFERROR('Facility Master'!AA21,"")</f>
        <v>46100</v>
      </c>
      <c r="E20" s="846">
        <f>IFERROR(IF('Facility Master'!D21="FB-Term",'Facility Master'!Z21,'Facility Master'!AB21),"")</f>
        <v>46490</v>
      </c>
      <c r="F20" s="993">
        <f>IFERROR(IF('Facility Master'!D21="FB-Term",IF('Facility Master'!Z21="","-",'Facility Master'!Z21-AsOfDate),IF('Facility Master'!AB21="","-",'Facility Master'!AB21-AsOfDate)),"-")</f>
        <v>378</v>
      </c>
      <c r="G20" s="737" t="str">
        <f>IFERROR(IF('Facility Master'!D21="FB-Term",IF('Facility Master'!Z21="","No Maturity",IF(F20&lt;=180,"Maturing &lt;=180d",IF(F20&lt;=365,"Maturing &lt;=1yr","Term Loan — On Schedule"))),IF('Facility Master'!AB21="","No Validity Date",IF('Facility Master'!AB21&lt;AsOfDate,"Annual Renewal — Confirm with Ops",IF(F20&lt;=30,"Expiring &lt;=30d",IF(F20&lt;=60,"Due &lt;=60d","Valid"))))),"")</f>
        <v>Valid</v>
      </c>
      <c r="H20" s="1007" t="str">
        <f t="shared" si="0"/>
        <v>-</v>
      </c>
    </row>
    <row r="21" spans="1:8" ht="18" customHeight="1" x14ac:dyDescent="0.3">
      <c r="A21" s="735">
        <v>18</v>
      </c>
      <c r="B21" s="844" t="str">
        <f>IFERROR('Facility Master'!B22,"")</f>
        <v>YES Bank</v>
      </c>
      <c r="C21" s="844" t="str">
        <f>IFERROR('Facility Master'!C22,"")</f>
        <v>Letter of Credit</v>
      </c>
      <c r="D21" s="846">
        <f>IFERROR('Facility Master'!AA22,"")</f>
        <v>46100</v>
      </c>
      <c r="E21" s="846">
        <f>IFERROR(IF('Facility Master'!D22="FB-Term",'Facility Master'!Z22,'Facility Master'!AB22),"")</f>
        <v>46472</v>
      </c>
      <c r="F21" s="993">
        <f>IFERROR(IF('Facility Master'!D22="FB-Term",IF('Facility Master'!Z22="","-",'Facility Master'!Z22-AsOfDate),IF('Facility Master'!AB22="","-",'Facility Master'!AB22-AsOfDate)),"-")</f>
        <v>360</v>
      </c>
      <c r="G21" s="737" t="str">
        <f>IFERROR(IF('Facility Master'!D22="FB-Term",IF('Facility Master'!Z22="","No Maturity",IF(F21&lt;=180,"Maturing &lt;=180d",IF(F21&lt;=365,"Maturing &lt;=1yr","Term Loan — On Schedule"))),IF('Facility Master'!AB22="","No Validity Date",IF('Facility Master'!AB22&lt;AsOfDate,"Annual Renewal — Confirm with Ops",IF(F21&lt;=30,"Expiring &lt;=30d",IF(F21&lt;=60,"Due &lt;=60d","Valid"))))),"")</f>
        <v>Valid</v>
      </c>
      <c r="H21" s="1007" t="str">
        <f t="shared" si="0"/>
        <v>-</v>
      </c>
    </row>
    <row r="22" spans="1:8" ht="18" customHeight="1" x14ac:dyDescent="0.3">
      <c r="A22" s="735">
        <v>19</v>
      </c>
      <c r="B22" s="736" t="str">
        <f>IFERROR('Facility Master'!B23,"")</f>
        <v>YES Bank</v>
      </c>
      <c r="C22" s="736" t="str">
        <f>IFERROR('Facility Master'!C23,"")</f>
        <v>Financial BG / SBLC</v>
      </c>
      <c r="D22" s="846">
        <f>IFERROR('Facility Master'!AA23,"")</f>
        <v>46100</v>
      </c>
      <c r="E22" s="846">
        <f>IFERROR(IF('Facility Master'!D23="FB-Term",'Facility Master'!Z23,'Facility Master'!AB23),"")</f>
        <v>46490</v>
      </c>
      <c r="F22" s="993">
        <f>IFERROR(IF('Facility Master'!D23="FB-Term",IF('Facility Master'!Z23="","-",'Facility Master'!Z23-AsOfDate),IF('Facility Master'!AB23="","-",'Facility Master'!AB23-AsOfDate)),"-")</f>
        <v>378</v>
      </c>
      <c r="G22" s="737" t="str">
        <f>IFERROR(IF('Facility Master'!D23="FB-Term",IF('Facility Master'!Z23="","No Maturity",IF(F22&lt;=180,"Maturing &lt;=180d",IF(F22&lt;=365,"Maturing &lt;=1yr","Term Loan — On Schedule"))),IF('Facility Master'!AB23="","No Validity Date",IF('Facility Master'!AB23&lt;AsOfDate,"Annual Renewal — Confirm with Ops",IF(F22&lt;=30,"Expiring &lt;=30d",IF(F22&lt;=60,"Due &lt;=60d","Valid"))))),"")</f>
        <v>Valid</v>
      </c>
      <c r="H22" s="1007" t="str">
        <f t="shared" si="0"/>
        <v>-</v>
      </c>
    </row>
    <row r="23" spans="1:8" ht="18" customHeight="1" x14ac:dyDescent="0.3">
      <c r="A23" s="735">
        <v>20</v>
      </c>
      <c r="B23" s="736" t="str">
        <f>IFERROR('Facility Master'!B24,"")</f>
        <v>YES Bank</v>
      </c>
      <c r="C23" s="736" t="str">
        <f>IFERROR('Facility Master'!C24,"")</f>
        <v>Working Capital Demand Loan (WCDL)</v>
      </c>
      <c r="D23" s="846">
        <f>IFERROR('Facility Master'!AA24,"")</f>
        <v>46100</v>
      </c>
      <c r="E23" s="846">
        <f>IFERROR(IF('Facility Master'!D24="FB-Term",'Facility Master'!Z24,'Facility Master'!AB24),"")</f>
        <v>46490</v>
      </c>
      <c r="F23" s="993">
        <f>IFERROR(IF('Facility Master'!D24="FB-Term",IF('Facility Master'!Z24="","-",'Facility Master'!Z24-AsOfDate),IF('Facility Master'!AB24="","-",'Facility Master'!AB24-AsOfDate)),"-")</f>
        <v>378</v>
      </c>
      <c r="G23" s="737" t="str">
        <f>IFERROR(IF('Facility Master'!D24="FB-Term",IF('Facility Master'!Z24="","No Maturity",IF(F23&lt;=180,"Maturing &lt;=180d",IF(F23&lt;=365,"Maturing &lt;=1yr","Term Loan — On Schedule"))),IF('Facility Master'!AB24="","No Validity Date",IF('Facility Master'!AB24&lt;AsOfDate,"Annual Renewal — Confirm with Ops",IF(F23&lt;=30,"Expiring &lt;=30d",IF(F23&lt;=60,"Due &lt;=60d","Valid"))))),"")</f>
        <v>Valid</v>
      </c>
      <c r="H23" s="1007" t="str">
        <f t="shared" si="0"/>
        <v>-</v>
      </c>
    </row>
    <row r="24" spans="1:8" ht="18" customHeight="1" x14ac:dyDescent="0.3">
      <c r="A24" s="735">
        <v>21</v>
      </c>
      <c r="B24" s="844" t="str">
        <f>IFERROR('Facility Master'!B25,"")</f>
        <v>YES Bank</v>
      </c>
      <c r="C24" s="844" t="str">
        <f>IFERROR('Facility Master'!C25,"")</f>
        <v>Term Loan (Refinance Canara)</v>
      </c>
      <c r="D24" s="846">
        <f>IFERROR('Facility Master'!AA25,"")</f>
        <v>45744</v>
      </c>
      <c r="E24" s="846">
        <f>IFERROR(IF('Facility Master'!D25="FB-Term",'Facility Master'!Z25,'Facility Master'!AB25),"")</f>
        <v>49948</v>
      </c>
      <c r="F24" s="993">
        <f>IFERROR(IF('Facility Master'!D25="FB-Term",IF('Facility Master'!Z25="","-",'Facility Master'!Z25-AsOfDate),IF('Facility Master'!AB25="","-",'Facility Master'!AB25-AsOfDate)),"-")</f>
        <v>3836</v>
      </c>
      <c r="G24" s="737" t="str">
        <f>IFERROR(IF('Facility Master'!D25="FB-Term",IF('Facility Master'!Z25="","No Maturity",IF(F24&lt;=180,"Maturing &lt;=180d",IF(F24&lt;=365,"Maturing &lt;=1yr","Term Loan — On Schedule"))),IF('Facility Master'!AB25="","No Validity Date",IF('Facility Master'!AB25&lt;AsOfDate,"Annual Renewal — Confirm with Ops",IF(F24&lt;=30,"Expiring &lt;=30d",IF(F24&lt;=60,"Due &lt;=60d","Valid"))))),"")</f>
        <v>Term Loan — On Schedule</v>
      </c>
      <c r="H24" s="1007" t="str">
        <f t="shared" si="0"/>
        <v>-</v>
      </c>
    </row>
    <row r="25" spans="1:8" ht="18" customHeight="1" x14ac:dyDescent="0.3">
      <c r="A25" s="742">
        <v>22</v>
      </c>
      <c r="B25" s="848" t="str">
        <f>IFERROR('Facility Master'!B26,"")</f>
        <v>Bajaj Finance</v>
      </c>
      <c r="C25" s="848" t="str">
        <f>IFERROR('Facility Master'!C26,"")</f>
        <v>Term Loan</v>
      </c>
      <c r="D25" s="850">
        <f>IFERROR('Facility Master'!AA26,"")</f>
        <v>45887</v>
      </c>
      <c r="E25" s="850">
        <f>IFERROR(IF('Facility Master'!D26="FB-Term",'Facility Master'!Z26,'Facility Master'!AB26),"")</f>
        <v>48816</v>
      </c>
      <c r="F25" s="995">
        <f>IFERROR(IF('Facility Master'!D26="FB-Term",IF('Facility Master'!Z26="","-",'Facility Master'!Z26-AsOfDate),IF('Facility Master'!AB26="","-",'Facility Master'!AB26-AsOfDate)),"-")</f>
        <v>2704</v>
      </c>
      <c r="G25" s="744" t="str">
        <f>IFERROR(IF('Facility Master'!D26="FB-Term",IF('Facility Master'!Z26="","No Maturity",IF(F25&lt;=180,"Maturing &lt;=180d",IF(F25&lt;=365,"Maturing &lt;=1yr","Term Loan — On Schedule"))),IF('Facility Master'!AB26="","No Validity Date",IF('Facility Master'!AB26&lt;AsOfDate,"Annual Renewal — Confirm with Ops",IF(F25&lt;=30,"Expiring &lt;=30d",IF(F25&lt;=60,"Due &lt;=60d","Valid"))))),"")</f>
        <v>Term Loan — On Schedule</v>
      </c>
      <c r="H25" s="1008" t="str">
        <f t="shared" si="0"/>
        <v>-</v>
      </c>
    </row>
    <row r="26" spans="1:8" ht="18" customHeight="1" x14ac:dyDescent="0.3">
      <c r="A26" s="947">
        <v>23</v>
      </c>
      <c r="B26" s="948" t="str">
        <f>IFERROR('Facility Master'!B27,"")</f>
        <v>ICICI Bank</v>
      </c>
      <c r="C26" s="948" t="str">
        <f>IFERROR('Facility Master'!C27,"")</f>
        <v>Cash Credit</v>
      </c>
      <c r="D26" s="1009">
        <f>IFERROR('Facility Master'!AA27,"")</f>
        <v>45916</v>
      </c>
      <c r="E26" s="1009">
        <f>IFERROR(IF('Facility Master'!D27="FB-Term",'Facility Master'!Z27,'Facility Master'!AB27),"")</f>
        <v>46268</v>
      </c>
      <c r="F26" s="998">
        <f>IFERROR(IF('Facility Master'!D27="FB-Term",IF('Facility Master'!Z27="","-",'Facility Master'!Z27-AsOfDate),IF('Facility Master'!AB27="","-",'Facility Master'!AB27-AsOfDate)),"-")</f>
        <v>156</v>
      </c>
      <c r="G26" s="949" t="str">
        <f>IFERROR(IF('Facility Master'!D27="FB-Term",IF('Facility Master'!Z27="","No Maturity",IF(F26&lt;=180,"Maturing &lt;=180d",IF(F26&lt;=365,"Maturing &lt;=1yr","Term Loan — On Schedule"))),IF('Facility Master'!AB27="","No Validity Date",IF('Facility Master'!AB27&lt;AsOfDate,"Annual Renewal — Confirm with Ops",IF(F26&lt;=30,"Expiring &lt;=30d",IF(F26&lt;=60,"Due &lt;=60d","Valid"))))),"")</f>
        <v>Valid</v>
      </c>
      <c r="H26" s="1010" t="str">
        <f t="shared" si="0"/>
        <v>-</v>
      </c>
    </row>
    <row r="27" spans="1:8" ht="18" customHeight="1" x14ac:dyDescent="0.3">
      <c r="A27" s="947">
        <v>24</v>
      </c>
      <c r="B27" s="955" t="str">
        <f>IFERROR('Facility Master'!B28,"")</f>
        <v>ICICI Bank</v>
      </c>
      <c r="C27" s="955" t="str">
        <f>IFERROR('Facility Master'!C28,"")</f>
        <v>Working Capital Demand Loan (WCDL)</v>
      </c>
      <c r="D27" s="1009">
        <f>IFERROR('Facility Master'!AA28,"")</f>
        <v>45972</v>
      </c>
      <c r="E27" s="1009">
        <f>IFERROR(IF('Facility Master'!D28="FB-Term",'Facility Master'!Z28,'Facility Master'!AB28),"")</f>
        <v>46268</v>
      </c>
      <c r="F27" s="998">
        <f>IFERROR(IF('Facility Master'!D28="FB-Term",IF('Facility Master'!Z28="","-",'Facility Master'!Z28-AsOfDate),IF('Facility Master'!AB28="","-",'Facility Master'!AB28-AsOfDate)),"-")</f>
        <v>156</v>
      </c>
      <c r="G27" s="949" t="str">
        <f>IFERROR(IF('Facility Master'!D28="FB-Term",IF('Facility Master'!Z28="","No Maturity",IF(F27&lt;=180,"Maturing &lt;=180d",IF(F27&lt;=365,"Maturing &lt;=1yr","Term Loan — On Schedule"))),IF('Facility Master'!AB28="","No Validity Date",IF('Facility Master'!AB28&lt;AsOfDate,"Annual Renewal — Confirm with Ops",IF(F27&lt;=30,"Expiring &lt;=30d",IF(F27&lt;=60,"Due &lt;=60d","Valid"))))),"")</f>
        <v>Valid</v>
      </c>
      <c r="H27" s="1010" t="str">
        <f t="shared" si="0"/>
        <v>-</v>
      </c>
    </row>
    <row r="28" spans="1:8" ht="18" customHeight="1" x14ac:dyDescent="0.3">
      <c r="A28" s="947">
        <v>25</v>
      </c>
      <c r="B28" s="948" t="str">
        <f>IFERROR('Facility Master'!B29,"")</f>
        <v>ICICI Bank</v>
      </c>
      <c r="C28" s="948" t="str">
        <f>IFERROR('Facility Master'!C29,"")</f>
        <v>Letter of Credit (Inland/Foreign)</v>
      </c>
      <c r="D28" s="1009">
        <f>IFERROR('Facility Master'!AA29,"")</f>
        <v>45916</v>
      </c>
      <c r="E28" s="1009">
        <f>IFERROR(IF('Facility Master'!D29="FB-Term",'Facility Master'!Z29,'Facility Master'!AB29),"")</f>
        <v>46268</v>
      </c>
      <c r="F28" s="998">
        <f>IFERROR(IF('Facility Master'!D29="FB-Term",IF('Facility Master'!Z29="","-",'Facility Master'!Z29-AsOfDate),IF('Facility Master'!AB29="","-",'Facility Master'!AB29-AsOfDate)),"-")</f>
        <v>156</v>
      </c>
      <c r="G28" s="949" t="str">
        <f>IFERROR(IF('Facility Master'!D29="FB-Term",IF('Facility Master'!Z29="","No Maturity",IF(F28&lt;=180,"Maturing &lt;=180d",IF(F28&lt;=365,"Maturing &lt;=1yr","Term Loan — On Schedule"))),IF('Facility Master'!AB29="","No Validity Date",IF('Facility Master'!AB29&lt;AsOfDate,"Annual Renewal — Confirm with Ops",IF(F28&lt;=30,"Expiring &lt;=30d",IF(F28&lt;=60,"Due &lt;=60d","Valid"))))),"")</f>
        <v>Valid</v>
      </c>
      <c r="H28" s="1010" t="str">
        <f t="shared" si="0"/>
        <v>-</v>
      </c>
    </row>
    <row r="29" spans="1:8" ht="18" customHeight="1" x14ac:dyDescent="0.3">
      <c r="A29" s="947">
        <v>26</v>
      </c>
      <c r="B29" s="955" t="str">
        <f>IFERROR('Facility Master'!B30,"")</f>
        <v>ICICI Bank</v>
      </c>
      <c r="C29" s="955" t="str">
        <f>IFERROR('Facility Master'!C30,"")</f>
        <v>SBLC for Buyers' Credit</v>
      </c>
      <c r="D29" s="1009">
        <f>IFERROR('Facility Master'!AA30,"")</f>
        <v>45916</v>
      </c>
      <c r="E29" s="1009">
        <f>IFERROR(IF('Facility Master'!D30="FB-Term",'Facility Master'!Z30,'Facility Master'!AB30),"")</f>
        <v>46268</v>
      </c>
      <c r="F29" s="998">
        <f>IFERROR(IF('Facility Master'!D30="FB-Term",IF('Facility Master'!Z30="","-",'Facility Master'!Z30-AsOfDate),IF('Facility Master'!AB30="","-",'Facility Master'!AB30-AsOfDate)),"-")</f>
        <v>156</v>
      </c>
      <c r="G29" s="949" t="str">
        <f>IFERROR(IF('Facility Master'!D30="FB-Term",IF('Facility Master'!Z30="","No Maturity",IF(F29&lt;=180,"Maturing &lt;=180d",IF(F29&lt;=365,"Maturing &lt;=1yr","Term Loan — On Schedule"))),IF('Facility Master'!AB30="","No Validity Date",IF('Facility Master'!AB30&lt;AsOfDate,"Annual Renewal — Confirm with Ops",IF(F29&lt;=30,"Expiring &lt;=30d",IF(F29&lt;=60,"Due &lt;=60d","Valid"))))),"")</f>
        <v>Valid</v>
      </c>
      <c r="H29" s="1010" t="str">
        <f t="shared" si="0"/>
        <v>-</v>
      </c>
    </row>
    <row r="30" spans="1:8" ht="18" customHeight="1" x14ac:dyDescent="0.3">
      <c r="A30" s="947">
        <v>27</v>
      </c>
      <c r="B30" s="955" t="str">
        <f>IFERROR('Facility Master'!B31,"")</f>
        <v>ICICI Bank</v>
      </c>
      <c r="C30" s="955" t="str">
        <f>IFERROR('Facility Master'!C31,"")</f>
        <v>Bank Guarantee - Performance</v>
      </c>
      <c r="D30" s="1009">
        <f>IFERROR('Facility Master'!AA31,"")</f>
        <v>45916</v>
      </c>
      <c r="E30" s="1009">
        <f>IFERROR(IF('Facility Master'!D31="FB-Term",'Facility Master'!Z31,'Facility Master'!AB31),"")</f>
        <v>46268</v>
      </c>
      <c r="F30" s="998">
        <f>IFERROR(IF('Facility Master'!D31="FB-Term",IF('Facility Master'!Z31="","-",'Facility Master'!Z31-AsOfDate),IF('Facility Master'!AB31="","-",'Facility Master'!AB31-AsOfDate)),"-")</f>
        <v>156</v>
      </c>
      <c r="G30" s="949" t="str">
        <f>IFERROR(IF('Facility Master'!D31="FB-Term",IF('Facility Master'!Z31="","No Maturity",IF(F30&lt;=180,"Maturing &lt;=180d",IF(F30&lt;=365,"Maturing &lt;=1yr","Term Loan — On Schedule"))),IF('Facility Master'!AB31="","No Validity Date",IF('Facility Master'!AB31&lt;AsOfDate,"Annual Renewal — Confirm with Ops",IF(F30&lt;=30,"Expiring &lt;=30d",IF(F30&lt;=60,"Due &lt;=60d","Valid"))))),"")</f>
        <v>Valid</v>
      </c>
      <c r="H30" s="1010" t="str">
        <f t="shared" si="0"/>
        <v>-</v>
      </c>
    </row>
    <row r="31" spans="1:8" ht="18" customHeight="1" x14ac:dyDescent="0.3">
      <c r="A31" s="947">
        <v>28</v>
      </c>
      <c r="B31" s="955" t="str">
        <f>IFERROR('Facility Master'!B32,"")</f>
        <v>ICICI Bank</v>
      </c>
      <c r="C31" s="955" t="str">
        <f>IFERROR('Facility Master'!C32,"")</f>
        <v>Bank Guarantee - Financial</v>
      </c>
      <c r="D31" s="1009">
        <f>IFERROR('Facility Master'!AA32,"")</f>
        <v>45916</v>
      </c>
      <c r="E31" s="1009">
        <f>IFERROR(IF('Facility Master'!D32="FB-Term",'Facility Master'!Z32,'Facility Master'!AB32),"")</f>
        <v>46268</v>
      </c>
      <c r="F31" s="998">
        <f>IFERROR(IF('Facility Master'!D32="FB-Term",IF('Facility Master'!Z32="","-",'Facility Master'!Z32-AsOfDate),IF('Facility Master'!AB32="","-",'Facility Master'!AB32-AsOfDate)),"-")</f>
        <v>156</v>
      </c>
      <c r="G31" s="949" t="str">
        <f>IFERROR(IF('Facility Master'!D32="FB-Term",IF('Facility Master'!Z32="","No Maturity",IF(F31&lt;=180,"Maturing &lt;=180d",IF(F31&lt;=365,"Maturing &lt;=1yr","Term Loan — On Schedule"))),IF('Facility Master'!AB32="","No Validity Date",IF('Facility Master'!AB32&lt;AsOfDate,"Annual Renewal — Confirm with Ops",IF(F31&lt;=30,"Expiring &lt;=30d",IF(F31&lt;=60,"Due &lt;=60d","Valid"))))),"")</f>
        <v>Valid</v>
      </c>
      <c r="H31" s="1010" t="str">
        <f t="shared" si="0"/>
        <v>-</v>
      </c>
    </row>
    <row r="32" spans="1:8" ht="18" customHeight="1" x14ac:dyDescent="0.3">
      <c r="A32" s="749">
        <v>29</v>
      </c>
      <c r="B32" s="750" t="str">
        <f>IFERROR('Facility Master'!B33,"")</f>
        <v>South Indian Bank</v>
      </c>
      <c r="C32" s="750" t="str">
        <f>IFERROR('Facility Master'!C33,"")</f>
        <v>CCOL (Cash Credit)</v>
      </c>
      <c r="D32" s="854">
        <f>IFERROR('Facility Master'!AA33,"")</f>
        <v>45829</v>
      </c>
      <c r="E32" s="854">
        <f>IFERROR(IF('Facility Master'!D33="FB-Term",'Facility Master'!Z33,'Facility Master'!AB33),"")</f>
        <v>46194</v>
      </c>
      <c r="F32" s="1000">
        <f>IFERROR(IF('Facility Master'!D33="FB-Term",IF('Facility Master'!Z33="","-",'Facility Master'!Z33-AsOfDate),IF('Facility Master'!AB33="","-",'Facility Master'!AB33-AsOfDate)),"-")</f>
        <v>82</v>
      </c>
      <c r="G32" s="751" t="str">
        <f>IFERROR(IF('Facility Master'!D33="FB-Term",IF('Facility Master'!Z33="","No Maturity",IF(F32&lt;=180,"Maturing &lt;=180d",IF(F32&lt;=365,"Maturing &lt;=1yr","Term Loan — On Schedule"))),IF('Facility Master'!AB33="","No Validity Date",IF('Facility Master'!AB33&lt;AsOfDate,"Annual Renewal — Confirm with Ops",IF(F32&lt;=30,"Expiring &lt;=30d",IF(F32&lt;=60,"Due &lt;=60d","Valid"))))),"")</f>
        <v>Valid</v>
      </c>
      <c r="H32" s="1011" t="str">
        <f t="shared" si="0"/>
        <v>-</v>
      </c>
    </row>
    <row r="33" spans="1:8" ht="18" customHeight="1" x14ac:dyDescent="0.3">
      <c r="A33" s="749">
        <v>30</v>
      </c>
      <c r="B33" s="750" t="str">
        <f>IFERROR('Facility Master'!B34,"")</f>
        <v>South Indian Bank</v>
      </c>
      <c r="C33" s="750" t="str">
        <f>IFERROR('Facility Master'!C34,"")</f>
        <v>WCL / WCDL</v>
      </c>
      <c r="D33" s="854">
        <f>IFERROR('Facility Master'!AA34,"")</f>
        <v>45829</v>
      </c>
      <c r="E33" s="854">
        <f>IFERROR(IF('Facility Master'!D34="FB-Term",'Facility Master'!Z34,'Facility Master'!AB34),"")</f>
        <v>46194</v>
      </c>
      <c r="F33" s="1000">
        <f>IFERROR(IF('Facility Master'!D34="FB-Term",IF('Facility Master'!Z34="","-",'Facility Master'!Z34-AsOfDate),IF('Facility Master'!AB34="","-",'Facility Master'!AB34-AsOfDate)),"-")</f>
        <v>82</v>
      </c>
      <c r="G33" s="751" t="str">
        <f>IFERROR(IF('Facility Master'!D34="FB-Term",IF('Facility Master'!Z34="","No Maturity",IF(F33&lt;=180,"Maturing &lt;=180d",IF(F33&lt;=365,"Maturing &lt;=1yr","Term Loan — On Schedule"))),IF('Facility Master'!AB34="","No Validity Date",IF('Facility Master'!AB34&lt;AsOfDate,"Annual Renewal — Confirm with Ops",IF(F33&lt;=30,"Expiring &lt;=30d",IF(F33&lt;=60,"Due &lt;=60d","Valid"))))),"")</f>
        <v>Valid</v>
      </c>
      <c r="H33" s="1011" t="str">
        <f t="shared" si="0"/>
        <v>-</v>
      </c>
    </row>
    <row r="34" spans="1:8" ht="18" customHeight="1" x14ac:dyDescent="0.3">
      <c r="A34" s="749">
        <v>31</v>
      </c>
      <c r="B34" s="852" t="str">
        <f>IFERROR('Facility Master'!B35,"")</f>
        <v>South Indian Bank</v>
      </c>
      <c r="C34" s="852" t="str">
        <f>IFERROR('Facility Master'!C35,"")</f>
        <v>Inland / Import LC</v>
      </c>
      <c r="D34" s="854">
        <f>IFERROR('Facility Master'!AA35,"")</f>
        <v>45829</v>
      </c>
      <c r="E34" s="854">
        <f>IFERROR(IF('Facility Master'!D35="FB-Term",'Facility Master'!Z35,'Facility Master'!AB35),"")</f>
        <v>46194</v>
      </c>
      <c r="F34" s="1000">
        <f>IFERROR(IF('Facility Master'!D35="FB-Term",IF('Facility Master'!Z35="","-",'Facility Master'!Z35-AsOfDate),IF('Facility Master'!AB35="","-",'Facility Master'!AB35-AsOfDate)),"-")</f>
        <v>82</v>
      </c>
      <c r="G34" s="751" t="str">
        <f>IFERROR(IF('Facility Master'!D35="FB-Term",IF('Facility Master'!Z35="","No Maturity",IF(F34&lt;=180,"Maturing &lt;=180d",IF(F34&lt;=365,"Maturing &lt;=1yr","Term Loan — On Schedule"))),IF('Facility Master'!AB35="","No Validity Date",IF('Facility Master'!AB35&lt;AsOfDate,"Annual Renewal — Confirm with Ops",IF(F34&lt;=30,"Expiring &lt;=30d",IF(F34&lt;=60,"Due &lt;=60d","Valid"))))),"")</f>
        <v>Valid</v>
      </c>
      <c r="H34" s="1011" t="str">
        <f t="shared" si="0"/>
        <v>-</v>
      </c>
    </row>
    <row r="35" spans="1:8" ht="18" customHeight="1" x14ac:dyDescent="0.3">
      <c r="A35" s="749">
        <v>32</v>
      </c>
      <c r="B35" s="750" t="str">
        <f>IFERROR('Facility Master'!B36,"")</f>
        <v>South Indian Bank</v>
      </c>
      <c r="C35" s="750" t="str">
        <f>IFERROR('Facility Master'!C36,"")</f>
        <v>Capex LC</v>
      </c>
      <c r="D35" s="854">
        <f>IFERROR('Facility Master'!AA36,"")</f>
        <v>45829</v>
      </c>
      <c r="E35" s="854">
        <f>IFERROR(IF('Facility Master'!D36="FB-Term",'Facility Master'!Z36,'Facility Master'!AB36),"")</f>
        <v>46194</v>
      </c>
      <c r="F35" s="1000">
        <f>IFERROR(IF('Facility Master'!D36="FB-Term",IF('Facility Master'!Z36="","-",'Facility Master'!Z36-AsOfDate),IF('Facility Master'!AB36="","-",'Facility Master'!AB36-AsOfDate)),"-")</f>
        <v>82</v>
      </c>
      <c r="G35" s="751" t="str">
        <f>IFERROR(IF('Facility Master'!D36="FB-Term",IF('Facility Master'!Z36="","No Maturity",IF(F35&lt;=180,"Maturing &lt;=180d",IF(F35&lt;=365,"Maturing &lt;=1yr","Term Loan — On Schedule"))),IF('Facility Master'!AB36="","No Validity Date",IF('Facility Master'!AB36&lt;AsOfDate,"Annual Renewal — Confirm with Ops",IF(F35&lt;=30,"Expiring &lt;=30d",IF(F35&lt;=60,"Due &lt;=60d","Valid"))))),"")</f>
        <v>Valid</v>
      </c>
      <c r="H35" s="1011" t="str">
        <f t="shared" si="0"/>
        <v>-</v>
      </c>
    </row>
    <row r="36" spans="1:8" ht="18" customHeight="1" x14ac:dyDescent="0.3">
      <c r="A36" s="749">
        <v>33</v>
      </c>
      <c r="B36" s="750" t="str">
        <f>IFERROR('Facility Master'!B37,"")</f>
        <v>South Indian Bank</v>
      </c>
      <c r="C36" s="750" t="str">
        <f>IFERROR('Facility Master'!C37,"")</f>
        <v>SBLC</v>
      </c>
      <c r="D36" s="854">
        <f>IFERROR('Facility Master'!AA37,"")</f>
        <v>45829</v>
      </c>
      <c r="E36" s="854">
        <f>IFERROR(IF('Facility Master'!D37="FB-Term",'Facility Master'!Z37,'Facility Master'!AB37),"")</f>
        <v>46194</v>
      </c>
      <c r="F36" s="1000">
        <f>IFERROR(IF('Facility Master'!D37="FB-Term",IF('Facility Master'!Z37="","-",'Facility Master'!Z37-AsOfDate),IF('Facility Master'!AB37="","-",'Facility Master'!AB37-AsOfDate)),"-")</f>
        <v>82</v>
      </c>
      <c r="G36" s="751" t="str">
        <f>IFERROR(IF('Facility Master'!D37="FB-Term",IF('Facility Master'!Z37="","No Maturity",IF(F36&lt;=180,"Maturing &lt;=180d",IF(F36&lt;=365,"Maturing &lt;=1yr","Term Loan — On Schedule"))),IF('Facility Master'!AB37="","No Validity Date",IF('Facility Master'!AB37&lt;AsOfDate,"Annual Renewal — Confirm with Ops",IF(F36&lt;=30,"Expiring &lt;=30d",IF(F36&lt;=60,"Due &lt;=60d","Valid"))))),"")</f>
        <v>Valid</v>
      </c>
      <c r="H36" s="1011" t="str">
        <f t="shared" si="0"/>
        <v>-</v>
      </c>
    </row>
    <row r="37" spans="1:8" ht="18" customHeight="1" x14ac:dyDescent="0.3">
      <c r="A37" s="856">
        <v>34</v>
      </c>
      <c r="B37" s="857" t="str">
        <f>IFERROR('Facility Master'!B38,"")</f>
        <v>South Indian Bank</v>
      </c>
      <c r="C37" s="857" t="str">
        <f>IFERROR('Facility Master'!C38,"")</f>
        <v>Forward Contract Limit</v>
      </c>
      <c r="D37" s="863">
        <f>IFERROR('Facility Master'!AA38,"")</f>
        <v>45829</v>
      </c>
      <c r="E37" s="863">
        <f>IFERROR(IF('Facility Master'!D38="FB-Term",'Facility Master'!Z38,'Facility Master'!AB38),"")</f>
        <v>46194</v>
      </c>
      <c r="F37" s="1002">
        <f>IFERROR(IF('Facility Master'!D38="FB-Term",IF('Facility Master'!Z38="","-",'Facility Master'!Z38-AsOfDate),IF('Facility Master'!AB38="","-",'Facility Master'!AB38-AsOfDate)),"-")</f>
        <v>82</v>
      </c>
      <c r="G37" s="858" t="str">
        <f>IFERROR(IF('Facility Master'!D38="FB-Term",IF('Facility Master'!Z38="","No Maturity",IF(F37&lt;=180,"Maturing &lt;=180d",IF(F37&lt;=365,"Maturing &lt;=1yr","Term Loan — On Schedule"))),IF('Facility Master'!AB38="","No Validity Date",IF('Facility Master'!AB38&lt;AsOfDate,"Annual Renewal — Confirm with Ops",IF(F37&lt;=30,"Expiring &lt;=30d",IF(F37&lt;=60,"Due &lt;=60d","Valid"))))),"")</f>
        <v>Valid</v>
      </c>
      <c r="H37" s="1012" t="str">
        <f t="shared" si="0"/>
        <v>-</v>
      </c>
    </row>
    <row r="38" spans="1:8" ht="7.95" customHeight="1" x14ac:dyDescent="0.3">
      <c r="A38" s="714"/>
      <c r="B38" s="714"/>
      <c r="C38" s="714"/>
      <c r="D38" s="714"/>
      <c r="E38" s="714"/>
      <c r="F38" s="714"/>
      <c r="G38" s="714"/>
      <c r="H38" s="714"/>
    </row>
    <row r="39" spans="1:8" ht="19.95" customHeight="1" x14ac:dyDescent="0.3">
      <c r="A39" s="763" t="s">
        <v>627</v>
      </c>
      <c r="B39" s="765"/>
      <c r="C39" s="715"/>
      <c r="D39" s="715"/>
      <c r="E39" s="715"/>
      <c r="F39" s="715"/>
      <c r="G39" s="715"/>
      <c r="H39" s="715"/>
    </row>
    <row r="40" spans="1:8" ht="18" customHeight="1" x14ac:dyDescent="0.3">
      <c r="A40" s="769" t="s">
        <v>807</v>
      </c>
      <c r="B40" s="982">
        <f>COUNTIF(G4:G37,"Valid")+COUNTIF(G4:G37,"Term Loan — On Schedule")</f>
        <v>33</v>
      </c>
      <c r="C40" s="716"/>
      <c r="D40" s="716"/>
      <c r="E40" s="716"/>
      <c r="F40" s="716"/>
      <c r="G40" s="716"/>
      <c r="H40" s="716"/>
    </row>
    <row r="41" spans="1:8" ht="18" customHeight="1" x14ac:dyDescent="0.3">
      <c r="A41" s="769" t="s">
        <v>628</v>
      </c>
      <c r="B41" s="983">
        <f>COUNTIF(G4:G37,"Due*")</f>
        <v>0</v>
      </c>
      <c r="C41" s="716"/>
      <c r="D41" s="716"/>
      <c r="E41" s="716"/>
      <c r="F41" s="716"/>
      <c r="G41" s="716"/>
      <c r="H41" s="716"/>
    </row>
    <row r="42" spans="1:8" ht="18" customHeight="1" x14ac:dyDescent="0.3">
      <c r="A42" s="769" t="s">
        <v>629</v>
      </c>
      <c r="B42" s="984">
        <f>COUNTIF(G4:G37,"Expiring*")</f>
        <v>1</v>
      </c>
      <c r="C42" s="716"/>
      <c r="D42" s="716"/>
      <c r="E42" s="716"/>
      <c r="F42" s="716"/>
      <c r="G42" s="716"/>
      <c r="H42" s="716"/>
    </row>
    <row r="43" spans="1:8" ht="18" customHeight="1" x14ac:dyDescent="0.3">
      <c r="A43" s="769" t="s">
        <v>630</v>
      </c>
      <c r="B43" s="983">
        <f>COUNTIF(G4:G37,"Annual*")</f>
        <v>0</v>
      </c>
      <c r="C43" s="716"/>
      <c r="D43" s="716"/>
      <c r="E43" s="716"/>
      <c r="F43" s="716"/>
      <c r="G43" s="716"/>
      <c r="H43" s="716"/>
    </row>
    <row r="44" spans="1:8" ht="18" customHeight="1" x14ac:dyDescent="0.3">
      <c r="A44" s="769" t="s">
        <v>631</v>
      </c>
      <c r="B44" s="981">
        <f>COUNTIF(G4:G37,"No Validity*")</f>
        <v>0</v>
      </c>
      <c r="C44" s="716"/>
      <c r="D44" s="716"/>
      <c r="E44" s="716"/>
      <c r="F44" s="716"/>
      <c r="G44" s="716"/>
      <c r="H44" s="716"/>
    </row>
    <row r="45" spans="1:8" ht="18" customHeight="1" x14ac:dyDescent="0.3">
      <c r="A45" s="964" t="s">
        <v>808</v>
      </c>
      <c r="B45" s="1013">
        <f>COUNTIF(G4:G37,"Maturing &lt;=180d")+COUNTIF(G4:G37,"Maturing &lt;=1yr")</f>
        <v>0</v>
      </c>
      <c r="C45" s="716"/>
      <c r="D45" s="716"/>
      <c r="E45" s="716"/>
      <c r="F45" s="716"/>
      <c r="G45" s="716"/>
      <c r="H45" s="716"/>
    </row>
    <row r="46" spans="1:8" ht="55.95" customHeight="1" x14ac:dyDescent="0.3">
      <c r="A46" s="337" t="s">
        <v>632</v>
      </c>
      <c r="B46" s="337"/>
      <c r="C46" s="337"/>
      <c r="D46" s="337"/>
      <c r="E46" s="337"/>
      <c r="F46" s="337"/>
      <c r="G46" s="337"/>
      <c r="H46" s="337"/>
    </row>
    <row r="47" spans="1:8" x14ac:dyDescent="0.3">
      <c r="A47" s="712"/>
      <c r="B47" s="712"/>
      <c r="C47" s="712"/>
      <c r="D47" s="712"/>
      <c r="E47" s="712"/>
      <c r="F47" s="712"/>
      <c r="G47" s="712"/>
      <c r="H47" s="712"/>
    </row>
    <row r="48" spans="1:8" ht="21.75" customHeight="1" x14ac:dyDescent="0.3"/>
    <row r="49" ht="84.75" customHeight="1" x14ac:dyDescent="0.3"/>
  </sheetData>
  <conditionalFormatting sqref="G4:G37">
    <cfRule type="cellIs" dxfId="26" priority="1" operator="equal">
      <formula>"Valid"</formula>
    </cfRule>
    <cfRule type="cellIs" dxfId="25" priority="2" operator="equal">
      <formula>"Due &lt;=60d"</formula>
    </cfRule>
    <cfRule type="cellIs" dxfId="24" priority="3" operator="equal">
      <formula>"Expiring &lt;=30d"</formula>
    </cfRule>
    <cfRule type="cellIs" dxfId="23" priority="4" operator="equal">
      <formula>"Annual Renewal — Confirm with Ops"</formula>
    </cfRule>
    <cfRule type="cellIs" dxfId="22" priority="5" operator="equal">
      <formula>"Term Loan — On Schedule"</formula>
    </cfRule>
    <cfRule type="cellIs" dxfId="21" priority="6" operator="equal">
      <formula>"Maturing &lt;=1yr"</formula>
    </cfRule>
    <cfRule type="cellIs" dxfId="20" priority="7" operator="equal">
      <formula>"Maturing &lt;=180d"</formula>
    </cfRule>
  </conditionalFormatting>
  <conditionalFormatting sqref="H4:H37">
    <cfRule type="expression" dxfId="19" priority="8">
      <formula>$H4&lt;&gt;"-"</formula>
    </cfRule>
  </conditionalFormatting>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7030A0"/>
  </sheetPr>
  <dimension ref="A1:F54"/>
  <sheetViews>
    <sheetView showGridLines="0" zoomScaleNormal="100" workbookViewId="0">
      <pane ySplit="2" topLeftCell="A3" activePane="bottomLeft" state="frozen"/>
      <selection pane="bottomLeft" activeCell="D19" sqref="D19"/>
    </sheetView>
  </sheetViews>
  <sheetFormatPr defaultColWidth="8.6640625" defaultRowHeight="14.4" x14ac:dyDescent="0.3"/>
  <cols>
    <col min="1" max="1" width="42.5546875" customWidth="1"/>
    <col min="2" max="2" width="18.5546875" customWidth="1"/>
    <col min="3" max="4" width="17.5546875" customWidth="1"/>
    <col min="5" max="5" width="20.33203125" customWidth="1"/>
    <col min="6" max="6" width="5.5546875" customWidth="1"/>
  </cols>
  <sheetData>
    <row r="1" spans="1:6" ht="30" customHeight="1" x14ac:dyDescent="0.35">
      <c r="A1" s="713" t="s">
        <v>633</v>
      </c>
      <c r="B1" s="713"/>
      <c r="C1" s="713"/>
      <c r="D1" s="713"/>
      <c r="E1" s="713"/>
      <c r="F1" s="713"/>
    </row>
    <row r="2" spans="1:6" ht="18" customHeight="1" x14ac:dyDescent="0.3">
      <c r="A2" s="327" t="s">
        <v>809</v>
      </c>
      <c r="B2" s="327"/>
      <c r="C2" s="327"/>
      <c r="D2" s="327"/>
      <c r="E2" s="327"/>
      <c r="F2" s="327"/>
    </row>
    <row r="3" spans="1:6" ht="22.05" customHeight="1" x14ac:dyDescent="0.3">
      <c r="A3" s="763" t="s">
        <v>634</v>
      </c>
      <c r="B3" s="1032"/>
      <c r="C3" s="1033" t="s">
        <v>635</v>
      </c>
      <c r="D3" s="1014" t="s">
        <v>636</v>
      </c>
      <c r="E3" s="1015" t="s">
        <v>637</v>
      </c>
      <c r="F3" s="1034"/>
    </row>
    <row r="4" spans="1:6" ht="18" customHeight="1" x14ac:dyDescent="0.3">
      <c r="A4" s="777" t="s">
        <v>638</v>
      </c>
      <c r="B4" s="767"/>
      <c r="C4" s="1035">
        <v>0</v>
      </c>
      <c r="D4" s="1036">
        <v>0.01</v>
      </c>
      <c r="E4" s="1037">
        <v>0.02</v>
      </c>
      <c r="F4" s="1016"/>
    </row>
    <row r="5" spans="1:6" ht="18" customHeight="1" x14ac:dyDescent="0.3">
      <c r="A5" s="777" t="s">
        <v>639</v>
      </c>
      <c r="B5" s="767"/>
      <c r="C5" s="1035">
        <v>0</v>
      </c>
      <c r="D5" s="1036">
        <v>2.5000000000000001E-3</v>
      </c>
      <c r="E5" s="1037">
        <v>5.0000000000000001E-3</v>
      </c>
      <c r="F5" s="1016"/>
    </row>
    <row r="6" spans="1:6" ht="18" customHeight="1" x14ac:dyDescent="0.3">
      <c r="A6" s="777" t="s">
        <v>640</v>
      </c>
      <c r="B6" s="767"/>
      <c r="C6" s="1035">
        <v>0</v>
      </c>
      <c r="D6" s="1036">
        <v>0.1</v>
      </c>
      <c r="E6" s="1037">
        <v>0.2</v>
      </c>
      <c r="F6" s="1016"/>
    </row>
    <row r="7" spans="1:6" ht="18" customHeight="1" x14ac:dyDescent="0.3">
      <c r="A7" s="777" t="s">
        <v>641</v>
      </c>
      <c r="B7" s="767"/>
      <c r="C7" s="1035">
        <v>0</v>
      </c>
      <c r="D7" s="1036">
        <v>-0.15</v>
      </c>
      <c r="E7" s="1037">
        <v>-0.3</v>
      </c>
      <c r="F7" s="1016"/>
    </row>
    <row r="8" spans="1:6" ht="18" customHeight="1" x14ac:dyDescent="0.3">
      <c r="A8" s="778" t="s">
        <v>642</v>
      </c>
      <c r="B8" s="869"/>
      <c r="C8" s="1038">
        <v>0</v>
      </c>
      <c r="D8" s="1039">
        <v>0.1</v>
      </c>
      <c r="E8" s="1040">
        <v>0.25</v>
      </c>
      <c r="F8" s="1017"/>
    </row>
    <row r="9" spans="1:6" ht="7.95" customHeight="1" x14ac:dyDescent="0.3">
      <c r="A9" s="714"/>
      <c r="B9" s="714"/>
      <c r="C9" s="714"/>
      <c r="D9" s="714"/>
      <c r="E9" s="714"/>
      <c r="F9" s="714"/>
    </row>
    <row r="10" spans="1:6" ht="7.95" customHeight="1" x14ac:dyDescent="0.3">
      <c r="A10" s="714"/>
      <c r="B10" s="714"/>
      <c r="C10" s="714"/>
      <c r="D10" s="714"/>
      <c r="E10" s="714"/>
      <c r="F10" s="714"/>
    </row>
    <row r="11" spans="1:6" ht="22.05" customHeight="1" x14ac:dyDescent="0.3">
      <c r="A11" s="763" t="s">
        <v>643</v>
      </c>
      <c r="B11" s="1032"/>
      <c r="C11" s="1033" t="s">
        <v>635</v>
      </c>
      <c r="D11" s="1014" t="s">
        <v>636</v>
      </c>
      <c r="E11" s="1015" t="s">
        <v>637</v>
      </c>
      <c r="F11" s="1034"/>
    </row>
    <row r="12" spans="1:6" s="1" customFormat="1" ht="19.95" customHeight="1" x14ac:dyDescent="0.3">
      <c r="A12" s="777" t="s">
        <v>644</v>
      </c>
      <c r="B12" s="767"/>
      <c r="C12" s="1018">
        <f t="array" ref="C12">IFERROR(SUMPRODUCT(('Facility Master'!H5:H38=1)*'Facility Master'!M5:M38*(1+C6)*('Facility Master'!R5:R38+C4+C5)),0)</f>
        <v>40.064012399999996</v>
      </c>
      <c r="D12" s="1019">
        <f t="array" ref="D12">IFERROR(SUMPRODUCT(('Facility Master'!H5:H38=1)*'Facility Master'!M5:M38*(1+D6)*('Facility Master'!R5:R38+D4+D5)),0)</f>
        <v>50.889880140000002</v>
      </c>
      <c r="E12" s="1020">
        <f t="array" ref="E12">IFERROR(SUMPRODUCT(('Facility Master'!H5:H38=1)*'Facility Master'!M5:M38*(1+E6)*('Facility Master'!R5:R38+E4+E5)),0)</f>
        <v>62.95565088</v>
      </c>
      <c r="F12" s="1016"/>
    </row>
    <row r="13" spans="1:6" s="1" customFormat="1" ht="19.95" customHeight="1" x14ac:dyDescent="0.3">
      <c r="A13" s="777" t="s">
        <v>645</v>
      </c>
      <c r="B13" s="767"/>
      <c r="C13" s="1021">
        <f>IFERROR((EBITDA_Active*(1+C7)-TaxPaid_Active)/(C12+SchedTLRep_Active),0)</f>
        <v>3.8765797364321073</v>
      </c>
      <c r="D13" s="1022">
        <f>IFERROR((EBITDA_Active*(1+D7)-TaxPaid_Active)/(D12+SchedTLRep_Active),0)</f>
        <v>2.7941545434590513</v>
      </c>
      <c r="E13" s="1023">
        <f>IFERROR((EBITDA_Active*(1+E7)-TaxPaid_Active)/(E12+SchedTLRep_Active),0)</f>
        <v>1.9165817918712409</v>
      </c>
      <c r="F13" s="1016"/>
    </row>
    <row r="14" spans="1:6" ht="19.95" customHeight="1" x14ac:dyDescent="0.3">
      <c r="A14" s="777" t="s">
        <v>646</v>
      </c>
      <c r="B14" s="767"/>
      <c r="C14" s="1021">
        <f>IFERROR(TotalDebt_Active*(1+C8)/(EBITDA_Active*(1+C7)),0)</f>
        <v>1.5965986040212523</v>
      </c>
      <c r="D14" s="1022">
        <f>IFERROR(TotalDebt_Active*(1+D8)/(EBITDA_Active*(1+D7)),0)</f>
        <v>2.0661864287333853</v>
      </c>
      <c r="E14" s="1023">
        <f>IFERROR(TotalDebt_Active*(1+E8)/(EBITDA_Active*(1+E7)),0)</f>
        <v>2.8510689357522359</v>
      </c>
      <c r="F14" s="1016"/>
    </row>
    <row r="15" spans="1:6" ht="19.95" customHeight="1" x14ac:dyDescent="0.3">
      <c r="A15" s="778" t="s">
        <v>647</v>
      </c>
      <c r="B15" s="869"/>
      <c r="C15" s="1024">
        <f>IFERROR(EBITDA_Active*(1+C7)/C12,0)</f>
        <v>9.5836631679956259</v>
      </c>
      <c r="D15" s="1025">
        <f>IFERROR(EBITDA_Active*(1+D7)/D12,0)</f>
        <v>6.413180756216259</v>
      </c>
      <c r="E15" s="1026">
        <f>IFERROR(EBITDA_Active*(1+E7)/E12,0)</f>
        <v>4.2692275632620698</v>
      </c>
      <c r="F15" s="1017"/>
    </row>
    <row r="16" spans="1:6" ht="7.95" customHeight="1" x14ac:dyDescent="0.3">
      <c r="A16" s="714"/>
      <c r="B16" s="714"/>
      <c r="C16" s="714"/>
      <c r="D16" s="714"/>
      <c r="E16" s="714"/>
      <c r="F16" s="714"/>
    </row>
    <row r="17" spans="1:6" ht="7.95" customHeight="1" x14ac:dyDescent="0.3">
      <c r="A17" s="714"/>
      <c r="B17" s="714"/>
      <c r="C17" s="714"/>
      <c r="D17" s="714"/>
      <c r="E17" s="714"/>
      <c r="F17" s="714"/>
    </row>
    <row r="18" spans="1:6" ht="18" customHeight="1" x14ac:dyDescent="0.3">
      <c r="A18" s="810" t="s">
        <v>789</v>
      </c>
      <c r="B18" s="809"/>
      <c r="C18" s="809"/>
      <c r="D18" s="809"/>
      <c r="E18" s="809"/>
      <c r="F18" s="811"/>
    </row>
    <row r="19" spans="1:6" ht="130.05000000000001" customHeight="1" x14ac:dyDescent="0.3">
      <c r="A19" s="1028" t="s">
        <v>810</v>
      </c>
      <c r="B19" s="1027"/>
      <c r="C19" s="1027"/>
      <c r="D19" s="1027"/>
      <c r="E19" s="1027"/>
      <c r="F19" s="1029"/>
    </row>
    <row r="20" spans="1:6" s="1" customFormat="1" ht="7.95" customHeight="1" x14ac:dyDescent="0.3">
      <c r="A20" s="714"/>
      <c r="B20" s="714"/>
      <c r="C20" s="714"/>
      <c r="D20" s="714"/>
      <c r="E20" s="714"/>
      <c r="F20" s="714"/>
    </row>
    <row r="21" spans="1:6" s="1" customFormat="1" ht="7.95" customHeight="1" x14ac:dyDescent="0.3">
      <c r="A21" s="714"/>
      <c r="B21" s="714"/>
      <c r="C21" s="714"/>
      <c r="D21" s="714"/>
      <c r="E21" s="714"/>
      <c r="F21" s="714"/>
    </row>
    <row r="22" spans="1:6" ht="22.05" customHeight="1" x14ac:dyDescent="0.3">
      <c r="A22" s="763" t="s">
        <v>648</v>
      </c>
      <c r="B22" s="765"/>
      <c r="C22" s="715"/>
      <c r="D22" s="715"/>
      <c r="E22" s="715"/>
      <c r="F22" s="715"/>
    </row>
    <row r="23" spans="1:6" ht="19.95" customHeight="1" x14ac:dyDescent="0.3">
      <c r="A23" s="920" t="s">
        <v>282</v>
      </c>
      <c r="B23" s="1030" t="s">
        <v>649</v>
      </c>
      <c r="C23" s="712"/>
      <c r="D23" s="712"/>
      <c r="E23" s="712"/>
      <c r="F23" s="712"/>
    </row>
    <row r="24" spans="1:6" ht="18" customHeight="1" x14ac:dyDescent="0.3">
      <c r="A24" s="777" t="s">
        <v>192</v>
      </c>
      <c r="B24" s="960">
        <f t="array" ref="B24">IFERROR(SUMPRODUCT(('Facility Master'!P5:P38="1Y MCLR (RBL Bank)")*('Facility Master'!H5:H38=1)*'Facility Master'!M5:M38)*0.01,0)</f>
        <v>0</v>
      </c>
      <c r="C24" s="712"/>
      <c r="D24" s="712"/>
      <c r="E24" s="712"/>
      <c r="F24" s="712"/>
    </row>
    <row r="25" spans="1:6" ht="18" customHeight="1" x14ac:dyDescent="0.3">
      <c r="A25" s="777" t="s">
        <v>204</v>
      </c>
      <c r="B25" s="960">
        <f t="array" ref="B25">IFERROR(SUMPRODUCT(('Facility Master'!P5:P38="3M T-Bill")*('Facility Master'!H5:H38=1)*'Facility Master'!M5:M38)*0.01,0)</f>
        <v>2.9596119999999995</v>
      </c>
      <c r="C25" s="712"/>
      <c r="D25" s="712"/>
      <c r="E25" s="712"/>
      <c r="F25" s="712"/>
    </row>
    <row r="26" spans="1:6" ht="18" customHeight="1" x14ac:dyDescent="0.3">
      <c r="A26" s="777" t="s">
        <v>196</v>
      </c>
      <c r="B26" s="960">
        <f t="array" ref="B26">IFERROR(SUMPRODUCT(('Facility Master'!P5:P38="6M I-MCLR (ICICI)")*('Facility Master'!H5:H38=1)*'Facility Master'!M5:M38)*0.01,0)</f>
        <v>0.5</v>
      </c>
      <c r="C26" s="712"/>
      <c r="D26" s="712"/>
      <c r="E26" s="712"/>
      <c r="F26" s="712"/>
    </row>
    <row r="27" spans="1:6" ht="18" customHeight="1" x14ac:dyDescent="0.3">
      <c r="A27" s="777" t="s">
        <v>198</v>
      </c>
      <c r="B27" s="960">
        <f t="array" ref="B27">IFERROR(SUMPRODUCT(('Facility Master'!P5:P38="12M MCLR (SIB)")*('Facility Master'!H5:H38=1)*'Facility Master'!M5:M38)*0.01,0)</f>
        <v>0</v>
      </c>
      <c r="C27" s="712"/>
      <c r="D27" s="712"/>
      <c r="E27" s="712"/>
      <c r="F27" s="712"/>
    </row>
    <row r="28" spans="1:6" s="1" customFormat="1" ht="18" customHeight="1" x14ac:dyDescent="0.3">
      <c r="A28" s="777" t="s">
        <v>650</v>
      </c>
      <c r="B28" s="960">
        <f t="array" ref="B28">IFERROR(SUMPRODUCT(('Facility Master'!P5:P38="Bajaj Floating Reference Rate (BFRR)")*('Facility Master'!H5:H38=1)*'Facility Master'!M5:M38)*0.01,0)</f>
        <v>1.5</v>
      </c>
      <c r="C28" s="712"/>
      <c r="D28" s="712"/>
      <c r="E28" s="712"/>
      <c r="F28" s="712"/>
    </row>
    <row r="29" spans="1:6" ht="18" customHeight="1" x14ac:dyDescent="0.3">
      <c r="A29" s="778" t="s">
        <v>370</v>
      </c>
      <c r="B29" s="1031">
        <f t="array" ref="B29">IFERROR(SUMPRODUCT(('Facility Master'!P5:P38="Term SOFR (USD)")*('Facility Master'!H5:H38=1)*'Facility Master'!M5:M38)*0.01,0)</f>
        <v>0</v>
      </c>
      <c r="C29" s="712"/>
      <c r="D29" s="712"/>
      <c r="E29" s="712"/>
      <c r="F29" s="712"/>
    </row>
    <row r="30" spans="1:6" ht="7.5" customHeight="1" x14ac:dyDescent="0.3"/>
    <row r="31" spans="1:6" ht="75" customHeight="1" x14ac:dyDescent="0.3"/>
    <row r="32" spans="1:6" ht="75" customHeight="1" x14ac:dyDescent="0.3"/>
    <row r="33" ht="75" customHeight="1" x14ac:dyDescent="0.3"/>
    <row r="34" ht="75" customHeight="1" x14ac:dyDescent="0.3"/>
    <row r="35" ht="75" customHeight="1" x14ac:dyDescent="0.3"/>
    <row r="36" s="1" customFormat="1" ht="7.5" customHeight="1" x14ac:dyDescent="0.3"/>
    <row r="37" s="1" customFormat="1" ht="7.5" customHeight="1" x14ac:dyDescent="0.3"/>
    <row r="38" ht="25.5" customHeight="1" x14ac:dyDescent="0.3"/>
    <row r="40" s="1" customFormat="1" ht="7.5" customHeight="1" x14ac:dyDescent="0.3"/>
    <row r="52" s="1" customFormat="1" ht="7.5" customHeight="1" x14ac:dyDescent="0.3"/>
    <row r="53" s="1" customFormat="1" ht="7.5" customHeight="1" x14ac:dyDescent="0.3"/>
    <row r="54" ht="25.5" customHeight="1" x14ac:dyDescent="0.3"/>
  </sheetData>
  <conditionalFormatting sqref="B24:B29">
    <cfRule type="cellIs" dxfId="18" priority="2" operator="greaterThan">
      <formula>0</formula>
    </cfRule>
  </conditionalFormatting>
  <conditionalFormatting sqref="C13:E13">
    <cfRule type="cellIs" dxfId="17" priority="1" operator="lessThan">
      <formula>1.25</formula>
    </cfRule>
  </conditionalFormatting>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H44"/>
  <sheetViews>
    <sheetView showGridLines="0" zoomScaleNormal="100" workbookViewId="0">
      <pane ySplit="3" topLeftCell="A36" activePane="bottomLeft" state="frozen"/>
      <selection pane="bottomLeft" activeCell="G11" sqref="G11"/>
    </sheetView>
  </sheetViews>
  <sheetFormatPr defaultColWidth="8.6640625" defaultRowHeight="14.4" x14ac:dyDescent="0.3"/>
  <cols>
    <col min="1" max="1" width="7.44140625" customWidth="1"/>
    <col min="2" max="2" width="16.6640625" customWidth="1"/>
    <col min="3" max="3" width="32.44140625" customWidth="1"/>
    <col min="4" max="4" width="9.21875" customWidth="1"/>
    <col min="5" max="5" width="34.21875" customWidth="1"/>
    <col min="6" max="6" width="13.88671875" customWidth="1"/>
    <col min="7" max="7" width="14.77734375" customWidth="1"/>
    <col min="8" max="8" width="25.88671875" customWidth="1"/>
    <col min="9" max="9" width="8" customWidth="1"/>
    <col min="10" max="11" width="10" customWidth="1"/>
    <col min="12" max="12" width="8" customWidth="1"/>
    <col min="13" max="13" width="31.21875" customWidth="1"/>
    <col min="14" max="14" width="14" customWidth="1"/>
  </cols>
  <sheetData>
    <row r="1" spans="1:8" ht="30" customHeight="1" x14ac:dyDescent="0.35">
      <c r="A1" s="713" t="s">
        <v>651</v>
      </c>
      <c r="B1" s="713"/>
      <c r="C1" s="713"/>
      <c r="D1" s="713"/>
      <c r="E1" s="713"/>
      <c r="F1" s="713"/>
      <c r="G1" s="713"/>
      <c r="H1" s="713"/>
    </row>
    <row r="2" spans="1:8" ht="18" customHeight="1" x14ac:dyDescent="0.3">
      <c r="A2" s="327" t="s">
        <v>811</v>
      </c>
      <c r="B2" s="327"/>
      <c r="C2" s="327"/>
      <c r="D2" s="327"/>
      <c r="E2" s="327"/>
      <c r="F2" s="327"/>
      <c r="G2" s="327"/>
      <c r="H2" s="327"/>
    </row>
    <row r="3" spans="1:8" ht="22.05" customHeight="1" x14ac:dyDescent="0.3">
      <c r="A3" s="718" t="s">
        <v>49</v>
      </c>
      <c r="B3" s="719" t="s">
        <v>122</v>
      </c>
      <c r="C3" s="719" t="s">
        <v>270</v>
      </c>
      <c r="D3" s="720" t="s">
        <v>652</v>
      </c>
      <c r="E3" s="720" t="s">
        <v>653</v>
      </c>
      <c r="F3" s="720" t="s">
        <v>482</v>
      </c>
      <c r="G3" s="720" t="s">
        <v>654</v>
      </c>
      <c r="H3" s="721" t="s">
        <v>285</v>
      </c>
    </row>
    <row r="4" spans="1:8" s="1" customFormat="1" ht="18" customHeight="1" x14ac:dyDescent="0.3">
      <c r="A4" s="722">
        <v>1</v>
      </c>
      <c r="B4" s="822" t="str">
        <f>IFERROR('Facility Master'!B5,"")</f>
        <v>RBL Bank</v>
      </c>
      <c r="C4" s="822" t="str">
        <f>IFERROR('Facility Master'!C5,"")</f>
        <v>Letter of Credit - Main Limit</v>
      </c>
      <c r="D4" s="724" t="str">
        <f>IFERROR('Facility Master'!I5,"")</f>
        <v>INR</v>
      </c>
      <c r="E4" s="723" t="str">
        <f>IFERROR('Facility Master'!P5,"")</f>
        <v>Fixed commission</v>
      </c>
      <c r="F4" s="987">
        <f>IFERROR('Facility Master'!Q5*10000,0)</f>
        <v>0</v>
      </c>
      <c r="G4" s="727">
        <f>IFERROR('Facility Master'!R5,0)</f>
        <v>0</v>
      </c>
      <c r="H4" s="988" t="str">
        <f>IFERROR('Facility Master'!S5,"")</f>
        <v>Fixed</v>
      </c>
    </row>
    <row r="5" spans="1:8" ht="18" customHeight="1" x14ac:dyDescent="0.3">
      <c r="A5" s="722">
        <v>2</v>
      </c>
      <c r="B5" s="723" t="str">
        <f>IFERROR('Facility Master'!B6,"")</f>
        <v>RBL Bank</v>
      </c>
      <c r="C5" s="723" t="str">
        <f>IFERROR('Facility Master'!C6,"")</f>
        <v>Bank Guarantee</v>
      </c>
      <c r="D5" s="724" t="str">
        <f>IFERROR('Facility Master'!I6,"")</f>
        <v>INR</v>
      </c>
      <c r="E5" s="723" t="str">
        <f>IFERROR('Facility Master'!P6,"")</f>
        <v>Fixed commission</v>
      </c>
      <c r="F5" s="987">
        <f>IFERROR('Facility Master'!Q6*10000,0)</f>
        <v>0</v>
      </c>
      <c r="G5" s="727">
        <f>IFERROR('Facility Master'!R6,0)</f>
        <v>0</v>
      </c>
      <c r="H5" s="988" t="str">
        <f>IFERROR('Facility Master'!S6,"")</f>
        <v>Fixed</v>
      </c>
    </row>
    <row r="6" spans="1:8" ht="18" customHeight="1" x14ac:dyDescent="0.3">
      <c r="A6" s="722">
        <v>3</v>
      </c>
      <c r="B6" s="723" t="str">
        <f>IFERROR('Facility Master'!B7,"")</f>
        <v>RBL Bank</v>
      </c>
      <c r="C6" s="723" t="str">
        <f>IFERROR('Facility Master'!C7,"")</f>
        <v>Invoice Discounting (PID)</v>
      </c>
      <c r="D6" s="724" t="str">
        <f>IFERROR('Facility Master'!I7,"")</f>
        <v>INR</v>
      </c>
      <c r="E6" s="723" t="str">
        <f>IFERROR('Facility Master'!P7,"")</f>
        <v>1Y MCLR (RBL Bank)</v>
      </c>
      <c r="F6" s="987">
        <f>IFERROR('Facility Master'!Q7*10000,0)</f>
        <v>50</v>
      </c>
      <c r="G6" s="727">
        <f>IFERROR('Facility Master'!R7,0)</f>
        <v>9.5000000000000001E-2</v>
      </c>
      <c r="H6" s="988" t="str">
        <f>IFERROR('Facility Master'!S7,"")</f>
        <v>Floating (Indicative)</v>
      </c>
    </row>
    <row r="7" spans="1:8" ht="18" customHeight="1" x14ac:dyDescent="0.3">
      <c r="A7" s="722">
        <v>4</v>
      </c>
      <c r="B7" s="723" t="str">
        <f>IFERROR('Facility Master'!B8,"")</f>
        <v>RBL Bank</v>
      </c>
      <c r="C7" s="723" t="str">
        <f>IFERROR('Facility Master'!C8,"")</f>
        <v>SBLC</v>
      </c>
      <c r="D7" s="724" t="str">
        <f>IFERROR('Facility Master'!I8,"")</f>
        <v>INR</v>
      </c>
      <c r="E7" s="723" t="str">
        <f>IFERROR('Facility Master'!P8,"")</f>
        <v>To be decided</v>
      </c>
      <c r="F7" s="987">
        <f>IFERROR('Facility Master'!Q8*10000,0)</f>
        <v>50</v>
      </c>
      <c r="G7" s="727">
        <f>IFERROR('Facility Master'!R8,0)</f>
        <v>5.0000000000000001E-3</v>
      </c>
      <c r="H7" s="988" t="str">
        <f>IFERROR('Facility Master'!S8,"")</f>
        <v>TBD</v>
      </c>
    </row>
    <row r="8" spans="1:8" ht="18" customHeight="1" x14ac:dyDescent="0.3">
      <c r="A8" s="722">
        <v>5</v>
      </c>
      <c r="B8" s="723" t="str">
        <f>IFERROR('Facility Master'!B9,"")</f>
        <v>RBL Bank</v>
      </c>
      <c r="C8" s="723" t="str">
        <f>IFERROR('Facility Master'!C9,"")</f>
        <v>Pre-Acceptance LCBD</v>
      </c>
      <c r="D8" s="724" t="str">
        <f>IFERROR('Facility Master'!I9,"")</f>
        <v>INR</v>
      </c>
      <c r="E8" s="723" t="str">
        <f>IFERROR('Facility Master'!P9,"")</f>
        <v>1Y MCLR (RBL Bank)</v>
      </c>
      <c r="F8" s="987">
        <f>IFERROR('Facility Master'!Q9*10000,0)</f>
        <v>75</v>
      </c>
      <c r="G8" s="727">
        <f>IFERROR('Facility Master'!R9,0)</f>
        <v>9.7500000000000003E-2</v>
      </c>
      <c r="H8" s="988" t="str">
        <f>IFERROR('Facility Master'!S9,"")</f>
        <v>Floating (Indicative)</v>
      </c>
    </row>
    <row r="9" spans="1:8" ht="18" customHeight="1" x14ac:dyDescent="0.3">
      <c r="A9" s="722">
        <v>6</v>
      </c>
      <c r="B9" s="723" t="str">
        <f>IFERROR('Facility Master'!B10,"")</f>
        <v>RBL Bank</v>
      </c>
      <c r="C9" s="723" t="str">
        <f>IFERROR('Facility Master'!C10,"")</f>
        <v>Cash Credit</v>
      </c>
      <c r="D9" s="724" t="str">
        <f>IFERROR('Facility Master'!I10,"")</f>
        <v>INR</v>
      </c>
      <c r="E9" s="723" t="str">
        <f>IFERROR('Facility Master'!P10,"")</f>
        <v>1Y MCLR (RBL Bank)</v>
      </c>
      <c r="F9" s="987">
        <f>IFERROR('Facility Master'!Q10*10000,0)</f>
        <v>5</v>
      </c>
      <c r="G9" s="727">
        <f>IFERROR('Facility Master'!R10,0)</f>
        <v>9.0499999999999997E-2</v>
      </c>
      <c r="H9" s="988" t="str">
        <f>IFERROR('Facility Master'!S10,"")</f>
        <v>Floating</v>
      </c>
    </row>
    <row r="10" spans="1:8" ht="18" customHeight="1" x14ac:dyDescent="0.3">
      <c r="A10" s="722">
        <v>7</v>
      </c>
      <c r="B10" s="723" t="str">
        <f>IFERROR('Facility Master'!B11,"")</f>
        <v>RBL Bank</v>
      </c>
      <c r="C10" s="723" t="str">
        <f>IFERROR('Facility Master'!C11,"")</f>
        <v>Working Capital Demand Loan (WCDL)</v>
      </c>
      <c r="D10" s="724" t="str">
        <f>IFERROR('Facility Master'!I11,"")</f>
        <v>INR</v>
      </c>
      <c r="E10" s="723" t="str">
        <f>IFERROR('Facility Master'!P11,"")</f>
        <v>To be decided</v>
      </c>
      <c r="F10" s="987">
        <f>IFERROR('Facility Master'!Q11*10000,0)</f>
        <v>0</v>
      </c>
      <c r="G10" s="727">
        <f>IFERROR('Facility Master'!R11,0)</f>
        <v>0</v>
      </c>
      <c r="H10" s="988" t="str">
        <f>IFERROR('Facility Master'!S11,"")</f>
        <v>TBD</v>
      </c>
    </row>
    <row r="11" spans="1:8" ht="18" customHeight="1" x14ac:dyDescent="0.3">
      <c r="A11" s="826">
        <v>8</v>
      </c>
      <c r="B11" s="827" t="str">
        <f>IFERROR('Facility Master'!B12,"")</f>
        <v>RBL Bank</v>
      </c>
      <c r="C11" s="827" t="str">
        <f>IFERROR('Facility Master'!C12,"")</f>
        <v>Loan Equivalent Risk (LER)</v>
      </c>
      <c r="D11" s="828" t="str">
        <f>IFERROR('Facility Master'!I12,"")</f>
        <v>INR</v>
      </c>
      <c r="E11" s="827" t="str">
        <f>IFERROR('Facility Master'!P12,"")</f>
        <v>Bank treasury</v>
      </c>
      <c r="F11" s="989">
        <f>IFERROR('Facility Master'!Q12*10000,0)</f>
        <v>0</v>
      </c>
      <c r="G11" s="831">
        <f>IFERROR('Facility Master'!R12,0)</f>
        <v>0</v>
      </c>
      <c r="H11" s="990" t="str">
        <f>IFERROR('Facility Master'!S12,"")</f>
        <v>Fixed</v>
      </c>
    </row>
    <row r="12" spans="1:8" ht="18" customHeight="1" x14ac:dyDescent="0.3">
      <c r="A12" s="835">
        <v>9</v>
      </c>
      <c r="B12" s="940" t="str">
        <f>IFERROR('Facility Master'!B13,"")</f>
        <v>RBL Bank</v>
      </c>
      <c r="C12" s="940" t="str">
        <f>IFERROR('Facility Master'!C13,"")</f>
        <v>Term Loan</v>
      </c>
      <c r="D12" s="837" t="str">
        <f>IFERROR('Facility Master'!I13,"")</f>
        <v>INR</v>
      </c>
      <c r="E12" s="836" t="str">
        <f>IFERROR('Facility Master'!P13,"")</f>
        <v>1Y MCLR (RBL Bank)</v>
      </c>
      <c r="F12" s="991">
        <f>IFERROR('Facility Master'!Q13*10000,0)</f>
        <v>75</v>
      </c>
      <c r="G12" s="840">
        <f>IFERROR('Facility Master'!R13,0)</f>
        <v>9.7500000000000003E-2</v>
      </c>
      <c r="H12" s="992" t="str">
        <f>IFERROR('Facility Master'!S13,"")</f>
        <v>Floating (Indicative)</v>
      </c>
    </row>
    <row r="13" spans="1:8" ht="18" customHeight="1" x14ac:dyDescent="0.3">
      <c r="A13" s="722">
        <v>10</v>
      </c>
      <c r="B13" s="723" t="str">
        <f>IFERROR('Facility Master'!B14,"")</f>
        <v>RBL Bank</v>
      </c>
      <c r="C13" s="723" t="str">
        <f>IFERROR('Facility Master'!C14,"")</f>
        <v>SBLC for Buyer's Credit (GIFT City)</v>
      </c>
      <c r="D13" s="724" t="str">
        <f>IFERROR('Facility Master'!I14,"")</f>
        <v>INR</v>
      </c>
      <c r="E13" s="723" t="str">
        <f>IFERROR('Facility Master'!P14,"")</f>
        <v>Fixed commission</v>
      </c>
      <c r="F13" s="987">
        <f>IFERROR('Facility Master'!Q14*10000,0)</f>
        <v>50</v>
      </c>
      <c r="G13" s="727">
        <f>IFERROR('Facility Master'!R14,0)</f>
        <v>5.0000000000000001E-3</v>
      </c>
      <c r="H13" s="988" t="str">
        <f>IFERROR('Facility Master'!S14,"")</f>
        <v>Fixed</v>
      </c>
    </row>
    <row r="14" spans="1:8" ht="18" customHeight="1" x14ac:dyDescent="0.3">
      <c r="A14" s="722">
        <v>11</v>
      </c>
      <c r="B14" s="723" t="str">
        <f>IFERROR('Facility Master'!B15,"")</f>
        <v>RBL Bank</v>
      </c>
      <c r="C14" s="723" t="str">
        <f>IFERROR('Facility Master'!C15,"")</f>
        <v>Capex LC</v>
      </c>
      <c r="D14" s="724" t="str">
        <f>IFERROR('Facility Master'!I15,"")</f>
        <v>INR</v>
      </c>
      <c r="E14" s="723" t="str">
        <f>IFERROR('Facility Master'!P15,"")</f>
        <v>Fixed commission</v>
      </c>
      <c r="F14" s="987">
        <f>IFERROR('Facility Master'!Q15*10000,0)</f>
        <v>50</v>
      </c>
      <c r="G14" s="727">
        <f>IFERROR('Facility Master'!R15,0)</f>
        <v>5.0000000000000001E-3</v>
      </c>
      <c r="H14" s="988" t="str">
        <f>IFERROR('Facility Master'!S15,"")</f>
        <v>Fixed</v>
      </c>
    </row>
    <row r="15" spans="1:8" ht="18" customHeight="1" x14ac:dyDescent="0.3">
      <c r="A15" s="835">
        <v>12</v>
      </c>
      <c r="B15" s="836" t="str">
        <f>IFERROR('Facility Master'!B16,"")</f>
        <v>RBL Bank</v>
      </c>
      <c r="C15" s="836" t="str">
        <f>IFERROR('Facility Master'!C16,"")</f>
        <v>Overdraft backed by 100% FD (FDOD)</v>
      </c>
      <c r="D15" s="837" t="str">
        <f>IFERROR('Facility Master'!I16,"")</f>
        <v>INR</v>
      </c>
      <c r="E15" s="836" t="str">
        <f>IFERROR('Facility Master'!P16,"")</f>
        <v>FD rate</v>
      </c>
      <c r="F15" s="991">
        <f>IFERROR('Facility Master'!Q16*10000,0)</f>
        <v>25</v>
      </c>
      <c r="G15" s="840">
        <f>IFERROR('Facility Master'!R16,0)</f>
        <v>7.2500000000000009E-2</v>
      </c>
      <c r="H15" s="992" t="str">
        <f>IFERROR('Facility Master'!S16,"")</f>
        <v>Floating</v>
      </c>
    </row>
    <row r="16" spans="1:8" ht="18" customHeight="1" x14ac:dyDescent="0.3">
      <c r="A16" s="835">
        <v>13</v>
      </c>
      <c r="B16" s="836" t="str">
        <f>IFERROR('Facility Master'!B17,"")</f>
        <v>RBL Bank</v>
      </c>
      <c r="C16" s="836" t="str">
        <f>IFERROR('Facility Master'!C17,"")</f>
        <v>LC backed by 100% FD</v>
      </c>
      <c r="D16" s="837" t="str">
        <f>IFERROR('Facility Master'!I17,"")</f>
        <v>INR</v>
      </c>
      <c r="E16" s="836" t="str">
        <f>IFERROR('Facility Master'!P17,"")</f>
        <v>To be decided</v>
      </c>
      <c r="F16" s="991">
        <f>IFERROR('Facility Master'!Q17*10000,0)</f>
        <v>0</v>
      </c>
      <c r="G16" s="840">
        <f>IFERROR('Facility Master'!R17,0)</f>
        <v>0</v>
      </c>
      <c r="H16" s="992" t="str">
        <f>IFERROR('Facility Master'!S17,"")</f>
        <v>TBD</v>
      </c>
    </row>
    <row r="17" spans="1:8" ht="18" customHeight="1" x14ac:dyDescent="0.3">
      <c r="A17" s="722">
        <v>14</v>
      </c>
      <c r="B17" s="723" t="str">
        <f>IFERROR('Facility Master'!B18,"")</f>
        <v>RBL Bank</v>
      </c>
      <c r="C17" s="723" t="str">
        <f>IFERROR('Facility Master'!C18,"")</f>
        <v>Buyer's Credit from GIFT City - WC</v>
      </c>
      <c r="D17" s="724" t="str">
        <f>IFERROR('Facility Master'!I18,"")</f>
        <v>USD</v>
      </c>
      <c r="E17" s="723" t="str">
        <f>IFERROR('Facility Master'!P18,"")</f>
        <v>Term SOFR (USD)</v>
      </c>
      <c r="F17" s="987">
        <f>IFERROR('Facility Master'!Q18*10000,0)</f>
        <v>0</v>
      </c>
      <c r="G17" s="727">
        <f>IFERROR('Facility Master'!R18,0)</f>
        <v>4.2999999999999997E-2</v>
      </c>
      <c r="H17" s="988" t="str">
        <f>IFERROR('Facility Master'!S18,"")</f>
        <v>Floating</v>
      </c>
    </row>
    <row r="18" spans="1:8" ht="18" customHeight="1" x14ac:dyDescent="0.3">
      <c r="A18" s="722">
        <v>15</v>
      </c>
      <c r="B18" s="723" t="str">
        <f>IFERROR('Facility Master'!B19,"")</f>
        <v>RBL Bank</v>
      </c>
      <c r="C18" s="723" t="str">
        <f>IFERROR('Facility Master'!C19,"")</f>
        <v>Buyer's Credit from GIFT City - CAPEX</v>
      </c>
      <c r="D18" s="724" t="str">
        <f>IFERROR('Facility Master'!I19,"")</f>
        <v>USD</v>
      </c>
      <c r="E18" s="723" t="str">
        <f>IFERROR('Facility Master'!P19,"")</f>
        <v>Term SOFR (USD)</v>
      </c>
      <c r="F18" s="987">
        <f>IFERROR('Facility Master'!Q19*10000,0)</f>
        <v>0</v>
      </c>
      <c r="G18" s="727">
        <f>IFERROR('Facility Master'!R19,0)</f>
        <v>4.2999999999999997E-2</v>
      </c>
      <c r="H18" s="988" t="str">
        <f>IFERROR('Facility Master'!S19,"")</f>
        <v>Floating</v>
      </c>
    </row>
    <row r="19" spans="1:8" ht="18" customHeight="1" x14ac:dyDescent="0.3">
      <c r="A19" s="735">
        <v>16</v>
      </c>
      <c r="B19" s="736" t="str">
        <f>IFERROR('Facility Master'!B20,"")</f>
        <v>YES Bank</v>
      </c>
      <c r="C19" s="736" t="str">
        <f>IFERROR('Facility Master'!C20,"")</f>
        <v>Purchase Invoice Financing</v>
      </c>
      <c r="D19" s="737" t="str">
        <f>IFERROR('Facility Master'!I20,"")</f>
        <v>INR</v>
      </c>
      <c r="E19" s="736" t="str">
        <f>IFERROR('Facility Master'!P20,"")</f>
        <v>3M MCLR (YBL)</v>
      </c>
      <c r="F19" s="993">
        <f>IFERROR('Facility Master'!Q20*10000,0)</f>
        <v>50</v>
      </c>
      <c r="G19" s="740">
        <f>IFERROR('Facility Master'!R20,0)</f>
        <v>9.5000000000000001E-2</v>
      </c>
      <c r="H19" s="994" t="str">
        <f>IFERROR('Facility Master'!S20,"")</f>
        <v>TBD</v>
      </c>
    </row>
    <row r="20" spans="1:8" ht="18" customHeight="1" x14ac:dyDescent="0.3">
      <c r="A20" s="735">
        <v>17</v>
      </c>
      <c r="B20" s="736" t="str">
        <f>IFERROR('Facility Master'!B21,"")</f>
        <v>YES Bank</v>
      </c>
      <c r="C20" s="736" t="str">
        <f>IFERROR('Facility Master'!C21,"")</f>
        <v>Cash Credit</v>
      </c>
      <c r="D20" s="737" t="str">
        <f>IFERROR('Facility Master'!I21,"")</f>
        <v>INR</v>
      </c>
      <c r="E20" s="736" t="str">
        <f>IFERROR('Facility Master'!P21,"")</f>
        <v>3M MCLR (YBL)</v>
      </c>
      <c r="F20" s="993">
        <f>IFERROR('Facility Master'!Q21*10000,0)</f>
        <v>7</v>
      </c>
      <c r="G20" s="740">
        <f>IFERROR('Facility Master'!R21,0)</f>
        <v>9.0700000000000003E-2</v>
      </c>
      <c r="H20" s="994" t="str">
        <f>IFERROR('Facility Master'!S21,"")</f>
        <v>Floating</v>
      </c>
    </row>
    <row r="21" spans="1:8" ht="18" customHeight="1" x14ac:dyDescent="0.3">
      <c r="A21" s="735">
        <v>18</v>
      </c>
      <c r="B21" s="844" t="str">
        <f>IFERROR('Facility Master'!B22,"")</f>
        <v>YES Bank</v>
      </c>
      <c r="C21" s="844" t="str">
        <f>IFERROR('Facility Master'!C22,"")</f>
        <v>Letter of Credit</v>
      </c>
      <c r="D21" s="737" t="str">
        <f>IFERROR('Facility Master'!I22,"")</f>
        <v>INR</v>
      </c>
      <c r="E21" s="736" t="str">
        <f>IFERROR('Facility Master'!P22,"")</f>
        <v>Fixed commission</v>
      </c>
      <c r="F21" s="993">
        <f>IFERROR('Facility Master'!Q22*10000,0)</f>
        <v>0</v>
      </c>
      <c r="G21" s="740">
        <f>IFERROR('Facility Master'!R22,0)</f>
        <v>0</v>
      </c>
      <c r="H21" s="994" t="str">
        <f>IFERROR('Facility Master'!S22,"")</f>
        <v>Fixed</v>
      </c>
    </row>
    <row r="22" spans="1:8" ht="18" customHeight="1" x14ac:dyDescent="0.3">
      <c r="A22" s="735">
        <v>19</v>
      </c>
      <c r="B22" s="736" t="str">
        <f>IFERROR('Facility Master'!B23,"")</f>
        <v>YES Bank</v>
      </c>
      <c r="C22" s="736" t="str">
        <f>IFERROR('Facility Master'!C23,"")</f>
        <v>Financial BG / SBLC</v>
      </c>
      <c r="D22" s="737" t="str">
        <f>IFERROR('Facility Master'!I23,"")</f>
        <v>INR</v>
      </c>
      <c r="E22" s="736" t="str">
        <f>IFERROR('Facility Master'!P23,"")</f>
        <v>Fixed commission</v>
      </c>
      <c r="F22" s="993">
        <f>IFERROR('Facility Master'!Q23*10000,0)</f>
        <v>50</v>
      </c>
      <c r="G22" s="740">
        <f>IFERROR('Facility Master'!R23,0)</f>
        <v>5.0000000000000001E-3</v>
      </c>
      <c r="H22" s="994" t="str">
        <f>IFERROR('Facility Master'!S23,"")</f>
        <v>Fixed</v>
      </c>
    </row>
    <row r="23" spans="1:8" ht="18" customHeight="1" x14ac:dyDescent="0.3">
      <c r="A23" s="735">
        <v>20</v>
      </c>
      <c r="B23" s="736" t="str">
        <f>IFERROR('Facility Master'!B24,"")</f>
        <v>YES Bank</v>
      </c>
      <c r="C23" s="736" t="str">
        <f>IFERROR('Facility Master'!C24,"")</f>
        <v>Working Capital Demand Loan (WCDL)</v>
      </c>
      <c r="D23" s="737" t="str">
        <f>IFERROR('Facility Master'!I24,"")</f>
        <v>INR</v>
      </c>
      <c r="E23" s="736" t="str">
        <f>IFERROR('Facility Master'!P24,"")</f>
        <v>To be decided</v>
      </c>
      <c r="F23" s="993">
        <f>IFERROR('Facility Master'!Q24*10000,0)</f>
        <v>0</v>
      </c>
      <c r="G23" s="740">
        <f>IFERROR('Facility Master'!R24,0)</f>
        <v>0</v>
      </c>
      <c r="H23" s="994" t="str">
        <f>IFERROR('Facility Master'!S24,"")</f>
        <v>TBD</v>
      </c>
    </row>
    <row r="24" spans="1:8" ht="18" customHeight="1" x14ac:dyDescent="0.3">
      <c r="A24" s="735">
        <v>21</v>
      </c>
      <c r="B24" s="844" t="str">
        <f>IFERROR('Facility Master'!B25,"")</f>
        <v>YES Bank</v>
      </c>
      <c r="C24" s="844" t="str">
        <f>IFERROR('Facility Master'!C25,"")</f>
        <v>Term Loan (Refinance Canara)</v>
      </c>
      <c r="D24" s="737" t="str">
        <f>IFERROR('Facility Master'!I25,"")</f>
        <v>INR</v>
      </c>
      <c r="E24" s="736" t="str">
        <f>IFERROR('Facility Master'!P25,"")</f>
        <v>3M T-Bill</v>
      </c>
      <c r="F24" s="993">
        <f>IFERROR('Facility Master'!Q25*10000,0)</f>
        <v>252</v>
      </c>
      <c r="G24" s="740">
        <f>IFERROR('Facility Master'!R25,0)</f>
        <v>7.6999999999999999E-2</v>
      </c>
      <c r="H24" s="994" t="str">
        <f>IFERROR('Facility Master'!S25,"")</f>
        <v>Floating</v>
      </c>
    </row>
    <row r="25" spans="1:8" ht="18" customHeight="1" x14ac:dyDescent="0.3">
      <c r="A25" s="742">
        <v>22</v>
      </c>
      <c r="B25" s="848" t="str">
        <f>IFERROR('Facility Master'!B26,"")</f>
        <v>Bajaj Finance</v>
      </c>
      <c r="C25" s="848" t="str">
        <f>IFERROR('Facility Master'!C26,"")</f>
        <v>Term Loan</v>
      </c>
      <c r="D25" s="744" t="str">
        <f>IFERROR('Facility Master'!I26,"")</f>
        <v>INR</v>
      </c>
      <c r="E25" s="743" t="str">
        <f>IFERROR('Facility Master'!P26,"")</f>
        <v>Bajaj Floating Reference Rate (BFRR)</v>
      </c>
      <c r="F25" s="995">
        <f>IFERROR('Facility Master'!Q26*10000,0)</f>
        <v>10</v>
      </c>
      <c r="G25" s="747">
        <f>IFERROR('Facility Master'!R26,0)</f>
        <v>8.6000000000000007E-2</v>
      </c>
      <c r="H25" s="996" t="str">
        <f>IFERROR('Facility Master'!S26,"")</f>
        <v>Floating</v>
      </c>
    </row>
    <row r="26" spans="1:8" ht="18" customHeight="1" x14ac:dyDescent="0.3">
      <c r="A26" s="947">
        <v>23</v>
      </c>
      <c r="B26" s="948" t="str">
        <f>IFERROR('Facility Master'!B27,"")</f>
        <v>ICICI Bank</v>
      </c>
      <c r="C26" s="948" t="str">
        <f>IFERROR('Facility Master'!C27,"")</f>
        <v>Cash Credit</v>
      </c>
      <c r="D26" s="949" t="str">
        <f>IFERROR('Facility Master'!I27,"")</f>
        <v>INR</v>
      </c>
      <c r="E26" s="955" t="str">
        <f>IFERROR('Facility Master'!P27,"")</f>
        <v>6M I-MCLR (ICICI)</v>
      </c>
      <c r="F26" s="998">
        <f>IFERROR('Facility Master'!Q27*10000,0)</f>
        <v>45</v>
      </c>
      <c r="G26" s="952">
        <f>IFERROR('Facility Master'!R27,0)</f>
        <v>8.7500000000000008E-2</v>
      </c>
      <c r="H26" s="999" t="str">
        <f>IFERROR('Facility Master'!S27,"")</f>
        <v>Floating</v>
      </c>
    </row>
    <row r="27" spans="1:8" ht="18" customHeight="1" x14ac:dyDescent="0.3">
      <c r="A27" s="947">
        <v>24</v>
      </c>
      <c r="B27" s="955" t="str">
        <f>IFERROR('Facility Master'!B28,"")</f>
        <v>ICICI Bank</v>
      </c>
      <c r="C27" s="955" t="str">
        <f>IFERROR('Facility Master'!C28,"")</f>
        <v>Working Capital Demand Loan (WCDL)</v>
      </c>
      <c r="D27" s="949" t="str">
        <f>IFERROR('Facility Master'!I28,"")</f>
        <v>INR</v>
      </c>
      <c r="E27" s="955" t="str">
        <f>IFERROR('Facility Master'!P28,"")</f>
        <v>Repo Rate</v>
      </c>
      <c r="F27" s="998">
        <f>IFERROR('Facility Master'!Q28*10000,0)</f>
        <v>0</v>
      </c>
      <c r="G27" s="952">
        <f>IFERROR('Facility Master'!R28,0)</f>
        <v>5.2499999999999998E-2</v>
      </c>
      <c r="H27" s="999" t="str">
        <f>IFERROR('Facility Master'!S28,"")</f>
        <v>Floating</v>
      </c>
    </row>
    <row r="28" spans="1:8" ht="18" customHeight="1" x14ac:dyDescent="0.3">
      <c r="A28" s="947">
        <v>25</v>
      </c>
      <c r="B28" s="948" t="str">
        <f>IFERROR('Facility Master'!B29,"")</f>
        <v>ICICI Bank</v>
      </c>
      <c r="C28" s="948" t="str">
        <f>IFERROR('Facility Master'!C29,"")</f>
        <v>Letter of Credit (Inland/Foreign)</v>
      </c>
      <c r="D28" s="949" t="str">
        <f>IFERROR('Facility Master'!I29,"")</f>
        <v>INR</v>
      </c>
      <c r="E28" s="955" t="str">
        <f>IFERROR('Facility Master'!P29,"")</f>
        <v>Fixed commission</v>
      </c>
      <c r="F28" s="998">
        <f>IFERROR('Facility Master'!Q29*10000,0)</f>
        <v>50</v>
      </c>
      <c r="G28" s="952">
        <f>IFERROR('Facility Master'!R29,0)</f>
        <v>5.0000000000000001E-3</v>
      </c>
      <c r="H28" s="999" t="str">
        <f>IFERROR('Facility Master'!S29,"")</f>
        <v>Fixed</v>
      </c>
    </row>
    <row r="29" spans="1:8" ht="18" customHeight="1" x14ac:dyDescent="0.3">
      <c r="A29" s="947">
        <v>26</v>
      </c>
      <c r="B29" s="955" t="str">
        <f>IFERROR('Facility Master'!B30,"")</f>
        <v>ICICI Bank</v>
      </c>
      <c r="C29" s="955" t="str">
        <f>IFERROR('Facility Master'!C30,"")</f>
        <v>SBLC for Buyers' Credit</v>
      </c>
      <c r="D29" s="949" t="str">
        <f>IFERROR('Facility Master'!I30,"")</f>
        <v>INR</v>
      </c>
      <c r="E29" s="955" t="str">
        <f>IFERROR('Facility Master'!P30,"")</f>
        <v>Fixed commission</v>
      </c>
      <c r="F29" s="998">
        <f>IFERROR('Facility Master'!Q30*10000,0)</f>
        <v>50</v>
      </c>
      <c r="G29" s="952">
        <f>IFERROR('Facility Master'!R30,0)</f>
        <v>5.0000000000000001E-3</v>
      </c>
      <c r="H29" s="999" t="str">
        <f>IFERROR('Facility Master'!S30,"")</f>
        <v>Fixed</v>
      </c>
    </row>
    <row r="30" spans="1:8" ht="18" customHeight="1" x14ac:dyDescent="0.3">
      <c r="A30" s="947">
        <v>27</v>
      </c>
      <c r="B30" s="955" t="str">
        <f>IFERROR('Facility Master'!B31,"")</f>
        <v>ICICI Bank</v>
      </c>
      <c r="C30" s="955" t="str">
        <f>IFERROR('Facility Master'!C31,"")</f>
        <v>Bank Guarantee - Performance</v>
      </c>
      <c r="D30" s="949" t="str">
        <f>IFERROR('Facility Master'!I31,"")</f>
        <v>INR</v>
      </c>
      <c r="E30" s="955" t="str">
        <f>IFERROR('Facility Master'!P31,"")</f>
        <v>Fixed commission</v>
      </c>
      <c r="F30" s="998">
        <f>IFERROR('Facility Master'!Q31*10000,0)</f>
        <v>50</v>
      </c>
      <c r="G30" s="952">
        <f>IFERROR('Facility Master'!R31,0)</f>
        <v>5.0000000000000001E-3</v>
      </c>
      <c r="H30" s="999" t="str">
        <f>IFERROR('Facility Master'!S31,"")</f>
        <v>Fixed</v>
      </c>
    </row>
    <row r="31" spans="1:8" ht="18" customHeight="1" x14ac:dyDescent="0.3">
      <c r="A31" s="947">
        <v>28</v>
      </c>
      <c r="B31" s="955" t="str">
        <f>IFERROR('Facility Master'!B32,"")</f>
        <v>ICICI Bank</v>
      </c>
      <c r="C31" s="955" t="str">
        <f>IFERROR('Facility Master'!C32,"")</f>
        <v>Bank Guarantee - Financial</v>
      </c>
      <c r="D31" s="949" t="str">
        <f>IFERROR('Facility Master'!I32,"")</f>
        <v>INR</v>
      </c>
      <c r="E31" s="955" t="str">
        <f>IFERROR('Facility Master'!P32,"")</f>
        <v>Fixed commission</v>
      </c>
      <c r="F31" s="998">
        <f>IFERROR('Facility Master'!Q32*10000,0)</f>
        <v>60</v>
      </c>
      <c r="G31" s="952">
        <f>IFERROR('Facility Master'!R32,0)</f>
        <v>6.0000000000000001E-3</v>
      </c>
      <c r="H31" s="999" t="str">
        <f>IFERROR('Facility Master'!S32,"")</f>
        <v>Fixed</v>
      </c>
    </row>
    <row r="32" spans="1:8" ht="18" customHeight="1" x14ac:dyDescent="0.3">
      <c r="A32" s="749">
        <v>29</v>
      </c>
      <c r="B32" s="750" t="str">
        <f>IFERROR('Facility Master'!B33,"")</f>
        <v>South Indian Bank</v>
      </c>
      <c r="C32" s="750" t="str">
        <f>IFERROR('Facility Master'!C33,"")</f>
        <v>CCOL (Cash Credit)</v>
      </c>
      <c r="D32" s="751" t="str">
        <f>IFERROR('Facility Master'!I33,"")</f>
        <v>INR</v>
      </c>
      <c r="E32" s="750" t="str">
        <f>IFERROR('Facility Master'!P33,"")</f>
        <v>12M MCLR (SIB)</v>
      </c>
      <c r="F32" s="1000">
        <f>IFERROR('Facility Master'!Q33*10000,0)</f>
        <v>45</v>
      </c>
      <c r="G32" s="754">
        <f>IFERROR('Facility Master'!R33,0)</f>
        <v>0.10200000000000001</v>
      </c>
      <c r="H32" s="1001" t="str">
        <f>IFERROR('Facility Master'!S33,"")</f>
        <v>Floating</v>
      </c>
    </row>
    <row r="33" spans="1:8" ht="18" customHeight="1" x14ac:dyDescent="0.3">
      <c r="A33" s="749">
        <v>30</v>
      </c>
      <c r="B33" s="750" t="str">
        <f>IFERROR('Facility Master'!B34,"")</f>
        <v>South Indian Bank</v>
      </c>
      <c r="C33" s="750" t="str">
        <f>IFERROR('Facility Master'!C34,"")</f>
        <v>WCL / WCDL</v>
      </c>
      <c r="D33" s="751" t="str">
        <f>IFERROR('Facility Master'!I34,"")</f>
        <v>INR</v>
      </c>
      <c r="E33" s="750" t="str">
        <f>IFERROR('Facility Master'!P34,"")</f>
        <v>To be decided</v>
      </c>
      <c r="F33" s="1000">
        <f>IFERROR('Facility Master'!Q34*10000,0)</f>
        <v>0</v>
      </c>
      <c r="G33" s="754">
        <f>IFERROR('Facility Master'!R34,0)</f>
        <v>0</v>
      </c>
      <c r="H33" s="1001" t="str">
        <f>IFERROR('Facility Master'!S34,"")</f>
        <v>TBD</v>
      </c>
    </row>
    <row r="34" spans="1:8" ht="18" customHeight="1" x14ac:dyDescent="0.3">
      <c r="A34" s="749">
        <v>31</v>
      </c>
      <c r="B34" s="852" t="str">
        <f>IFERROR('Facility Master'!B35,"")</f>
        <v>South Indian Bank</v>
      </c>
      <c r="C34" s="852" t="str">
        <f>IFERROR('Facility Master'!C35,"")</f>
        <v>Inland / Import LC</v>
      </c>
      <c r="D34" s="751" t="str">
        <f>IFERROR('Facility Master'!I35,"")</f>
        <v>INR</v>
      </c>
      <c r="E34" s="750" t="str">
        <f>IFERROR('Facility Master'!P35,"")</f>
        <v>Fixed commission</v>
      </c>
      <c r="F34" s="1000">
        <f>IFERROR('Facility Master'!Q35*10000,0)</f>
        <v>65</v>
      </c>
      <c r="G34" s="754">
        <f>IFERROR('Facility Master'!R35,0)</f>
        <v>6.4999999999999997E-3</v>
      </c>
      <c r="H34" s="1001" t="str">
        <f>IFERROR('Facility Master'!S35,"")</f>
        <v>Fixed</v>
      </c>
    </row>
    <row r="35" spans="1:8" ht="18" customHeight="1" x14ac:dyDescent="0.3">
      <c r="A35" s="749">
        <v>32</v>
      </c>
      <c r="B35" s="750" t="str">
        <f>IFERROR('Facility Master'!B36,"")</f>
        <v>South Indian Bank</v>
      </c>
      <c r="C35" s="750" t="str">
        <f>IFERROR('Facility Master'!C36,"")</f>
        <v>Capex LC</v>
      </c>
      <c r="D35" s="751" t="str">
        <f>IFERROR('Facility Master'!I36,"")</f>
        <v>INR</v>
      </c>
      <c r="E35" s="750" t="str">
        <f>IFERROR('Facility Master'!P36,"")</f>
        <v>Fixed commission</v>
      </c>
      <c r="F35" s="1000">
        <f>IFERROR('Facility Master'!Q36*10000,0)</f>
        <v>75</v>
      </c>
      <c r="G35" s="754">
        <f>IFERROR('Facility Master'!R36,0)</f>
        <v>7.4999999999999997E-3</v>
      </c>
      <c r="H35" s="1001" t="str">
        <f>IFERROR('Facility Master'!S36,"")</f>
        <v>Fixed</v>
      </c>
    </row>
    <row r="36" spans="1:8" ht="18" customHeight="1" x14ac:dyDescent="0.3">
      <c r="A36" s="749">
        <v>33</v>
      </c>
      <c r="B36" s="750" t="str">
        <f>IFERROR('Facility Master'!B37,"")</f>
        <v>South Indian Bank</v>
      </c>
      <c r="C36" s="750" t="str">
        <f>IFERROR('Facility Master'!C37,"")</f>
        <v>SBLC</v>
      </c>
      <c r="D36" s="751" t="str">
        <f>IFERROR('Facility Master'!I37,"")</f>
        <v>INR</v>
      </c>
      <c r="E36" s="750" t="str">
        <f>IFERROR('Facility Master'!P37,"")</f>
        <v>Fixed commission</v>
      </c>
      <c r="F36" s="1000">
        <f>IFERROR('Facility Master'!Q37*10000,0)</f>
        <v>65</v>
      </c>
      <c r="G36" s="754">
        <f>IFERROR('Facility Master'!R37,0)</f>
        <v>6.4999999999999997E-3</v>
      </c>
      <c r="H36" s="1001" t="str">
        <f>IFERROR('Facility Master'!S37,"")</f>
        <v>Fixed</v>
      </c>
    </row>
    <row r="37" spans="1:8" ht="18" customHeight="1" x14ac:dyDescent="0.3">
      <c r="A37" s="856">
        <v>34</v>
      </c>
      <c r="B37" s="857" t="str">
        <f>IFERROR('Facility Master'!B38,"")</f>
        <v>South Indian Bank</v>
      </c>
      <c r="C37" s="857" t="str">
        <f>IFERROR('Facility Master'!C38,"")</f>
        <v>Forward Contract Limit</v>
      </c>
      <c r="D37" s="858" t="str">
        <f>IFERROR('Facility Master'!I38,"")</f>
        <v>INR</v>
      </c>
      <c r="E37" s="857" t="str">
        <f>IFERROR('Facility Master'!P38,"")</f>
        <v>N/A</v>
      </c>
      <c r="F37" s="1002">
        <f>IFERROR('Facility Master'!Q38*10000,0)</f>
        <v>0</v>
      </c>
      <c r="G37" s="861">
        <f>IFERROR('Facility Master'!R38,0)</f>
        <v>0</v>
      </c>
      <c r="H37" s="1003" t="str">
        <f>IFERROR('Facility Master'!S38,"")</f>
        <v>Fixed</v>
      </c>
    </row>
    <row r="38" spans="1:8" ht="7.95" customHeight="1" x14ac:dyDescent="0.3">
      <c r="A38" s="714"/>
      <c r="B38" s="714"/>
      <c r="C38" s="714"/>
      <c r="D38" s="714"/>
      <c r="E38" s="714"/>
      <c r="F38" s="714"/>
      <c r="G38" s="714"/>
      <c r="H38" s="714"/>
    </row>
    <row r="39" spans="1:8" ht="19.95" customHeight="1" x14ac:dyDescent="0.3">
      <c r="A39" s="763" t="s">
        <v>812</v>
      </c>
      <c r="B39" s="765"/>
      <c r="C39" s="715"/>
      <c r="D39" s="715"/>
      <c r="E39" s="715"/>
      <c r="F39" s="715"/>
      <c r="G39" s="715"/>
      <c r="H39" s="715"/>
    </row>
    <row r="40" spans="1:8" ht="18" customHeight="1" x14ac:dyDescent="0.3">
      <c r="A40" s="777" t="s">
        <v>305</v>
      </c>
      <c r="B40" s="1041">
        <f>COUNTIF(H4:H37,"Fixed")</f>
        <v>15</v>
      </c>
      <c r="C40" s="716"/>
      <c r="D40" s="716"/>
      <c r="E40" s="716"/>
      <c r="F40" s="716"/>
      <c r="G40" s="716"/>
      <c r="H40" s="716"/>
    </row>
    <row r="41" spans="1:8" ht="18" customHeight="1" x14ac:dyDescent="0.3">
      <c r="A41" s="777" t="s">
        <v>813</v>
      </c>
      <c r="B41" s="1042">
        <f>COUNTIF(H4:H37,"Floating")</f>
        <v>10</v>
      </c>
      <c r="C41" s="716"/>
      <c r="D41" s="716"/>
      <c r="E41" s="716"/>
      <c r="F41" s="716"/>
      <c r="G41" s="716"/>
      <c r="H41" s="716"/>
    </row>
    <row r="42" spans="1:8" ht="18" customHeight="1" x14ac:dyDescent="0.3">
      <c r="A42" s="777" t="s">
        <v>322</v>
      </c>
      <c r="B42" s="983">
        <f>COUNTIF(H4:H37,"TBD")</f>
        <v>6</v>
      </c>
      <c r="C42" s="716"/>
      <c r="D42" s="716"/>
      <c r="E42" s="716"/>
      <c r="F42" s="716"/>
      <c r="G42" s="716"/>
      <c r="H42" s="716"/>
    </row>
    <row r="43" spans="1:8" ht="18" customHeight="1" x14ac:dyDescent="0.3">
      <c r="A43" s="777" t="s">
        <v>317</v>
      </c>
      <c r="B43" s="1043">
        <f>COUNTIF(H4:H37,"Floating (Indicative)")</f>
        <v>3</v>
      </c>
      <c r="C43" s="716"/>
      <c r="D43" s="716"/>
      <c r="E43" s="716"/>
      <c r="F43" s="716"/>
      <c r="G43" s="716"/>
      <c r="H43" s="716"/>
    </row>
    <row r="44" spans="1:8" ht="18" customHeight="1" x14ac:dyDescent="0.3">
      <c r="A44" s="1044" t="s">
        <v>115</v>
      </c>
      <c r="B44" s="1045">
        <f>COUNTA(H4:H37)</f>
        <v>34</v>
      </c>
      <c r="C44" s="716"/>
      <c r="D44" s="716"/>
      <c r="E44" s="716"/>
      <c r="F44" s="716"/>
      <c r="G44" s="716"/>
      <c r="H44" s="716"/>
    </row>
  </sheetData>
  <conditionalFormatting sqref="G4:G37">
    <cfRule type="cellIs" dxfId="16" priority="5" operator="greaterThan">
      <formula>0.09</formula>
    </cfRule>
  </conditionalFormatting>
  <conditionalFormatting sqref="H4:H37">
    <cfRule type="cellIs" dxfId="15" priority="1" operator="equal">
      <formula>"Fixed"</formula>
    </cfRule>
    <cfRule type="cellIs" dxfId="14" priority="2" operator="equal">
      <formula>"Floating"</formula>
    </cfRule>
    <cfRule type="cellIs" dxfId="13" priority="3" operator="equal">
      <formula>"Floating (Indicative)"</formula>
    </cfRule>
    <cfRule type="cellIs" dxfId="12" priority="4" operator="equal">
      <formula>"TBD"</formula>
    </cfRule>
  </conditionalFormatting>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44546A"/>
  </sheetPr>
  <dimension ref="A1:G69"/>
  <sheetViews>
    <sheetView showGridLines="0" zoomScaleNormal="100" workbookViewId="0">
      <pane ySplit="4" topLeftCell="A5" activePane="bottomLeft" state="frozen"/>
      <selection pane="bottomLeft" activeCell="H7" sqref="H7"/>
    </sheetView>
  </sheetViews>
  <sheetFormatPr defaultColWidth="8.6640625" defaultRowHeight="14.4" x14ac:dyDescent="0.3"/>
  <cols>
    <col min="1" max="1" width="11.109375" customWidth="1"/>
    <col min="2" max="2" width="51.88671875" customWidth="1"/>
    <col min="3" max="4" width="14.77734375" customWidth="1"/>
    <col min="5" max="5" width="11.109375" customWidth="1"/>
    <col min="6" max="6" width="12" customWidth="1"/>
    <col min="7" max="7" width="13" customWidth="1"/>
  </cols>
  <sheetData>
    <row r="1" spans="1:7" ht="30" customHeight="1" x14ac:dyDescent="0.35">
      <c r="A1" s="713" t="s">
        <v>655</v>
      </c>
      <c r="B1" s="713"/>
      <c r="C1" s="713"/>
      <c r="D1" s="713"/>
      <c r="E1" s="713"/>
      <c r="F1" s="713"/>
      <c r="G1" s="713"/>
    </row>
    <row r="2" spans="1:7" ht="25.95" customHeight="1" x14ac:dyDescent="0.3">
      <c r="A2" s="1046" t="str">
        <f>IF(B68=0,IF(B67=0,"✓ MODEL INTEGRITY CONFIRMED — ALL CHECKS PASS",B67&amp;" non-critical check(s) for review"),"⚠ CRITICAL: "&amp;B68&amp;" integrity check(s) require attention")</f>
        <v>✓ MODEL INTEGRITY CONFIRMED — ALL CHECKS PASS</v>
      </c>
      <c r="B2" s="1046"/>
      <c r="C2" s="1046"/>
      <c r="D2" s="1046"/>
      <c r="E2" s="1046"/>
      <c r="F2" s="1046"/>
      <c r="G2" s="1046"/>
    </row>
    <row r="3" spans="1:7" ht="18" customHeight="1" x14ac:dyDescent="0.3">
      <c r="A3" s="327" t="s">
        <v>814</v>
      </c>
      <c r="B3" s="327"/>
      <c r="C3" s="327"/>
      <c r="D3" s="327"/>
      <c r="E3" s="327"/>
      <c r="F3" s="327"/>
      <c r="G3" s="327"/>
    </row>
    <row r="4" spans="1:7" ht="19.95" customHeight="1" x14ac:dyDescent="0.3">
      <c r="A4" s="763" t="s">
        <v>656</v>
      </c>
      <c r="B4" s="776" t="s">
        <v>52</v>
      </c>
      <c r="C4" s="776"/>
      <c r="D4" s="776"/>
      <c r="E4" s="776"/>
      <c r="F4" s="776"/>
      <c r="G4" s="1047"/>
    </row>
    <row r="5" spans="1:7" ht="18" customHeight="1" x14ac:dyDescent="0.3">
      <c r="A5" s="777" t="s">
        <v>164</v>
      </c>
      <c r="B5" s="1048" t="str">
        <f>IF(COUNTIFS(G13:G63,"Bucket",E13:E63,"FAIL")=0,IF(COUNTIFS(G13:G63,"Bucket")&gt;0,"PASS","—"),"FAIL")</f>
        <v>PASS</v>
      </c>
      <c r="C5" s="767"/>
      <c r="D5" s="767"/>
      <c r="E5" s="767"/>
      <c r="F5" s="767"/>
      <c r="G5" s="1016"/>
    </row>
    <row r="6" spans="1:7" ht="18" customHeight="1" x14ac:dyDescent="0.3">
      <c r="A6" s="777" t="s">
        <v>165</v>
      </c>
      <c r="B6" s="1048" t="str">
        <f>IF(COUNTIFS(G13:G63,"TL",E13:E63,"FAIL")=0,IF(COUNTIFS(G13:G63,"TL")&gt;0,"PASS","—"),"FAIL")</f>
        <v>PASS</v>
      </c>
      <c r="C6" s="767"/>
      <c r="D6" s="767"/>
      <c r="E6" s="767"/>
      <c r="F6" s="767"/>
      <c r="G6" s="1016"/>
    </row>
    <row r="7" spans="1:7" ht="18" customHeight="1" x14ac:dyDescent="0.3">
      <c r="A7" s="777" t="s">
        <v>166</v>
      </c>
      <c r="B7" s="1048" t="str">
        <f>IF(COUNTIFS(G13:G63,"Cov",E13:E63,"FAIL")=0,IF(COUNTIFS(G13:G63,"Cov")&gt;0,"PASS","—"),"FAIL")</f>
        <v>PASS</v>
      </c>
      <c r="C7" s="767"/>
      <c r="D7" s="767"/>
      <c r="E7" s="767"/>
      <c r="F7" s="767"/>
      <c r="G7" s="1016"/>
    </row>
    <row r="8" spans="1:7" ht="18" customHeight="1" x14ac:dyDescent="0.3">
      <c r="A8" s="777" t="s">
        <v>167</v>
      </c>
      <c r="B8" s="1048" t="str">
        <f>IF(COUNTIFS(G13:G63,"Inputs",E13:E63,"FAIL")=0,IF(COUNTIFS(G13:G63,"Inputs")&gt;0,"PASS","—"),"FAIL")</f>
        <v>PASS</v>
      </c>
      <c r="C8" s="767"/>
      <c r="D8" s="767"/>
      <c r="E8" s="767"/>
      <c r="F8" s="767"/>
      <c r="G8" s="1016"/>
    </row>
    <row r="9" spans="1:7" ht="18" customHeight="1" x14ac:dyDescent="0.3">
      <c r="A9" s="778" t="s">
        <v>168</v>
      </c>
      <c r="B9" s="1049" t="str">
        <f>IF(COUNTIFS(G13:G63,"FM",E13:E63,"FAIL")=0,IF(COUNTIFS(G13:G63,"FM")&gt;0,"PASS","—"),"FAIL")</f>
        <v>PASS</v>
      </c>
      <c r="C9" s="869"/>
      <c r="D9" s="869"/>
      <c r="E9" s="869"/>
      <c r="F9" s="869"/>
      <c r="G9" s="1017"/>
    </row>
    <row r="10" spans="1:7" ht="7.95" customHeight="1" x14ac:dyDescent="0.3">
      <c r="A10" s="714"/>
      <c r="B10" s="714"/>
      <c r="C10" s="714"/>
      <c r="D10" s="714"/>
      <c r="E10" s="714"/>
      <c r="F10" s="714"/>
      <c r="G10" s="714"/>
    </row>
    <row r="11" spans="1:7" ht="19.95" customHeight="1" x14ac:dyDescent="0.3">
      <c r="A11" s="1050" t="s">
        <v>657</v>
      </c>
      <c r="B11" s="1051"/>
      <c r="C11" s="1052"/>
      <c r="D11" s="1052"/>
      <c r="E11" s="1052"/>
      <c r="F11" s="1052"/>
      <c r="G11" s="1053"/>
    </row>
    <row r="12" spans="1:7" ht="15" customHeight="1" x14ac:dyDescent="0.3">
      <c r="A12" s="1054" t="s">
        <v>658</v>
      </c>
      <c r="B12" s="1055" t="s">
        <v>12</v>
      </c>
      <c r="C12" s="1055" t="s">
        <v>50</v>
      </c>
      <c r="D12" s="1055" t="s">
        <v>51</v>
      </c>
      <c r="E12" s="1055" t="s">
        <v>52</v>
      </c>
      <c r="F12" s="1055" t="s">
        <v>659</v>
      </c>
      <c r="G12" s="1056" t="s">
        <v>53</v>
      </c>
    </row>
    <row r="13" spans="1:7" ht="18" customHeight="1" x14ac:dyDescent="0.3">
      <c r="A13" s="1057" t="s">
        <v>660</v>
      </c>
      <c r="B13" s="1058" t="s">
        <v>661</v>
      </c>
      <c r="C13" s="1059">
        <v>34</v>
      </c>
      <c r="D13" s="1059">
        <f>COUNTIF('Facility Master'!A5:A38,"&gt;0")</f>
        <v>34</v>
      </c>
      <c r="E13" s="1059" t="str">
        <f t="shared" ref="E13:E26" si="0">IFERROR(IF(ABS(D13-C13)&lt;0.5,"PASS","FAIL"),"FAIL")</f>
        <v>PASS</v>
      </c>
      <c r="F13" s="1059" t="s">
        <v>662</v>
      </c>
      <c r="G13" s="1060" t="s">
        <v>663</v>
      </c>
    </row>
    <row r="14" spans="1:7" ht="18" customHeight="1" x14ac:dyDescent="0.3">
      <c r="A14" s="1057" t="s">
        <v>664</v>
      </c>
      <c r="B14" s="1058" t="s">
        <v>665</v>
      </c>
      <c r="C14" s="1059">
        <v>24</v>
      </c>
      <c r="D14" s="1059">
        <f>COUNTIF('Facility Master'!F5:F38,TRUE())</f>
        <v>24</v>
      </c>
      <c r="E14" s="1059" t="str">
        <f t="shared" si="0"/>
        <v>PASS</v>
      </c>
      <c r="F14" s="1059" t="s">
        <v>666</v>
      </c>
      <c r="G14" s="1060" t="s">
        <v>663</v>
      </c>
    </row>
    <row r="15" spans="1:7" ht="18" customHeight="1" x14ac:dyDescent="0.3">
      <c r="A15" s="1057" t="s">
        <v>667</v>
      </c>
      <c r="B15" s="1058" t="s">
        <v>668</v>
      </c>
      <c r="C15" s="1059">
        <v>4</v>
      </c>
      <c r="D15" s="1059">
        <f>COUNTIF('Facility Master'!H5:H38,1)</f>
        <v>4</v>
      </c>
      <c r="E15" s="1059" t="str">
        <f t="shared" si="0"/>
        <v>PASS</v>
      </c>
      <c r="F15" s="1059" t="s">
        <v>662</v>
      </c>
      <c r="G15" s="1060" t="s">
        <v>663</v>
      </c>
    </row>
    <row r="16" spans="1:7" ht="18" customHeight="1" x14ac:dyDescent="0.3">
      <c r="A16" s="1057" t="s">
        <v>669</v>
      </c>
      <c r="B16" s="1058" t="s">
        <v>670</v>
      </c>
      <c r="C16" s="1059">
        <v>4</v>
      </c>
      <c r="D16" s="1059">
        <f>COUNTIF('Facility Master'!H5:H38,2)</f>
        <v>4</v>
      </c>
      <c r="E16" s="1059" t="str">
        <f t="shared" si="0"/>
        <v>PASS</v>
      </c>
      <c r="F16" s="1059" t="s">
        <v>662</v>
      </c>
      <c r="G16" s="1060" t="s">
        <v>663</v>
      </c>
    </row>
    <row r="17" spans="1:7" ht="18" customHeight="1" x14ac:dyDescent="0.3">
      <c r="A17" s="1057" t="s">
        <v>671</v>
      </c>
      <c r="B17" s="1058" t="s">
        <v>672</v>
      </c>
      <c r="C17" s="1059">
        <v>1</v>
      </c>
      <c r="D17" s="1059">
        <f>COUNTIF('Facility Master'!H5:H38,3)</f>
        <v>1</v>
      </c>
      <c r="E17" s="1059" t="str">
        <f t="shared" si="0"/>
        <v>PASS</v>
      </c>
      <c r="F17" s="1059" t="s">
        <v>662</v>
      </c>
      <c r="G17" s="1060" t="s">
        <v>663</v>
      </c>
    </row>
    <row r="18" spans="1:7" ht="18" customHeight="1" x14ac:dyDescent="0.3">
      <c r="A18" s="1057" t="s">
        <v>673</v>
      </c>
      <c r="B18" s="1058" t="s">
        <v>674</v>
      </c>
      <c r="C18" s="1059">
        <v>5</v>
      </c>
      <c r="D18" s="1059">
        <f t="array" ref="D18">SUMPRODUCT(1/COUNTIF('Facility Master'!B5:B38,'Facility Master'!B5:B38&amp;""))</f>
        <v>5.0000000000000009</v>
      </c>
      <c r="E18" s="1059" t="str">
        <f t="shared" si="0"/>
        <v>PASS</v>
      </c>
      <c r="F18" s="1059" t="s">
        <v>662</v>
      </c>
      <c r="G18" s="1060" t="s">
        <v>663</v>
      </c>
    </row>
    <row r="19" spans="1:7" ht="18" customHeight="1" x14ac:dyDescent="0.3">
      <c r="A19" s="1057" t="s">
        <v>675</v>
      </c>
      <c r="B19" s="1058" t="s">
        <v>676</v>
      </c>
      <c r="C19" s="1059">
        <v>0</v>
      </c>
      <c r="D19" s="1059">
        <f t="array" ref="D19">SUMPRODUCT(('Facility Master'!M5:M38&gt;'Facility Master'!K5:K38)*1)</f>
        <v>0</v>
      </c>
      <c r="E19" s="1059" t="str">
        <f t="shared" si="0"/>
        <v>PASS</v>
      </c>
      <c r="F19" s="1059" t="s">
        <v>666</v>
      </c>
      <c r="G19" s="1060" t="s">
        <v>663</v>
      </c>
    </row>
    <row r="20" spans="1:7" ht="18" customHeight="1" x14ac:dyDescent="0.3">
      <c r="A20" s="1057" t="s">
        <v>677</v>
      </c>
      <c r="B20" s="1058" t="s">
        <v>678</v>
      </c>
      <c r="C20" s="1059">
        <v>0</v>
      </c>
      <c r="D20" s="1059">
        <f t="array" ref="D20">SUMPRODUCT(('Facility Master'!D5:D38="FB-Term")*('Facility Master'!Z5:Z38&lt;'Facility Master'!X5:X38))</f>
        <v>0</v>
      </c>
      <c r="E20" s="1059" t="str">
        <f t="shared" si="0"/>
        <v>PASS</v>
      </c>
      <c r="F20" s="1059" t="s">
        <v>662</v>
      </c>
      <c r="G20" s="1060" t="s">
        <v>663</v>
      </c>
    </row>
    <row r="21" spans="1:7" ht="18" customHeight="1" x14ac:dyDescent="0.3">
      <c r="A21" s="1057" t="s">
        <v>679</v>
      </c>
      <c r="B21" s="1058" t="s">
        <v>680</v>
      </c>
      <c r="C21" s="1059">
        <v>1320.7</v>
      </c>
      <c r="D21" s="1059">
        <f>SanctionedDebt</f>
        <v>1320.7</v>
      </c>
      <c r="E21" s="1059" t="str">
        <f t="shared" si="0"/>
        <v>PASS</v>
      </c>
      <c r="F21" s="1059" t="s">
        <v>662</v>
      </c>
      <c r="G21" s="1060" t="s">
        <v>150</v>
      </c>
    </row>
    <row r="22" spans="1:7" ht="18" customHeight="1" x14ac:dyDescent="0.3">
      <c r="A22" s="1057" t="s">
        <v>681</v>
      </c>
      <c r="B22" s="1058" t="s">
        <v>682</v>
      </c>
      <c r="C22" s="1059">
        <v>720.7</v>
      </c>
      <c r="D22" s="1059">
        <f>FBMainsTotal</f>
        <v>720.7</v>
      </c>
      <c r="E22" s="1059" t="str">
        <f t="shared" si="0"/>
        <v>PASS</v>
      </c>
      <c r="F22" s="1059" t="s">
        <v>662</v>
      </c>
      <c r="G22" s="1060" t="s">
        <v>150</v>
      </c>
    </row>
    <row r="23" spans="1:7" ht="18" customHeight="1" x14ac:dyDescent="0.3">
      <c r="A23" s="1057" t="s">
        <v>683</v>
      </c>
      <c r="B23" s="1058" t="s">
        <v>684</v>
      </c>
      <c r="C23" s="1059">
        <v>600</v>
      </c>
      <c r="D23" s="1059">
        <f>NFBMainsTotal</f>
        <v>600</v>
      </c>
      <c r="E23" s="1059" t="str">
        <f t="shared" si="0"/>
        <v>PASS</v>
      </c>
      <c r="F23" s="1059" t="s">
        <v>662</v>
      </c>
      <c r="G23" s="1060" t="s">
        <v>150</v>
      </c>
    </row>
    <row r="24" spans="1:7" ht="18" customHeight="1" x14ac:dyDescent="0.3">
      <c r="A24" s="1057" t="s">
        <v>685</v>
      </c>
      <c r="B24" s="1058" t="s">
        <v>686</v>
      </c>
      <c r="C24" s="1059">
        <v>815</v>
      </c>
      <c r="D24" s="1059">
        <f>NFBContingent</f>
        <v>815</v>
      </c>
      <c r="E24" s="1059" t="str">
        <f t="shared" si="0"/>
        <v>PASS</v>
      </c>
      <c r="F24" s="1059" t="s">
        <v>662</v>
      </c>
      <c r="G24" s="1060" t="s">
        <v>150</v>
      </c>
    </row>
    <row r="25" spans="1:7" ht="18" customHeight="1" x14ac:dyDescent="0.3">
      <c r="A25" s="1057" t="s">
        <v>687</v>
      </c>
      <c r="B25" s="1058" t="s">
        <v>688</v>
      </c>
      <c r="C25" s="1059">
        <v>100</v>
      </c>
      <c r="D25" s="1059">
        <f>FDBackedTotal</f>
        <v>100</v>
      </c>
      <c r="E25" s="1059" t="str">
        <f t="shared" si="0"/>
        <v>PASS</v>
      </c>
      <c r="F25" s="1059" t="s">
        <v>662</v>
      </c>
      <c r="G25" s="1060" t="s">
        <v>150</v>
      </c>
    </row>
    <row r="26" spans="1:7" ht="18" customHeight="1" x14ac:dyDescent="0.3">
      <c r="A26" s="1057" t="s">
        <v>689</v>
      </c>
      <c r="B26" s="1058" t="s">
        <v>690</v>
      </c>
      <c r="C26" s="1059">
        <v>23</v>
      </c>
      <c r="D26" s="1059">
        <f>HedgeNotionalTotal</f>
        <v>23</v>
      </c>
      <c r="E26" s="1059" t="str">
        <f t="shared" si="0"/>
        <v>PASS</v>
      </c>
      <c r="F26" s="1059" t="s">
        <v>662</v>
      </c>
      <c r="G26" s="1060" t="s">
        <v>150</v>
      </c>
    </row>
    <row r="27" spans="1:7" ht="18" customHeight="1" x14ac:dyDescent="0.3">
      <c r="A27" s="1057" t="s">
        <v>691</v>
      </c>
      <c r="B27" s="1058" t="s">
        <v>692</v>
      </c>
      <c r="C27" s="1059">
        <v>0</v>
      </c>
      <c r="D27" s="1059">
        <f>ABS(SUM('Facility Master'!K5:K38)-(SanctionedDebt+FDBackedTotal+SUMIFS('Facility Master'!K:K,'Facility Master'!H:H,0)))</f>
        <v>0</v>
      </c>
      <c r="E27" s="1059" t="str">
        <f>IF(D27&lt;0.5,"PASS","FAIL")</f>
        <v>PASS</v>
      </c>
      <c r="F27" s="1059" t="s">
        <v>662</v>
      </c>
      <c r="G27" s="1060" t="s">
        <v>693</v>
      </c>
    </row>
    <row r="28" spans="1:7" ht="18" customHeight="1" x14ac:dyDescent="0.3">
      <c r="A28" s="1057" t="s">
        <v>694</v>
      </c>
      <c r="B28" s="1058" t="s">
        <v>695</v>
      </c>
      <c r="C28" s="1059">
        <v>320.7</v>
      </c>
      <c r="D28" s="1059">
        <f t="array" ref="D28">IFERROR(SUMPRODUCT('Facility Master'!K5:K38*('Facility Master'!A5:A38=YBL_TL_SNo)),0)</f>
        <v>320.7</v>
      </c>
      <c r="E28" s="1059" t="str">
        <f t="shared" ref="E28:E45" si="1">IFERROR(IF(ABS(D28-C28)&lt;0.5,"PASS","FAIL"),"FAIL")</f>
        <v>PASS</v>
      </c>
      <c r="F28" s="1059" t="s">
        <v>662</v>
      </c>
      <c r="G28" s="1060" t="s">
        <v>693</v>
      </c>
    </row>
    <row r="29" spans="1:7" ht="18" customHeight="1" x14ac:dyDescent="0.3">
      <c r="A29" s="1057" t="s">
        <v>696</v>
      </c>
      <c r="B29" s="1058" t="s">
        <v>697</v>
      </c>
      <c r="C29" s="1059">
        <v>150</v>
      </c>
      <c r="D29" s="1059">
        <f t="array" ref="D29">IFERROR(SUMPRODUCT('Facility Master'!K5:K38*('Facility Master'!A5:A38=Bajaj_TL_SNo)),0)</f>
        <v>150</v>
      </c>
      <c r="E29" s="1059" t="str">
        <f t="shared" si="1"/>
        <v>PASS</v>
      </c>
      <c r="F29" s="1059" t="s">
        <v>662</v>
      </c>
      <c r="G29" s="1060" t="s">
        <v>693</v>
      </c>
    </row>
    <row r="30" spans="1:7" ht="18" customHeight="1" x14ac:dyDescent="0.3">
      <c r="A30" s="1057" t="s">
        <v>698</v>
      </c>
      <c r="B30" s="1058" t="s">
        <v>699</v>
      </c>
      <c r="C30" s="1059">
        <v>470.7</v>
      </c>
      <c r="D30" s="1059">
        <f>'Repayment Schedule'!B64</f>
        <v>470.7</v>
      </c>
      <c r="E30" s="1059" t="str">
        <f t="shared" si="1"/>
        <v>PASS</v>
      </c>
      <c r="F30" s="1059" t="s">
        <v>662</v>
      </c>
      <c r="G30" s="1060" t="s">
        <v>693</v>
      </c>
    </row>
    <row r="31" spans="1:7" ht="18" customHeight="1" x14ac:dyDescent="0.3">
      <c r="A31" s="1057" t="s">
        <v>700</v>
      </c>
      <c r="B31" s="1058" t="s">
        <v>701</v>
      </c>
      <c r="C31" s="1059">
        <v>24</v>
      </c>
      <c r="D31" s="1059">
        <f>CovenantCount</f>
        <v>24</v>
      </c>
      <c r="E31" s="1059" t="str">
        <f t="shared" si="1"/>
        <v>PASS</v>
      </c>
      <c r="F31" s="1059" t="s">
        <v>662</v>
      </c>
      <c r="G31" s="1060" t="s">
        <v>702</v>
      </c>
    </row>
    <row r="32" spans="1:7" ht="18" customHeight="1" x14ac:dyDescent="0.3">
      <c r="A32" s="1057" t="s">
        <v>703</v>
      </c>
      <c r="B32" s="1058" t="s">
        <v>704</v>
      </c>
      <c r="C32" s="1059">
        <v>1</v>
      </c>
      <c r="D32" s="1059">
        <f>IF(EBITDA_Active&gt;0,1,0)</f>
        <v>1</v>
      </c>
      <c r="E32" s="1059" t="str">
        <f t="shared" si="1"/>
        <v>PASS</v>
      </c>
      <c r="F32" s="1059" t="s">
        <v>666</v>
      </c>
      <c r="G32" s="1060" t="s">
        <v>705</v>
      </c>
    </row>
    <row r="33" spans="1:7" ht="18" customHeight="1" x14ac:dyDescent="0.3">
      <c r="A33" s="1057" t="s">
        <v>706</v>
      </c>
      <c r="B33" s="1058" t="s">
        <v>707</v>
      </c>
      <c r="C33" s="1059">
        <v>1</v>
      </c>
      <c r="D33" s="1059">
        <f>IF(TotalDebt_Active&gt;0,1,0)</f>
        <v>1</v>
      </c>
      <c r="E33" s="1059" t="str">
        <f t="shared" si="1"/>
        <v>PASS</v>
      </c>
      <c r="F33" s="1059" t="s">
        <v>666</v>
      </c>
      <c r="G33" s="1060" t="s">
        <v>705</v>
      </c>
    </row>
    <row r="34" spans="1:7" ht="18" customHeight="1" x14ac:dyDescent="0.3">
      <c r="A34" s="1057" t="s">
        <v>708</v>
      </c>
      <c r="B34" s="1058" t="s">
        <v>709</v>
      </c>
      <c r="C34" s="1059">
        <v>1</v>
      </c>
      <c r="D34" s="1059">
        <f>IF(TNW_Active&gt;0,1,0)</f>
        <v>1</v>
      </c>
      <c r="E34" s="1059" t="str">
        <f t="shared" si="1"/>
        <v>PASS</v>
      </c>
      <c r="F34" s="1059" t="s">
        <v>666</v>
      </c>
      <c r="G34" s="1060" t="s">
        <v>705</v>
      </c>
    </row>
    <row r="35" spans="1:7" ht="18" customHeight="1" x14ac:dyDescent="0.3">
      <c r="A35" s="1057" t="s">
        <v>710</v>
      </c>
      <c r="B35" s="1058" t="s">
        <v>711</v>
      </c>
      <c r="C35" s="1059">
        <v>1</v>
      </c>
      <c r="D35" s="1059">
        <f>IF(AsOfDate&gt;0,1,0)</f>
        <v>1</v>
      </c>
      <c r="E35" s="1059" t="str">
        <f t="shared" si="1"/>
        <v>PASS</v>
      </c>
      <c r="F35" s="1059" t="s">
        <v>662</v>
      </c>
      <c r="G35" s="1060" t="s">
        <v>705</v>
      </c>
    </row>
    <row r="36" spans="1:7" ht="18" customHeight="1" x14ac:dyDescent="0.3">
      <c r="A36" s="1057" t="s">
        <v>712</v>
      </c>
      <c r="B36" s="1058" t="s">
        <v>713</v>
      </c>
      <c r="C36" s="1059">
        <v>1</v>
      </c>
      <c r="D36" s="1059">
        <f>IF(FX_USD_INR&gt;0,1,0)</f>
        <v>1</v>
      </c>
      <c r="E36" s="1059" t="str">
        <f t="shared" si="1"/>
        <v>PASS</v>
      </c>
      <c r="F36" s="1059" t="s">
        <v>662</v>
      </c>
      <c r="G36" s="1060" t="s">
        <v>705</v>
      </c>
    </row>
    <row r="37" spans="1:7" ht="18" customHeight="1" x14ac:dyDescent="0.3">
      <c r="A37" s="1057" t="s">
        <v>714</v>
      </c>
      <c r="B37" s="1058" t="s">
        <v>715</v>
      </c>
      <c r="C37" s="1059">
        <v>1</v>
      </c>
      <c r="D37" s="1059">
        <f>IF(DaysInYear&gt;0,1,0)</f>
        <v>1</v>
      </c>
      <c r="E37" s="1059" t="str">
        <f t="shared" si="1"/>
        <v>PASS</v>
      </c>
      <c r="F37" s="1059" t="s">
        <v>666</v>
      </c>
      <c r="G37" s="1060" t="s">
        <v>705</v>
      </c>
    </row>
    <row r="38" spans="1:7" ht="18" customHeight="1" x14ac:dyDescent="0.3">
      <c r="A38" s="1057" t="s">
        <v>716</v>
      </c>
      <c r="B38" s="1058" t="s">
        <v>717</v>
      </c>
      <c r="C38" s="1059">
        <v>0</v>
      </c>
      <c r="D38" s="1059">
        <f>COUNTIFS('Facility Master'!H5:H38,"")</f>
        <v>0</v>
      </c>
      <c r="E38" s="1059" t="str">
        <f t="shared" si="1"/>
        <v>PASS</v>
      </c>
      <c r="F38" s="1059" t="s">
        <v>662</v>
      </c>
      <c r="G38" s="1060" t="s">
        <v>718</v>
      </c>
    </row>
    <row r="39" spans="1:7" ht="18" customHeight="1" x14ac:dyDescent="0.3">
      <c r="A39" s="1057" t="s">
        <v>719</v>
      </c>
      <c r="B39" s="1058" t="s">
        <v>720</v>
      </c>
      <c r="C39" s="1059">
        <v>34</v>
      </c>
      <c r="D39" s="1059">
        <f>COUNTIF('Facility Master'!F5:F38,TRUE())+COUNTIF('Facility Master'!H5:H38,1)+COUNTIF('Facility Master'!H5:H38,2)+COUNTIF('Facility Master'!H5:H38,3)+COUNTIFS('Facility Master'!F5:F38,FALSE(),'Facility Master'!H5:H38,0)</f>
        <v>34</v>
      </c>
      <c r="E39" s="1059" t="str">
        <f t="shared" si="1"/>
        <v>PASS</v>
      </c>
      <c r="F39" s="1059" t="s">
        <v>662</v>
      </c>
      <c r="G39" s="1060" t="s">
        <v>718</v>
      </c>
    </row>
    <row r="40" spans="1:7" ht="18" customHeight="1" x14ac:dyDescent="0.3">
      <c r="A40" s="1057" t="s">
        <v>721</v>
      </c>
      <c r="B40" s="1058" t="s">
        <v>722</v>
      </c>
      <c r="C40" s="1059">
        <v>0</v>
      </c>
      <c r="D40" s="1059">
        <f t="array" ref="D40">SUMPRODUCT(('Facility Master'!F5:F38=TRUE())*('Facility Master'!H5:H38&gt;0))</f>
        <v>0</v>
      </c>
      <c r="E40" s="1059" t="str">
        <f t="shared" si="1"/>
        <v>PASS</v>
      </c>
      <c r="F40" s="1059" t="s">
        <v>662</v>
      </c>
      <c r="G40" s="1060" t="s">
        <v>718</v>
      </c>
    </row>
    <row r="41" spans="1:7" ht="18" customHeight="1" x14ac:dyDescent="0.3">
      <c r="A41" s="1057" t="s">
        <v>723</v>
      </c>
      <c r="B41" s="1058" t="s">
        <v>724</v>
      </c>
      <c r="C41" s="1059">
        <v>300</v>
      </c>
      <c r="D41" s="1059">
        <f>'Lender Summary'!D5</f>
        <v>300</v>
      </c>
      <c r="E41" s="1059" t="str">
        <f t="shared" si="1"/>
        <v>PASS</v>
      </c>
      <c r="F41" s="1059" t="s">
        <v>666</v>
      </c>
      <c r="G41" s="1060" t="s">
        <v>725</v>
      </c>
    </row>
    <row r="42" spans="1:7" ht="18" customHeight="1" x14ac:dyDescent="0.3">
      <c r="A42" s="1057" t="s">
        <v>726</v>
      </c>
      <c r="B42" s="1058" t="s">
        <v>727</v>
      </c>
      <c r="C42" s="1059">
        <v>520.70000000000005</v>
      </c>
      <c r="D42" s="1059">
        <f>'Lender Summary'!D6</f>
        <v>520.70000000000005</v>
      </c>
      <c r="E42" s="1059" t="str">
        <f t="shared" si="1"/>
        <v>PASS</v>
      </c>
      <c r="F42" s="1059" t="s">
        <v>666</v>
      </c>
      <c r="G42" s="1060" t="s">
        <v>725</v>
      </c>
    </row>
    <row r="43" spans="1:7" ht="18" customHeight="1" x14ac:dyDescent="0.3">
      <c r="A43" s="1057" t="s">
        <v>728</v>
      </c>
      <c r="B43" s="1058" t="s">
        <v>729</v>
      </c>
      <c r="C43" s="1059">
        <v>200</v>
      </c>
      <c r="D43" s="1059">
        <f>'Lender Summary'!D8</f>
        <v>200</v>
      </c>
      <c r="E43" s="1059" t="str">
        <f t="shared" si="1"/>
        <v>PASS</v>
      </c>
      <c r="F43" s="1059" t="s">
        <v>666</v>
      </c>
      <c r="G43" s="1060" t="s">
        <v>725</v>
      </c>
    </row>
    <row r="44" spans="1:7" ht="18" customHeight="1" x14ac:dyDescent="0.3">
      <c r="A44" s="1057" t="s">
        <v>730</v>
      </c>
      <c r="B44" s="1058" t="s">
        <v>731</v>
      </c>
      <c r="C44" s="1059">
        <v>150</v>
      </c>
      <c r="D44" s="1059">
        <f>'Lender Summary'!D9</f>
        <v>150</v>
      </c>
      <c r="E44" s="1059" t="str">
        <f t="shared" si="1"/>
        <v>PASS</v>
      </c>
      <c r="F44" s="1059" t="s">
        <v>666</v>
      </c>
      <c r="G44" s="1060" t="s">
        <v>725</v>
      </c>
    </row>
    <row r="45" spans="1:7" ht="18" customHeight="1" x14ac:dyDescent="0.3">
      <c r="A45" s="1057" t="s">
        <v>732</v>
      </c>
      <c r="B45" s="1058" t="s">
        <v>733</v>
      </c>
      <c r="C45" s="1059">
        <v>150</v>
      </c>
      <c r="D45" s="1059">
        <f>'Lender Summary'!D7</f>
        <v>150</v>
      </c>
      <c r="E45" s="1059" t="str">
        <f t="shared" si="1"/>
        <v>PASS</v>
      </c>
      <c r="F45" s="1059" t="s">
        <v>666</v>
      </c>
      <c r="G45" s="1060" t="s">
        <v>725</v>
      </c>
    </row>
    <row r="46" spans="1:7" ht="18" customHeight="1" x14ac:dyDescent="0.3">
      <c r="A46" s="1057" t="s">
        <v>734</v>
      </c>
      <c r="B46" s="1058" t="s">
        <v>735</v>
      </c>
      <c r="C46" s="1059">
        <v>0</v>
      </c>
      <c r="D46" s="1059">
        <f>SUMPRODUCT(('Facility Master'!D5:D38="FB")*('Facility Master'!F5:F38=TRUE())*('Facility Master'!H5:H38=1))</f>
        <v>0</v>
      </c>
      <c r="E46" s="1059" t="str">
        <f>IF(D46=0,"PASS","FAIL")</f>
        <v>PASS</v>
      </c>
      <c r="F46" s="1059" t="s">
        <v>666</v>
      </c>
      <c r="G46" s="1060" t="s">
        <v>725</v>
      </c>
    </row>
    <row r="47" spans="1:7" ht="18" customHeight="1" x14ac:dyDescent="0.3">
      <c r="A47" s="1057" t="s">
        <v>736</v>
      </c>
      <c r="B47" s="1058" t="s">
        <v>737</v>
      </c>
      <c r="C47" s="1059">
        <v>0</v>
      </c>
      <c r="D47" s="1059">
        <f>SUMPRODUCT(('Facility Master'!D5:D38="NFB")*('Facility Master'!F5:F38=TRUE())*('Facility Master'!H5:H38=2))</f>
        <v>0</v>
      </c>
      <c r="E47" s="1059" t="str">
        <f>IF(D47=0,"PASS","FAIL")</f>
        <v>PASS</v>
      </c>
      <c r="F47" s="1059" t="s">
        <v>666</v>
      </c>
      <c r="G47" s="1060" t="s">
        <v>725</v>
      </c>
    </row>
    <row r="48" spans="1:7" ht="18" customHeight="1" x14ac:dyDescent="0.3">
      <c r="A48" s="1057" t="s">
        <v>738</v>
      </c>
      <c r="B48" s="1058" t="s">
        <v>739</v>
      </c>
      <c r="C48" s="1059">
        <v>720.7</v>
      </c>
      <c r="D48" s="1059">
        <f>FBMainsTotal</f>
        <v>720.7</v>
      </c>
      <c r="E48" s="1059" t="str">
        <f t="shared" ref="E48:E63" si="2">IFERROR(IF(ABS(D48-C48)&lt;0.5,"PASS","FAIL"),"FAIL")</f>
        <v>PASS</v>
      </c>
      <c r="F48" s="1059" t="s">
        <v>666</v>
      </c>
      <c r="G48" s="1060" t="s">
        <v>150</v>
      </c>
    </row>
    <row r="49" spans="1:7" ht="18" customHeight="1" x14ac:dyDescent="0.3">
      <c r="A49" s="1057" t="s">
        <v>740</v>
      </c>
      <c r="B49" s="1058" t="s">
        <v>741</v>
      </c>
      <c r="C49" s="1059">
        <v>47208</v>
      </c>
      <c r="D49" s="1059">
        <f>RBL_TL_Maturity</f>
        <v>47208</v>
      </c>
      <c r="E49" s="1059" t="str">
        <f t="shared" si="2"/>
        <v>PASS</v>
      </c>
      <c r="F49" s="1059" t="s">
        <v>742</v>
      </c>
      <c r="G49" s="1060" t="s">
        <v>743</v>
      </c>
    </row>
    <row r="50" spans="1:7" ht="18" customHeight="1" x14ac:dyDescent="0.3">
      <c r="A50" s="1057" t="s">
        <v>744</v>
      </c>
      <c r="B50" s="1058" t="s">
        <v>792</v>
      </c>
      <c r="C50" s="1059">
        <v>45838</v>
      </c>
      <c r="D50" s="1059">
        <f>YBL_TL_RepStart</f>
        <v>45838</v>
      </c>
      <c r="E50" s="1059" t="str">
        <f t="shared" si="2"/>
        <v>PASS</v>
      </c>
      <c r="F50" s="1059" t="s">
        <v>666</v>
      </c>
      <c r="G50" s="1060" t="s">
        <v>743</v>
      </c>
    </row>
    <row r="51" spans="1:7" ht="18" customHeight="1" x14ac:dyDescent="0.3">
      <c r="A51" s="1057" t="s">
        <v>745</v>
      </c>
      <c r="B51" s="1058" t="s">
        <v>746</v>
      </c>
      <c r="C51" s="1059">
        <v>49948</v>
      </c>
      <c r="D51" s="1059">
        <f>YBL_TL_Maturity</f>
        <v>49948</v>
      </c>
      <c r="E51" s="1059" t="str">
        <f t="shared" si="2"/>
        <v>PASS</v>
      </c>
      <c r="F51" s="1059" t="s">
        <v>666</v>
      </c>
      <c r="G51" s="1060" t="s">
        <v>743</v>
      </c>
    </row>
    <row r="52" spans="1:7" ht="18" customHeight="1" x14ac:dyDescent="0.3">
      <c r="A52" s="1057" t="s">
        <v>747</v>
      </c>
      <c r="B52" s="1058" t="s">
        <v>794</v>
      </c>
      <c r="C52" s="1059">
        <v>48816</v>
      </c>
      <c r="D52" s="1059">
        <f>Bajaj_TL_Maturity</f>
        <v>48816</v>
      </c>
      <c r="E52" s="1059" t="str">
        <f t="shared" si="2"/>
        <v>PASS</v>
      </c>
      <c r="F52" s="1059" t="s">
        <v>666</v>
      </c>
      <c r="G52" s="1060" t="s">
        <v>743</v>
      </c>
    </row>
    <row r="53" spans="1:7" ht="18" customHeight="1" x14ac:dyDescent="0.3">
      <c r="A53" s="1057" t="s">
        <v>748</v>
      </c>
      <c r="B53" s="1058" t="s">
        <v>749</v>
      </c>
      <c r="C53" s="1059">
        <v>1</v>
      </c>
      <c r="D53" s="1059">
        <f>IF(AND(MCLR_RBL_1Y&gt;=0,MCLR_RBL_1Y&lt;=0.25),1,0)</f>
        <v>1</v>
      </c>
      <c r="E53" s="1059" t="str">
        <f t="shared" si="2"/>
        <v>PASS</v>
      </c>
      <c r="F53" s="1059" t="s">
        <v>666</v>
      </c>
      <c r="G53" s="1060" t="s">
        <v>750</v>
      </c>
    </row>
    <row r="54" spans="1:7" ht="18" customHeight="1" x14ac:dyDescent="0.3">
      <c r="A54" s="1057" t="s">
        <v>751</v>
      </c>
      <c r="B54" s="1058" t="s">
        <v>752</v>
      </c>
      <c r="C54" s="1059">
        <v>1</v>
      </c>
      <c r="D54" s="1059">
        <f>IF(AND(MCLR_YBL_3M&gt;=0,MCLR_YBL_3M&lt;=0.25),1,0)</f>
        <v>1</v>
      </c>
      <c r="E54" s="1059" t="str">
        <f t="shared" si="2"/>
        <v>PASS</v>
      </c>
      <c r="F54" s="1059" t="s">
        <v>666</v>
      </c>
      <c r="G54" s="1060" t="s">
        <v>750</v>
      </c>
    </row>
    <row r="55" spans="1:7" ht="18" customHeight="1" x14ac:dyDescent="0.3">
      <c r="A55" s="1057" t="s">
        <v>753</v>
      </c>
      <c r="B55" s="1058" t="s">
        <v>754</v>
      </c>
      <c r="C55" s="1059">
        <v>1</v>
      </c>
      <c r="D55" s="1059">
        <f>IF(AND(SOFR_3M&gt;=0,SOFR_3M&lt;=0.25),1,0)</f>
        <v>1</v>
      </c>
      <c r="E55" s="1059" t="str">
        <f t="shared" si="2"/>
        <v>PASS</v>
      </c>
      <c r="F55" s="1059" t="s">
        <v>666</v>
      </c>
      <c r="G55" s="1060" t="s">
        <v>750</v>
      </c>
    </row>
    <row r="56" spans="1:7" ht="18" customHeight="1" x14ac:dyDescent="0.3">
      <c r="A56" s="1057" t="s">
        <v>755</v>
      </c>
      <c r="B56" s="1058" t="s">
        <v>756</v>
      </c>
      <c r="C56" s="1059">
        <v>1</v>
      </c>
      <c r="D56" s="1059">
        <f>IF(AND(BFRR_Bajaj&gt;=0,BFRR_Bajaj&lt;=0.25),1,0)</f>
        <v>1</v>
      </c>
      <c r="E56" s="1059" t="str">
        <f t="shared" si="2"/>
        <v>PASS</v>
      </c>
      <c r="F56" s="1059" t="s">
        <v>666</v>
      </c>
      <c r="G56" s="1060" t="s">
        <v>750</v>
      </c>
    </row>
    <row r="57" spans="1:7" ht="18" customHeight="1" x14ac:dyDescent="0.3">
      <c r="A57" s="1057" t="s">
        <v>757</v>
      </c>
      <c r="B57" s="1058" t="s">
        <v>758</v>
      </c>
      <c r="C57" s="1059">
        <v>1</v>
      </c>
      <c r="D57" s="1059">
        <f>IF(OR(FinBasis="Actual",FinBasis="Projected"),1,0)</f>
        <v>1</v>
      </c>
      <c r="E57" s="1059" t="str">
        <f t="shared" si="2"/>
        <v>PASS</v>
      </c>
      <c r="F57" s="1059" t="s">
        <v>662</v>
      </c>
      <c r="G57" s="1060" t="s">
        <v>705</v>
      </c>
    </row>
    <row r="58" spans="1:7" ht="18" customHeight="1" x14ac:dyDescent="0.3">
      <c r="A58" s="1057" t="s">
        <v>759</v>
      </c>
      <c r="B58" s="1058" t="s">
        <v>760</v>
      </c>
      <c r="C58" s="1059">
        <v>1</v>
      </c>
      <c r="D58" s="1059">
        <f>IF(Bucket1_DebtTotal&gt;0,1,0)</f>
        <v>1</v>
      </c>
      <c r="E58" s="1059" t="str">
        <f t="shared" si="2"/>
        <v>PASS</v>
      </c>
      <c r="F58" s="1059" t="s">
        <v>662</v>
      </c>
      <c r="G58" s="1060" t="s">
        <v>150</v>
      </c>
    </row>
    <row r="59" spans="1:7" ht="18" customHeight="1" x14ac:dyDescent="0.3">
      <c r="A59" s="1057" t="s">
        <v>761</v>
      </c>
      <c r="B59" s="1058" t="s">
        <v>762</v>
      </c>
      <c r="C59" s="1059">
        <v>0</v>
      </c>
      <c r="D59" s="1059">
        <f>COUNTA('Facility Master'!A5:A38)-34</f>
        <v>0</v>
      </c>
      <c r="E59" s="1059" t="str">
        <f t="shared" si="2"/>
        <v>PASS</v>
      </c>
      <c r="F59" s="1059" t="s">
        <v>662</v>
      </c>
      <c r="G59" s="1060" t="s">
        <v>663</v>
      </c>
    </row>
    <row r="60" spans="1:7" ht="18" customHeight="1" x14ac:dyDescent="0.3">
      <c r="A60" s="1057" t="s">
        <v>763</v>
      </c>
      <c r="B60" s="1058" t="s">
        <v>764</v>
      </c>
      <c r="C60" s="1059">
        <v>25</v>
      </c>
      <c r="D60" s="1059">
        <f>COUNTIF('Facility Master'!H5:H38,0)</f>
        <v>25</v>
      </c>
      <c r="E60" s="1059" t="str">
        <f t="shared" si="2"/>
        <v>PASS</v>
      </c>
      <c r="F60" s="1059" t="s">
        <v>666</v>
      </c>
      <c r="G60" s="1060" t="s">
        <v>663</v>
      </c>
    </row>
    <row r="61" spans="1:7" ht="18" customHeight="1" x14ac:dyDescent="0.3">
      <c r="A61" s="1057" t="s">
        <v>765</v>
      </c>
      <c r="B61" s="1058" t="s">
        <v>766</v>
      </c>
      <c r="C61" s="1059">
        <v>1</v>
      </c>
      <c r="D61" s="1059">
        <f>IF(Bucket1_Interest&gt;0,1,0)</f>
        <v>1</v>
      </c>
      <c r="E61" s="1059" t="str">
        <f t="shared" si="2"/>
        <v>PASS</v>
      </c>
      <c r="F61" s="1059" t="s">
        <v>767</v>
      </c>
      <c r="G61" s="1060" t="s">
        <v>768</v>
      </c>
    </row>
    <row r="62" spans="1:7" ht="18" customHeight="1" x14ac:dyDescent="0.3">
      <c r="A62" s="1057" t="s">
        <v>769</v>
      </c>
      <c r="B62" s="1058" t="s">
        <v>770</v>
      </c>
      <c r="C62" s="1059">
        <v>1</v>
      </c>
      <c r="D62" s="1059">
        <f>IF(SanctionedDebt&gt;1000,1,0)</f>
        <v>1</v>
      </c>
      <c r="E62" s="1059" t="str">
        <f t="shared" si="2"/>
        <v>PASS</v>
      </c>
      <c r="F62" s="1059" t="s">
        <v>767</v>
      </c>
      <c r="G62" s="1060" t="s">
        <v>768</v>
      </c>
    </row>
    <row r="63" spans="1:7" ht="18" customHeight="1" x14ac:dyDescent="0.3">
      <c r="A63" s="1063" t="s">
        <v>771</v>
      </c>
      <c r="B63" s="1064" t="s">
        <v>772</v>
      </c>
      <c r="C63" s="1061">
        <v>6</v>
      </c>
      <c r="D63" s="1061">
        <f>COUNTIF('Facility Master'!AG5:AG38,TRUE())</f>
        <v>6</v>
      </c>
      <c r="E63" s="1061" t="str">
        <f t="shared" si="2"/>
        <v>PASS</v>
      </c>
      <c r="F63" s="1061" t="s">
        <v>662</v>
      </c>
      <c r="G63" s="1062" t="s">
        <v>150</v>
      </c>
    </row>
    <row r="64" spans="1:7" ht="19.95" customHeight="1" x14ac:dyDescent="0.3">
      <c r="A64" s="763" t="s">
        <v>773</v>
      </c>
      <c r="B64" s="765"/>
      <c r="C64" s="715"/>
      <c r="D64" s="715"/>
      <c r="E64" s="715"/>
      <c r="F64" s="715"/>
      <c r="G64" s="715"/>
    </row>
    <row r="65" spans="1:7" ht="18" customHeight="1" x14ac:dyDescent="0.3">
      <c r="A65" s="777" t="s">
        <v>774</v>
      </c>
      <c r="B65" s="1065">
        <f>COUNTA(A13:A63)</f>
        <v>51</v>
      </c>
      <c r="C65" s="716"/>
      <c r="D65" s="716"/>
      <c r="E65" s="716"/>
      <c r="F65" s="716"/>
      <c r="G65" s="716"/>
    </row>
    <row r="66" spans="1:7" ht="18" customHeight="1" x14ac:dyDescent="0.3">
      <c r="A66" s="777" t="s">
        <v>775</v>
      </c>
      <c r="B66" s="982">
        <f>COUNTIF(E13:E63,"PASS")</f>
        <v>51</v>
      </c>
      <c r="C66" s="716"/>
      <c r="D66" s="716"/>
      <c r="E66" s="716"/>
      <c r="F66" s="716"/>
      <c r="G66" s="716"/>
    </row>
    <row r="67" spans="1:7" ht="18" customHeight="1" x14ac:dyDescent="0.3">
      <c r="A67" s="777" t="s">
        <v>776</v>
      </c>
      <c r="B67" s="1066">
        <f>COUNTIF(E13:E63,"FAIL")</f>
        <v>0</v>
      </c>
      <c r="C67" s="716"/>
      <c r="D67" s="716"/>
      <c r="E67" s="716"/>
      <c r="F67" s="716"/>
      <c r="G67" s="716"/>
    </row>
    <row r="68" spans="1:7" ht="18" customHeight="1" x14ac:dyDescent="0.3">
      <c r="A68" s="777" t="s">
        <v>777</v>
      </c>
      <c r="B68" s="1066">
        <f>COUNTIFS(E13:E63,"FAIL",F13:F63,"Critical")</f>
        <v>0</v>
      </c>
      <c r="C68" s="716"/>
      <c r="D68" s="716"/>
      <c r="E68" s="716"/>
      <c r="F68" s="716"/>
      <c r="G68" s="716"/>
    </row>
    <row r="69" spans="1:7" ht="24" customHeight="1" x14ac:dyDescent="0.3">
      <c r="A69" s="1067" t="s">
        <v>778</v>
      </c>
      <c r="B69" s="1068" t="str">
        <f>IF(B68=0,IF(B67=0,"✓ PASS",B67&amp;" non-critical for review"),"⚠ "&amp;B68&amp;" critical FAIL")</f>
        <v>✓ PASS</v>
      </c>
      <c r="C69" s="1046"/>
      <c r="D69" s="1046"/>
      <c r="E69" s="1046"/>
      <c r="F69" s="1046"/>
      <c r="G69" s="1046"/>
    </row>
  </sheetData>
  <conditionalFormatting sqref="A2:G2">
    <cfRule type="containsText" dxfId="11" priority="1" operator="containsText" text="CRITICAL">
      <formula>NOT(ISERROR(SEARCH("CRITICAL",A2)))</formula>
    </cfRule>
    <cfRule type="containsText" dxfId="10" priority="2" operator="containsText" text="non-critical">
      <formula>NOT(ISERROR(SEARCH("non-critical",A2)))</formula>
    </cfRule>
  </conditionalFormatting>
  <conditionalFormatting sqref="A69:G69">
    <cfRule type="containsText" dxfId="9" priority="12" operator="containsText" text="critical">
      <formula>NOT(ISERROR(SEARCH("critical",A69)))</formula>
    </cfRule>
    <cfRule type="containsText" dxfId="8" priority="13" operator="containsText" text="non-critical">
      <formula>NOT(ISERROR(SEARCH("non-critical",A69)))</formula>
    </cfRule>
  </conditionalFormatting>
  <conditionalFormatting sqref="B5:B9">
    <cfRule type="cellIs" dxfId="7" priority="3" operator="equal">
      <formula>"PASS"</formula>
    </cfRule>
    <cfRule type="cellIs" dxfId="6" priority="4" operator="equal">
      <formula>"FAIL"</formula>
    </cfRule>
  </conditionalFormatting>
  <conditionalFormatting sqref="E13:E63">
    <cfRule type="cellIs" dxfId="5" priority="6" operator="equal">
      <formula>"PASS"</formula>
    </cfRule>
    <cfRule type="cellIs" dxfId="4" priority="7" operator="equal">
      <formula>"FAIL"</formula>
    </cfRule>
  </conditionalFormatting>
  <conditionalFormatting sqref="F13:F63">
    <cfRule type="cellIs" dxfId="3" priority="8" operator="equal">
      <formula>"Critical"</formula>
    </cfRule>
    <cfRule type="cellIs" dxfId="2" priority="9" operator="equal">
      <formula>"High"</formula>
    </cfRule>
    <cfRule type="cellIs" dxfId="1" priority="10" operator="equal">
      <formula>"Medium"</formula>
    </cfRule>
    <cfRule type="cellIs" dxfId="0" priority="11" operator="equal">
      <formula>"Low"</formula>
    </cfRule>
  </conditionalFormatting>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18</vt:i4>
      </vt:variant>
      <vt:variant>
        <vt:lpstr>Named Ranges</vt:lpstr>
      </vt:variant>
      <vt:variant>
        <vt:i4>90</vt:i4>
      </vt:variant>
    </vt:vector>
  </HeadingPairs>
  <TitlesOfParts>
    <vt:vector size="108" baseType="lpstr">
      <vt:lpstr>Cover Page</vt:lpstr>
      <vt:lpstr>Notes</vt:lpstr>
      <vt:lpstr>Dashboard</vt:lpstr>
      <vt:lpstr>Instructions &amp; Assumptions</vt:lpstr>
      <vt:lpstr>Facility Master</vt:lpstr>
      <vt:lpstr>Lender Summary</vt:lpstr>
      <vt:lpstr>Working Capital Facilities</vt:lpstr>
      <vt:lpstr>Term Loans</vt:lpstr>
      <vt:lpstr>Non-Fund Based Facilities</vt:lpstr>
      <vt:lpstr>Repayment Schedule</vt:lpstr>
      <vt:lpstr>Interest Schedule</vt:lpstr>
      <vt:lpstr>Covenant Tracker</vt:lpstr>
      <vt:lpstr>Security &amp; Charge Matrix</vt:lpstr>
      <vt:lpstr>Utilization Tracker</vt:lpstr>
      <vt:lpstr>Renewal &amp; Review Calendar</vt:lpstr>
      <vt:lpstr>Scenario Analysis</vt:lpstr>
      <vt:lpstr>Debt Pricing Table</vt:lpstr>
      <vt:lpstr>Validation Engine</vt:lpstr>
      <vt:lpstr>AsOfDate</vt:lpstr>
      <vt:lpstr>ATNW_Active</vt:lpstr>
      <vt:lpstr>Bajaj_TL_Maturity</vt:lpstr>
      <vt:lpstr>Bajaj_TL_PrincOS</vt:lpstr>
      <vt:lpstr>Bajaj_TL_PrincRepaid</vt:lpstr>
      <vt:lpstr>Bajaj_TL_SNo</vt:lpstr>
      <vt:lpstr>BFRR_Bajaj</vt:lpstr>
      <vt:lpstr>BMK_12M_MCLR_SIB</vt:lpstr>
      <vt:lpstr>BMK_1Y_MCLR_RBL</vt:lpstr>
      <vt:lpstr>BMK_3M_MCLR_YBL</vt:lpstr>
      <vt:lpstr>BMK_3M_TBILL</vt:lpstr>
      <vt:lpstr>BMK_6M_IMCLR_ICICI</vt:lpstr>
      <vt:lpstr>BMK_BFRR</vt:lpstr>
      <vt:lpstr>BMK_FD_RATE</vt:lpstr>
      <vt:lpstr>BMK_REPO</vt:lpstr>
      <vt:lpstr>BMK_TERM_SOFR</vt:lpstr>
      <vt:lpstr>Bucket1_DebtTotal</vt:lpstr>
      <vt:lpstr>Bucket1_Interest</vt:lpstr>
      <vt:lpstr>Bucket1_TL_Total</vt:lpstr>
      <vt:lpstr>CA_Active</vt:lpstr>
      <vt:lpstr>CL_Active</vt:lpstr>
      <vt:lpstr>CovenantBreached</vt:lpstr>
      <vt:lpstr>CovenantCompliant</vt:lpstr>
      <vt:lpstr>CovenantCount</vt:lpstr>
      <vt:lpstr>CovenantNearBreach</vt:lpstr>
      <vt:lpstr>CovenantPending</vt:lpstr>
      <vt:lpstr>DaysInYear</vt:lpstr>
      <vt:lpstr>EBITDA_Active</vt:lpstr>
      <vt:lpstr>FA_Active</vt:lpstr>
      <vt:lpstr>FBMainsTotal</vt:lpstr>
      <vt:lpstr>FD_Rate_RBL</vt:lpstr>
      <vt:lpstr>FDBackedTotal</vt:lpstr>
      <vt:lpstr>FIN_ATNW</vt:lpstr>
      <vt:lpstr>FIN_CA</vt:lpstr>
      <vt:lpstr>FIN_CL</vt:lpstr>
      <vt:lpstr>FIN_EBITDA</vt:lpstr>
      <vt:lpstr>FIN_FA_NET</vt:lpstr>
      <vt:lpstr>FIN_INT_EXP</vt:lpstr>
      <vt:lpstr>FIN_PRINC_REP</vt:lpstr>
      <vt:lpstr>FIN_PROM_SHARE</vt:lpstr>
      <vt:lpstr>FIN_RATING</vt:lpstr>
      <vt:lpstr>FIN_SCHED_REPAY</vt:lpstr>
      <vt:lpstr>FIN_SEC_DEBT</vt:lpstr>
      <vt:lpstr>FIN_TAX_PAID</vt:lpstr>
      <vt:lpstr>FIN_TERM_DEBT</vt:lpstr>
      <vt:lpstr>FIN_TNW</vt:lpstr>
      <vt:lpstr>FIN_TOL</vt:lpstr>
      <vt:lpstr>FIN_TOTAL_DEBT</vt:lpstr>
      <vt:lpstr>FinancialBasis</vt:lpstr>
      <vt:lpstr>FinBasis</vt:lpstr>
      <vt:lpstr>FX_USD_INR</vt:lpstr>
      <vt:lpstr>HedgeNotionalTotal</vt:lpstr>
      <vt:lpstr>IMCLR_ICICI_6M</vt:lpstr>
      <vt:lpstr>IntExp_Active</vt:lpstr>
      <vt:lpstr>LenderFilter</vt:lpstr>
      <vt:lpstr>MCLR_RBL_1Y</vt:lpstr>
      <vt:lpstr>MCLR_SIB_12M</vt:lpstr>
      <vt:lpstr>MCLR_YBL_3M</vt:lpstr>
      <vt:lpstr>NFBContingent</vt:lpstr>
      <vt:lpstr>NFBMainsTotal</vt:lpstr>
      <vt:lpstr>PortfolioCompliancePct</vt:lpstr>
      <vt:lpstr>PrinRepaid_Active</vt:lpstr>
      <vt:lpstr>PromStake_Active</vt:lpstr>
      <vt:lpstr>Rating_Active</vt:lpstr>
      <vt:lpstr>RBL_TL_Maturity</vt:lpstr>
      <vt:lpstr>RBL_TL_PrincOS</vt:lpstr>
      <vt:lpstr>RBL_TL_PrincRepaid</vt:lpstr>
      <vt:lpstr>RBL_TL_SNo</vt:lpstr>
      <vt:lpstr>RepoRate</vt:lpstr>
      <vt:lpstr>SanctionedDebt</vt:lpstr>
      <vt:lpstr>SchedTLRep_Active</vt:lpstr>
      <vt:lpstr>SecuredDebt_Active</vt:lpstr>
      <vt:lpstr>SOFR_3M</vt:lpstr>
      <vt:lpstr>TaxPaid_Active</vt:lpstr>
      <vt:lpstr>TBill_3M</vt:lpstr>
      <vt:lpstr>TermDebt_Active</vt:lpstr>
      <vt:lpstr>TNW_Active</vt:lpstr>
      <vt:lpstr>TOL_Active</vt:lpstr>
      <vt:lpstr>Total_TL_PrincOS</vt:lpstr>
      <vt:lpstr>TotalDebt_Active</vt:lpstr>
      <vt:lpstr>TotalIntComm</vt:lpstr>
      <vt:lpstr>UseFullUtil</vt:lpstr>
      <vt:lpstr>UseFullUtilisation</vt:lpstr>
      <vt:lpstr>VVE_Overall_Status</vt:lpstr>
      <vt:lpstr>WtAvgDebtCost</vt:lpstr>
      <vt:lpstr>YBL_TL_Maturity</vt:lpstr>
      <vt:lpstr>YBL_TL_PrincOS</vt:lpstr>
      <vt:lpstr>YBL_TL_PrincRepaid</vt:lpstr>
      <vt:lpstr>YBL_TL_RepStart</vt:lpstr>
      <vt:lpstr>YBL_TL_SNo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Divyanshu  Vatsa</cp:lastModifiedBy>
  <dcterms:modified xsi:type="dcterms:W3CDTF">2026-05-08T13:22:19Z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2026-04-21T06:05:44Z</dcterms:created>
  <dc:creator>Divyanshu Vatsa</dc:creator>
  <dc:description>Institutional-grade debt monitoring model for Jindal Coke Limited covering 34 facilities across 5 lenders. Sanctioned Debt ₹1,320.7 Cr, NFB Contingent ₹815 Cr, FD-Backed ₹100 Cr. 51-check internal validation engine.</dc:description>
  <cp:keywords>JCL Jindal Coke Debt Model Path B Sanctioned Debt NFB Contingent Term Loan</cp:keywords>
  <dc:language>en-US</dc:language>
  <cp:lastModifiedBy>Divyanshu  Vatsa</cp:lastModifiedBy>
  <dcterms:modified xsi:type="dcterms:W3CDTF">2026-05-08T06:12:49Z</dcterms:modified>
  <cp:revision>5</cp:revision>
  <dc:subject>Debt Reconciliation — Path B Framework</dc:subject>
  <dc:title>JCL Debt Monitoring Model</dc:title>
</cp:coreProperties>
</file>